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sumit\Downloads\Healthcare_Excel_Portfolio_Project\"/>
    </mc:Choice>
  </mc:AlternateContent>
  <xr:revisionPtr revIDLastSave="0" documentId="13_ncr:1_{4DF47EFA-AB73-4F00-96ED-8BBBE9B0AB2F}" xr6:coauthVersionLast="47" xr6:coauthVersionMax="47" xr10:uidLastSave="{00000000-0000-0000-0000-000000000000}"/>
  <bookViews>
    <workbookView xWindow="28680" yWindow="-120" windowWidth="29040" windowHeight="15720" firstSheet="4" activeTab="6" xr2:uid="{00000000-000D-0000-FFFF-FFFF00000000}"/>
  </bookViews>
  <sheets>
    <sheet name="Project_Summary" sheetId="1" r:id="rId1"/>
    <sheet name="Dashboard" sheetId="22" r:id="rId2"/>
    <sheet name="KPI_Summary" sheetId="20" r:id="rId3"/>
    <sheet name="Appointments_Analysis" sheetId="19" r:id="rId4"/>
    <sheet name="KPI_DEFINITIONS" sheetId="3" r:id="rId5"/>
    <sheet name="DATA_DICTIONARY" sheetId="4" r:id="rId6"/>
    <sheet name="PROJECT_TASKS" sheetId="2" r:id="rId7"/>
    <sheet name="Jan_Raw" sheetId="5" state="hidden" r:id="rId8"/>
    <sheet name="Feb_Raw" sheetId="6" state="hidden" r:id="rId9"/>
    <sheet name="Mar_Raw" sheetId="7" state="hidden" r:id="rId10"/>
    <sheet name="Apr_Raw" sheetId="8" state="hidden" r:id="rId11"/>
    <sheet name="May_Raw" sheetId="9" state="hidden" r:id="rId12"/>
    <sheet name="Jun_Raw" sheetId="10" state="hidden" r:id="rId13"/>
    <sheet name="Clinics_Lookup" sheetId="11" r:id="rId14"/>
    <sheet name="Services_Lookup" sheetId="12" r:id="rId15"/>
    <sheet name="Clinicians_Lookup" sheetId="13" r:id="rId16"/>
    <sheet name="Patients_Lookup" sheetId="14" r:id="rId17"/>
    <sheet name="Jan_Audit" sheetId="18" state="hidden" r:id="rId18"/>
    <sheet name="Pivot_Analysis" sheetId="21" state="hidden" r:id="rId19"/>
  </sheets>
  <definedNames>
    <definedName name="ExternalData_1" localSheetId="3" hidden="1">Appointments_Analysis!$A$1:$AR$955</definedName>
    <definedName name="NativeTimeline_Appointment_Month_Start">#N/A</definedName>
    <definedName name="Slicer_Booking_Channel">#N/A</definedName>
    <definedName name="Slicer_Clinic_Name">#N/A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0" l="1"/>
  <c r="B12" i="20"/>
  <c r="M10" i="22" s="1"/>
  <c r="H9" i="20"/>
  <c r="I10" i="22" s="1"/>
  <c r="E9" i="20"/>
  <c r="E10" i="22" s="1"/>
  <c r="B9" i="20"/>
  <c r="A10" i="22" s="1"/>
  <c r="H6" i="20"/>
  <c r="M6" i="22" s="1"/>
  <c r="E6" i="20"/>
  <c r="B6" i="20"/>
  <c r="I6" i="22" s="1"/>
  <c r="H3" i="20"/>
  <c r="E3" i="20"/>
  <c r="E6" i="22" s="1"/>
  <c r="B3" i="20"/>
  <c r="A6" i="2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BF0E13-7EF2-484B-9485-6AB9700E6D37}" keepAlive="1" name="Query - qAppointments_Clean" description="Connection to the 'qAppointments_Clean' query in the workbook." type="5" refreshedVersion="0" background="1">
    <dbPr connection="Provider=Microsoft.Mashup.OleDb.1;Data Source=$Workbook$;Location=qAppointments_Clean;Extended Properties=&quot;&quot;" command="SELECT * FROM [qAppointments_Clean]"/>
  </connection>
  <connection id="2" xr16:uid="{9173F6EE-4F9A-42D7-AE5A-7AF9F3A67696}" keepAlive="1" name="Query - qAppointments_Combined" description="Connection to the 'qAppointments_Combined' query in the workbook." type="5" refreshedVersion="0" background="1">
    <dbPr connection="Provider=Microsoft.Mashup.OleDb.1;Data Source=$Workbook$;Location=qAppointments_Combined;Extended Properties=&quot;&quot;" command="SELECT * FROM [qAppointments_Combined]"/>
  </connection>
  <connection id="3" xr16:uid="{3C55AAA6-BF20-4CC2-85A3-D2C3EEA3EEA9}" keepAlive="1" name="Query - qAppointments_Combined1" description="Connection to the 'qAppointments_Combined' query in the workbook." type="5" refreshedVersion="0" background="1">
    <dbPr connection="Provider=Microsoft.Mashup.OleDb.1;Data Source=$Workbook$;Location=qAppointments_Combined;Extended Properties=&quot;&quot;" command="SELECT * FROM [qAppointments_Combined]"/>
  </connection>
  <connection id="4" xr16:uid="{E370BC15-FC7F-4390-BB9E-E58135FFA177}" keepAlive="1" name="Query - qAppointments_Enriched" description="Connection to the 'qAppointments_Enriched' query in the workbook." type="5" refreshedVersion="8" background="1" saveData="1">
    <dbPr connection="Provider=Microsoft.Mashup.OleDb.1;Data Source=$Workbook$;Location=qAppointments_Enriched;Extended Properties=&quot;&quot;" command="SELECT * FROM [qAppointments_Enriched]"/>
  </connection>
  <connection id="5" xr16:uid="{FFC1CD22-D5BD-49B4-AFD5-9883C0B63F7B}" keepAlive="1" name="Query - qApr_Raw" description="Connection to the 'qApr_Raw' query in the workbook." type="5" refreshedVersion="0" background="1">
    <dbPr connection="Provider=Microsoft.Mashup.OleDb.1;Data Source=$Workbook$;Location=qApr_Raw;Extended Properties=&quot;&quot;" command="SELECT * FROM [qApr_Raw]"/>
  </connection>
  <connection id="6" xr16:uid="{A00EE5AC-1BD7-4123-8080-513492769657}" keepAlive="1" name="Query - qClinics_Lookup" description="Connection to the 'qClinics_Lookup' query in the workbook." type="5" refreshedVersion="0" background="1">
    <dbPr connection="Provider=Microsoft.Mashup.OleDb.1;Data Source=$Workbook$;Location=qClinics_Lookup;Extended Properties=&quot;&quot;" command="SELECT * FROM [qClinics_Lookup]"/>
  </connection>
  <connection id="7" xr16:uid="{AE92D142-F500-439C-9FB0-65C5B959B887}" keepAlive="1" name="Query - qFeb_Raw" description="Connection to the 'qFeb_Raw' query in the workbook." type="5" refreshedVersion="0" background="1">
    <dbPr connection="Provider=Microsoft.Mashup.OleDb.1;Data Source=$Workbook$;Location=qFeb_Raw;Extended Properties=&quot;&quot;" command="SELECT * FROM [qFeb_Raw]"/>
  </connection>
  <connection id="8" xr16:uid="{14DC3672-EC5E-443B-836A-11346E54890B}" keepAlive="1" name="Query - qJan_Raw" description="Connection to the 'qJan_Raw' query in the workbook." type="5" refreshedVersion="0" background="1">
    <dbPr connection="Provider=Microsoft.Mashup.OleDb.1;Data Source=$Workbook$;Location=qJan_Raw;Extended Properties=&quot;&quot;" command="SELECT * FROM [qJan_Raw]"/>
  </connection>
  <connection id="9" xr16:uid="{3277E787-5FC3-4C96-BBE7-F2C25D74A246}" keepAlive="1" name="Query - qJun_Raw" description="Connection to the 'qJun_Raw' query in the workbook." type="5" refreshedVersion="0" background="1">
    <dbPr connection="Provider=Microsoft.Mashup.OleDb.1;Data Source=$Workbook$;Location=qJun_Raw;Extended Properties=&quot;&quot;" command="SELECT * FROM [qJun_Raw]"/>
  </connection>
  <connection id="10" xr16:uid="{813A376C-39DB-41D2-9DAB-3382F1C82FFE}" keepAlive="1" name="Query - qMar_Raw" description="Connection to the 'qMar_Raw' query in the workbook." type="5" refreshedVersion="0" background="1">
    <dbPr connection="Provider=Microsoft.Mashup.OleDb.1;Data Source=$Workbook$;Location=qMar_Raw;Extended Properties=&quot;&quot;" command="SELECT * FROM [qMar_Raw]"/>
  </connection>
  <connection id="11" xr16:uid="{DE976331-1095-4090-85F7-5F3BC3E18209}" keepAlive="1" name="Query - qMay_Raw" description="Connection to the 'qMay_Raw' query in the workbook." type="5" refreshedVersion="0" background="1">
    <dbPr connection="Provider=Microsoft.Mashup.OleDb.1;Data Source=$Workbook$;Location=qMay_Raw;Extended Properties=&quot;&quot;" command="SELECT * FROM [qMay_Raw]"/>
  </connection>
  <connection id="12" xr16:uid="{62E1D3FF-DAD5-4C1B-90F2-27E13C045693}" keepAlive="1" name="Query - qServices_Lookup" description="Connection to the 'qServices_Lookup' query in the workbook." type="5" refreshedVersion="0" background="1">
    <dbPr connection="Provider=Microsoft.Mashup.OleDb.1;Data Source=$Workbook$;Location=qServices_Lookup;Extended Properties=&quot;&quot;" command="SELECT * FROM [qServices_Lookup]"/>
  </connection>
</connections>
</file>

<file path=xl/sharedStrings.xml><?xml version="1.0" encoding="utf-8"?>
<sst xmlns="http://schemas.openxmlformats.org/spreadsheetml/2006/main" count="41872" uniqueCount="2678">
  <si>
    <t>Healthcare Appointment Performance — Excel Portfolio Project</t>
  </si>
  <si>
    <t>A learner-first project for practising data cleaning, formulas, Power Query, PivotTables, PivotCharts and business reporting with realistic synthetic data.</t>
  </si>
  <si>
    <t>Client scenario</t>
  </si>
  <si>
    <t>Harbour Health Network operates four fictional community clinics across New Zealand. Management receives separate appointment exports each month, but inconsistent labels, invalid values, duplicates and missing reference data make the reports unreliable. You have been asked to build a repeatable Excel workflow that cleans the files, calculates operational KPIs and presents a one-page management dashboard.</t>
  </si>
  <si>
    <t>Your final deliverable</t>
  </si>
  <si>
    <t>1</t>
  </si>
  <si>
    <t>A combined and cleaned appointment table created with Power Query</t>
  </si>
  <si>
    <t>Important working rules</t>
  </si>
  <si>
    <t>2</t>
  </si>
  <si>
    <t>An auditable KPI calculation area using intermediate-level Excel formulas</t>
  </si>
  <si>
    <t>• Keep the six raw-data sheets unchanged.</t>
  </si>
  <si>
    <t>3</t>
  </si>
  <si>
    <t>PivotTables answering the main business questions</t>
  </si>
  <si>
    <t>• Perform repeatable cleaning in Power Query.</t>
  </si>
  <si>
    <t>4</t>
  </si>
  <si>
    <t>A one-page dashboard with slicers, KPI cards and clear charts</t>
  </si>
  <si>
    <t>• Store thresholds and mappings in visible lookup tables.</t>
  </si>
  <si>
    <t>5</t>
  </si>
  <si>
    <t>A short insight summary with three findings and three recommendations</t>
  </si>
  <si>
    <t>• Use formulas or PivotTables for derived results—do not type KPI answers manually.</t>
  </si>
  <si>
    <t>• This workbook contains synthetic data only; no real patient information is included.</t>
  </si>
  <si>
    <t>Recommended order</t>
  </si>
  <si>
    <t>Skills demonstrated</t>
  </si>
  <si>
    <t>Read PROJECT_TASKS and KPI_DEFINITIONS</t>
  </si>
  <si>
    <t>Excel Tables, sorting and filtering</t>
  </si>
  <si>
    <t>Audit the monthly raw tables without changing them</t>
  </si>
  <si>
    <t>TRIM, text, IF, IFERROR and date functions</t>
  </si>
  <si>
    <t>Load each monthly table into Power Query and append the six queries</t>
  </si>
  <si>
    <t>XLOOKUP or INDEX–MATCH</t>
  </si>
  <si>
    <t>Clean, standardise and merge the lookup tables</t>
  </si>
  <si>
    <t>SUMIFS, COUNTIFS and AVERAGEIFS</t>
  </si>
  <si>
    <t>Load the clean result to a new sheet named Appointments_Clean</t>
  </si>
  <si>
    <t>Power Query append, merge, group and error handling</t>
  </si>
  <si>
    <t>6</t>
  </si>
  <si>
    <t>Complete FORMULA_LAB, then build PivotTables and the dashboard</t>
  </si>
  <si>
    <t>PivotTables, PivotCharts and conditional formatting</t>
  </si>
  <si>
    <t>7</t>
  </si>
  <si>
    <t>Complete QUALITY_LOG and write your business insights</t>
  </si>
  <si>
    <t>Business-focused KPI design and data storytelling</t>
  </si>
  <si>
    <t>Client Task List</t>
  </si>
  <si>
    <t>Complete the phases in order. The Status column is yours to update as the project progresses.</t>
  </si>
  <si>
    <t>Phase</t>
  </si>
  <si>
    <t>Task</t>
  </si>
  <si>
    <t>What you need to do</t>
  </si>
  <si>
    <t>Main Excel skills</t>
  </si>
  <si>
    <t>Required output</t>
  </si>
  <si>
    <t>Status</t>
  </si>
  <si>
    <t>1. Audit</t>
  </si>
  <si>
    <t>Profile the raw exports</t>
  </si>
  <si>
    <t>Use sorting, filters and table totals to identify blanks, duplicate appointment IDs, inconsistent labels, invalid dates, invalid numbers and unmatched codes.</t>
  </si>
  <si>
    <t>Excel Tables; sorting; filtering; conditional formatting</t>
  </si>
  <si>
    <t>A completed issue log</t>
  </si>
  <si>
    <t>2. Import</t>
  </si>
  <si>
    <t>Create six Power Query connections</t>
  </si>
  <si>
    <t>Create a query from each monthly raw table. Keep the source queries as connection-only queries.</t>
  </si>
  <si>
    <t>Power Query import; query naming</t>
  </si>
  <si>
    <t>Six monthly source queries</t>
  </si>
  <si>
    <t>3. Append</t>
  </si>
  <si>
    <t>Combine the monthly exports</t>
  </si>
  <si>
    <t>Append all six appointment queries into one master query and add a source-month field if needed.</t>
  </si>
  <si>
    <t>Append queries; data lineage</t>
  </si>
  <si>
    <t>Appointments_Combined query</t>
  </si>
  <si>
    <t>4. Clean</t>
  </si>
  <si>
    <t>Standardise the combined data</t>
  </si>
  <si>
    <t>Trim text, standardise status and channel values, change types, handle blanks, remove true duplicates, replace invalid values and keep an audit-friendly rule for exclusions.</t>
  </si>
  <si>
    <t>TRIM; data types; remove errors; duplicates; blanks</t>
  </si>
  <si>
    <t>Appointments_Clean query</t>
  </si>
  <si>
    <t>5. Merge</t>
  </si>
  <si>
    <t>Enrich appointments</t>
  </si>
  <si>
    <t>Merge clinic, service, clinician and patient lookups. Expand only the columns needed for analysis and identify unmatched records.</t>
  </si>
  <si>
    <t>Power Query merge; joins; XLOOKUP comparison</t>
  </si>
  <si>
    <t>Enriched clean table</t>
  </si>
  <si>
    <t>6. Transform</t>
  </si>
  <si>
    <t>Create analytical fields</t>
  </si>
  <si>
    <t>Create Month, Wait_Days, Attendance_Eligible_Flag, Within_Target_Flag, No_Show_Flag and Lost_Revenue fields.</t>
  </si>
  <si>
    <t>Date functions; IF; IFERROR; calculated columns</t>
  </si>
  <si>
    <t>Analysis-ready columns</t>
  </si>
  <si>
    <t>7. Formula lab</t>
  </si>
  <si>
    <t>Calculate management KPIs</t>
  </si>
  <si>
    <t>Use COUNTIFS, SUMIFS, AVERAGEIFS and XLOOKUP or INDEX–MATCH to populate the requested KPI checks.</t>
  </si>
  <si>
    <t>COUNTIFS; SUMIFS; AVERAGEIFS; XLOOKUP</t>
  </si>
  <si>
    <t>Completed FORMULA_LAB</t>
  </si>
  <si>
    <t>8. Pivot analysis</t>
  </si>
  <si>
    <t>Answer the business questions</t>
  </si>
  <si>
    <t>Build PivotTables for monthly volume, clinic no-shows, wait-time performance, booking channels, service performance and deprivation quintiles.</t>
  </si>
  <si>
    <t>PivotTables; grouping; slicers</t>
  </si>
  <si>
    <t>Six analysis PivotTables</t>
  </si>
  <si>
    <t>9. Dashboard</t>
  </si>
  <si>
    <t>Build a one-page management dashboard</t>
  </si>
  <si>
    <t>Create five KPI cards, three to four meaningful charts and slicers for month, clinic and service. Use DASHBOARD_BLUEPRINT as the layout guide.</t>
  </si>
  <si>
    <t>PivotCharts; business charts; formatting</t>
  </si>
  <si>
    <t>One-page dashboard</t>
  </si>
  <si>
    <t>10. QA</t>
  </si>
  <si>
    <t>Validate and document the result</t>
  </si>
  <si>
    <t>Refresh all queries, reconcile totals, check formula errors, test slicers and record three findings and three recommendations.</t>
  </si>
  <si>
    <t>Quality assurance; communication</t>
  </si>
  <si>
    <t>Completed QUALITY_LOG and insight summary</t>
  </si>
  <si>
    <t>KPI Definitions and Business Rules</t>
  </si>
  <si>
    <t>Use these definitions consistently in formulas, PivotTables, charts and written insights.</t>
  </si>
  <si>
    <t>KPI</t>
  </si>
  <si>
    <t>Definition</t>
  </si>
  <si>
    <t>Numerator</t>
  </si>
  <si>
    <t>Denominator</t>
  </si>
  <si>
    <t>Suggested format</t>
  </si>
  <si>
    <t>Why it matters</t>
  </si>
  <si>
    <t>Common mistake to avoid</t>
  </si>
  <si>
    <t>Total Appointments</t>
  </si>
  <si>
    <t>Count of unique valid appointment IDs after removing true duplicates.</t>
  </si>
  <si>
    <t>Unique valid appointments</t>
  </si>
  <si>
    <t>Not applicable</t>
  </si>
  <si>
    <t>#,##0</t>
  </si>
  <si>
    <t>Shows service demand and workload.</t>
  </si>
  <si>
    <t>Counting duplicate export rows.</t>
  </si>
  <si>
    <t>Attendance Rate</t>
  </si>
  <si>
    <t>Attended appointments divided by attendance-eligible appointments.</t>
  </si>
  <si>
    <t>Attended</t>
  </si>
  <si>
    <t>Attended + No Show</t>
  </si>
  <si>
    <t>0.0%</t>
  </si>
  <si>
    <t>Shows how much booked capacity was used.</t>
  </si>
  <si>
    <t>Including cancelled or rescheduled appointments in the denominator.</t>
  </si>
  <si>
    <t>No-Show Rate</t>
  </si>
  <si>
    <t>No-show appointments divided by attendance-eligible appointments.</t>
  </si>
  <si>
    <t>No Show</t>
  </si>
  <si>
    <t>Highlights avoidable lost capacity and access barriers.</t>
  </si>
  <si>
    <t>Dividing by all statuses.</t>
  </si>
  <si>
    <t>Cancellation Rate</t>
  </si>
  <si>
    <t>Cancelled appointments divided by total valid appointments.</t>
  </si>
  <si>
    <t>Cancelled</t>
  </si>
  <si>
    <t>All valid appointments</t>
  </si>
  <si>
    <t>Signals scheduling instability and possible access problems.</t>
  </si>
  <si>
    <t>Mixing cancellations with no-shows.</t>
  </si>
  <si>
    <t>Average Wait Days</t>
  </si>
  <si>
    <t>Average calendar days between booking and appointment for valid dates.</t>
  </si>
  <si>
    <t>Sum of Wait_Days</t>
  </si>
  <si>
    <t>Appointments with valid booking and appointment dates</t>
  </si>
  <si>
    <t>0.0 days</t>
  </si>
  <si>
    <t>Measures how quickly patients access care.</t>
  </si>
  <si>
    <t>Replacing invalid dates with zero.</t>
  </si>
  <si>
    <t>Within-Target Rate</t>
  </si>
  <si>
    <t>Appointments where Wait_Days is less than or equal to the service target.</t>
  </si>
  <si>
    <t>Within-target appointments</t>
  </si>
  <si>
    <t>Appointments with valid dates and matched service targets</t>
  </si>
  <si>
    <t>Shows performance against service-specific expectations.</t>
  </si>
  <si>
    <t>Using one target for every service.</t>
  </si>
  <si>
    <t>Estimated Lost Revenue</t>
  </si>
  <si>
    <t>Standard service fee for each no-show appointment.</t>
  </si>
  <si>
    <t>Sum of standard fee where status is No Show</t>
  </si>
  <si>
    <t>$#,##0</t>
  </si>
  <si>
    <t>Translates unused capacity into an understandable business estimate.</t>
  </si>
  <si>
    <t>Treating this estimate as actual invoiced revenue.</t>
  </si>
  <si>
    <t>Average Satisfaction</t>
  </si>
  <si>
    <t>Average valid satisfaction score for attended appointments.</t>
  </si>
  <si>
    <t>Sum of valid scores</t>
  </si>
  <si>
    <t>Attended appointments with scores from 1 to 5</t>
  </si>
  <si>
    <t>0.00</t>
  </si>
  <si>
    <t>Provides a basic patient-experience signal.</t>
  </si>
  <si>
    <t>Including blanks, zero or text errors.</t>
  </si>
  <si>
    <t>Data Dictionary</t>
  </si>
  <si>
    <t>The raw exports intentionally include realistic data-quality problems. Use this dictionary to decide how each field should be treated.</t>
  </si>
  <si>
    <t>Dataset</t>
  </si>
  <si>
    <t>Field</t>
  </si>
  <si>
    <t>Expected type</t>
  </si>
  <si>
    <t>Description</t>
  </si>
  <si>
    <t>Required?</t>
  </si>
  <si>
    <t>Known issue examples</t>
  </si>
  <si>
    <t>Monthly appointment exports</t>
  </si>
  <si>
    <t>Appointment_ID</t>
  </si>
  <si>
    <t>Text</t>
  </si>
  <si>
    <t>Unique appointment identifier</t>
  </si>
  <si>
    <t>Yes</t>
  </si>
  <si>
    <t>Blank values and duplicate export rows</t>
  </si>
  <si>
    <t>Appointment_Date</t>
  </si>
  <si>
    <t>Date</t>
  </si>
  <si>
    <t>Scheduled appointment date</t>
  </si>
  <si>
    <t>Mixed ISO/NZ formats and invalid text</t>
  </si>
  <si>
    <t>Booking_Date</t>
  </si>
  <si>
    <t>Date the appointment was booked</t>
  </si>
  <si>
    <t>Impossible date values</t>
  </si>
  <si>
    <t>Patient_ID</t>
  </si>
  <si>
    <t>Synthetic patient identifier</t>
  </si>
  <si>
    <t>Whitespace, blanks and unmatched P9999</t>
  </si>
  <si>
    <t>Clinic_Code</t>
  </si>
  <si>
    <t>Clinic lookup key</t>
  </si>
  <si>
    <t>Mixed case and leading/trailing spaces</t>
  </si>
  <si>
    <t>Service_Code</t>
  </si>
  <si>
    <t>Service lookup key</t>
  </si>
  <si>
    <t>Mixed case and blanks</t>
  </si>
  <si>
    <t>Clinician_ID</t>
  </si>
  <si>
    <t>Clinician lookup key</t>
  </si>
  <si>
    <t>Occasional unmatched CL999</t>
  </si>
  <si>
    <t>Appointment_Status</t>
  </si>
  <si>
    <t>Attended, No Show, Cancelled or Rescheduled</t>
  </si>
  <si>
    <t>Case, spacing and spelling variations</t>
  </si>
  <si>
    <t>Booking_Channel</t>
  </si>
  <si>
    <t>How the appointment was booked</t>
  </si>
  <si>
    <t>No</t>
  </si>
  <si>
    <t>Case, spacing and hyphen variations</t>
  </si>
  <si>
    <t>Scheduled_Time</t>
  </si>
  <si>
    <t>Time</t>
  </si>
  <si>
    <t>Planned start time</t>
  </si>
  <si>
    <t>Stored as text in the raw file</t>
  </si>
  <si>
    <t>Check_In_Time</t>
  </si>
  <si>
    <t>Patient check-in time</t>
  </si>
  <si>
    <t>Conditional</t>
  </si>
  <si>
    <t>Blank when the appointment was not attended</t>
  </si>
  <si>
    <t>Seen_Time</t>
  </si>
  <si>
    <t>Time the clinician saw the patient</t>
  </si>
  <si>
    <t>Duration_Minutes</t>
  </si>
  <si>
    <t>Whole number</t>
  </si>
  <si>
    <t>Recorded appointment duration in minutes</t>
  </si>
  <si>
    <t>N/A, text with units and negative values</t>
  </si>
  <si>
    <t>Fee_NZD</t>
  </si>
  <si>
    <t>Decimal number</t>
  </si>
  <si>
    <t>Raw service fee in New Zealand dollars</t>
  </si>
  <si>
    <t>Currency symbols, N/A and blanks</t>
  </si>
  <si>
    <t>Follow_Up_Required</t>
  </si>
  <si>
    <t>Text/Boolean</t>
  </si>
  <si>
    <t>Whether another visit is required</t>
  </si>
  <si>
    <t>Yes/No and Y/N variations</t>
  </si>
  <si>
    <t>Satisfaction_Score</t>
  </si>
  <si>
    <t>Patient score from 1 to 5</t>
  </si>
  <si>
    <t>Text values and score 0</t>
  </si>
  <si>
    <t>Notes</t>
  </si>
  <si>
    <t>Short administrative note</t>
  </si>
  <si>
    <t>Leading and trailing spaces</t>
  </si>
  <si>
    <t>Source_File</t>
  </si>
  <si>
    <t>Name of the original monthly export</t>
  </si>
  <si>
    <t>Use text/date functions to derive month if required</t>
  </si>
  <si>
    <t>Clinics_Lookup</t>
  </si>
  <si>
    <t>Primary lookup key for a clinic</t>
  </si>
  <si>
    <t>Should match the cleaned raw code</t>
  </si>
  <si>
    <t>Clinic_Name</t>
  </si>
  <si>
    <t>Full clinic display name</t>
  </si>
  <si>
    <t>Use in dashboard labels</t>
  </si>
  <si>
    <t>Region</t>
  </si>
  <si>
    <t>Operational region</t>
  </si>
  <si>
    <t>Use as an optional analysis dimension</t>
  </si>
  <si>
    <t>Services_Lookup</t>
  </si>
  <si>
    <t>Target_Wait_Days</t>
  </si>
  <si>
    <t>Service-specific access target in days</t>
  </si>
  <si>
    <t>Do not hardcode into formulas</t>
  </si>
  <si>
    <t>Standard_Fee_NZD</t>
  </si>
  <si>
    <t>Currency</t>
  </si>
  <si>
    <t>Standard fee used for lost-revenue estimate</t>
  </si>
  <si>
    <t>This is an estimate, not actual invoicing</t>
  </si>
  <si>
    <t>Patients_Lookup</t>
  </si>
  <si>
    <t>Deprivation_Quintile</t>
  </si>
  <si>
    <t>Synthetic quintile from 1 (least deprived) to 5 (most deprived)</t>
  </si>
  <si>
    <t>Use only at aggregated level</t>
  </si>
  <si>
    <t>Jan 2026 — Raw Appointment Export</t>
  </si>
  <si>
    <t>Raw synthetic source data. Do not correct values on this sheet; perform all repeatable cleaning in Power Query.</t>
  </si>
  <si>
    <t>APT-202601-0001</t>
  </si>
  <si>
    <t>2026-01-06</t>
  </si>
  <si>
    <t>2025-12-26</t>
  </si>
  <si>
    <t>P0071</t>
  </si>
  <si>
    <t>WLG</t>
  </si>
  <si>
    <t>PHY</t>
  </si>
  <si>
    <t>CL036</t>
  </si>
  <si>
    <t>Online</t>
  </si>
  <si>
    <t>13:30</t>
  </si>
  <si>
    <t>0</t>
  </si>
  <si>
    <t>95</t>
  </si>
  <si>
    <t>Follow-up visit</t>
  </si>
  <si>
    <t>appointment_export_2026_01.csv</t>
  </si>
  <si>
    <t>APT-202601-0002</t>
  </si>
  <si>
    <t>2026-01-17</t>
  </si>
  <si>
    <t>2026-01-04</t>
  </si>
  <si>
    <t>P0127</t>
  </si>
  <si>
    <t>AUC</t>
  </si>
  <si>
    <t>DIA</t>
  </si>
  <si>
    <t>CL008</t>
  </si>
  <si>
    <t>Phone</t>
  </si>
  <si>
    <t>09:00</t>
  </si>
  <si>
    <t>09:17</t>
  </si>
  <si>
    <t>09:15</t>
  </si>
  <si>
    <t>45</t>
  </si>
  <si>
    <t>80</t>
  </si>
  <si>
    <t>APT-202601-0003</t>
  </si>
  <si>
    <t>2026-01-31</t>
  </si>
  <si>
    <t>2026-01-30</t>
  </si>
  <si>
    <t>P0208</t>
  </si>
  <si>
    <t>HAM</t>
  </si>
  <si>
    <t>MHS</t>
  </si>
  <si>
    <t>CL014</t>
  </si>
  <si>
    <t>120</t>
  </si>
  <si>
    <t>New referral</t>
  </si>
  <si>
    <t>APT-202601-0004</t>
  </si>
  <si>
    <t>2026-01-13</t>
  </si>
  <si>
    <t>2025-11-24</t>
  </si>
  <si>
    <t>P0022</t>
  </si>
  <si>
    <t>CL034</t>
  </si>
  <si>
    <t>13:34</t>
  </si>
  <si>
    <t>14:06</t>
  </si>
  <si>
    <t>20</t>
  </si>
  <si>
    <t>APT-202601-0005</t>
  </si>
  <si>
    <t>2025-11-30</t>
  </si>
  <si>
    <t>P0234</t>
  </si>
  <si>
    <t>GEN</t>
  </si>
  <si>
    <t>CL011</t>
  </si>
  <si>
    <t>GP Referral</t>
  </si>
  <si>
    <t>10:30</t>
  </si>
  <si>
    <t>10:24</t>
  </si>
  <si>
    <t>11:08</t>
  </si>
  <si>
    <t>30</t>
  </si>
  <si>
    <t>65</t>
  </si>
  <si>
    <t>Routine review</t>
  </si>
  <si>
    <t>APT-202601-0006</t>
  </si>
  <si>
    <t>2026-01-08</t>
  </si>
  <si>
    <t>2025-12-02</t>
  </si>
  <si>
    <t>P0024</t>
  </si>
  <si>
    <t>13:33</t>
  </si>
  <si>
    <t>13:35</t>
  </si>
  <si>
    <t>APT-202601-0007</t>
  </si>
  <si>
    <t>2026-01-10</t>
  </si>
  <si>
    <t>2026-01-03</t>
  </si>
  <si>
    <t>P0207</t>
  </si>
  <si>
    <t>Walk-in</t>
  </si>
  <si>
    <t>13:22</t>
  </si>
  <si>
    <t>Patient requested appointment</t>
  </si>
  <si>
    <t>APT-202601-0008</t>
  </si>
  <si>
    <t>2026-01-19</t>
  </si>
  <si>
    <t>P0131</t>
  </si>
  <si>
    <t>CL018</t>
  </si>
  <si>
    <t>12:00</t>
  </si>
  <si>
    <t>11:59</t>
  </si>
  <si>
    <t>12:05</t>
  </si>
  <si>
    <t>Care plan review</t>
  </si>
  <si>
    <t>APT-202601-0009</t>
  </si>
  <si>
    <t>2026-01-09</t>
  </si>
  <si>
    <t>2025-12-24</t>
  </si>
  <si>
    <t>P0203</t>
  </si>
  <si>
    <t>CL032</t>
  </si>
  <si>
    <t>13:00</t>
  </si>
  <si>
    <t>13:14</t>
  </si>
  <si>
    <t>13:36</t>
  </si>
  <si>
    <t>60</t>
  </si>
  <si>
    <t>APT-202601-0010</t>
  </si>
  <si>
    <t>2026-01-22</t>
  </si>
  <si>
    <t>P0016</t>
  </si>
  <si>
    <t>PMR</t>
  </si>
  <si>
    <t>CL028</t>
  </si>
  <si>
    <t>08:30</t>
  </si>
  <si>
    <t>APT-202601-0011</t>
  </si>
  <si>
    <t>2025-11-22</t>
  </si>
  <si>
    <t>P0235</t>
  </si>
  <si>
    <t>CL025</t>
  </si>
  <si>
    <t>16:00</t>
  </si>
  <si>
    <t>16:39</t>
  </si>
  <si>
    <t>APT-202601-0012</t>
  </si>
  <si>
    <t>2025-12-05</t>
  </si>
  <si>
    <t>P0230</t>
  </si>
  <si>
    <t>12:30</t>
  </si>
  <si>
    <t>12:39</t>
  </si>
  <si>
    <t>13:07</t>
  </si>
  <si>
    <t>APT-202601-0013</t>
  </si>
  <si>
    <t>2026-01-25</t>
  </si>
  <si>
    <t>2026-01-20</t>
  </si>
  <si>
    <t>P0029</t>
  </si>
  <si>
    <t>14:00</t>
  </si>
  <si>
    <t>14:16</t>
  </si>
  <si>
    <t>14:26</t>
  </si>
  <si>
    <t>APT-202601-0014</t>
  </si>
  <si>
    <t>P0192</t>
  </si>
  <si>
    <t>CL017</t>
  </si>
  <si>
    <t>08:38</t>
  </si>
  <si>
    <t>08:54</t>
  </si>
  <si>
    <t>APT-202601-0015</t>
  </si>
  <si>
    <t>P0013</t>
  </si>
  <si>
    <t>CL012</t>
  </si>
  <si>
    <t>13:16</t>
  </si>
  <si>
    <t>13:26</t>
  </si>
  <si>
    <t>APT-202601-0016</t>
  </si>
  <si>
    <t>P0080</t>
  </si>
  <si>
    <t>12:54</t>
  </si>
  <si>
    <t>13:25</t>
  </si>
  <si>
    <t>APT-202601-0017</t>
  </si>
  <si>
    <t>2025-11-13</t>
  </si>
  <si>
    <t>P0015</t>
  </si>
  <si>
    <t>14:12</t>
  </si>
  <si>
    <t>APT-202601-0018</t>
  </si>
  <si>
    <t>2025-12-06</t>
  </si>
  <si>
    <t>P0175</t>
  </si>
  <si>
    <t>13:31</t>
  </si>
  <si>
    <t>14:02</t>
  </si>
  <si>
    <t>APT-202601-0019</t>
  </si>
  <si>
    <t>2025-12-21</t>
  </si>
  <si>
    <t>P0084</t>
  </si>
  <si>
    <t>APT-202601-0020</t>
  </si>
  <si>
    <t>2026-01-11</t>
  </si>
  <si>
    <t>2025-12-11</t>
  </si>
  <si>
    <t>P0049</t>
  </si>
  <si>
    <t>CL037</t>
  </si>
  <si>
    <t>09:30</t>
  </si>
  <si>
    <t>09:26</t>
  </si>
  <si>
    <t>09:33</t>
  </si>
  <si>
    <t>APT-202601-0021</t>
  </si>
  <si>
    <t>2026-01-16</t>
  </si>
  <si>
    <t>P0186</t>
  </si>
  <si>
    <t>CL035</t>
  </si>
  <si>
    <t>11:00</t>
  </si>
  <si>
    <t>APT-202601-0022</t>
  </si>
  <si>
    <t>2025-12-31</t>
  </si>
  <si>
    <t>P0109</t>
  </si>
  <si>
    <t>CL026</t>
  </si>
  <si>
    <t>08:00</t>
  </si>
  <si>
    <t>APT-202601-0023</t>
  </si>
  <si>
    <t>2026-01-28</t>
  </si>
  <si>
    <t>2026-01-26</t>
  </si>
  <si>
    <t>P0091</t>
  </si>
  <si>
    <t>CAR</t>
  </si>
  <si>
    <t>CL039</t>
  </si>
  <si>
    <t>10:00</t>
  </si>
  <si>
    <t>150</t>
  </si>
  <si>
    <t>APT-202601-0024</t>
  </si>
  <si>
    <t>P0057</t>
  </si>
  <si>
    <t>09:34</t>
  </si>
  <si>
    <t>APT-202601-0025</t>
  </si>
  <si>
    <t>2026-01-14</t>
  </si>
  <si>
    <t>P0076</t>
  </si>
  <si>
    <t>CL005</t>
  </si>
  <si>
    <t>12:48</t>
  </si>
  <si>
    <t>APT-202601-0026</t>
  </si>
  <si>
    <t>2025-12-20</t>
  </si>
  <si>
    <t>P0043</t>
  </si>
  <si>
    <t>CL033</t>
  </si>
  <si>
    <t>08:57</t>
  </si>
  <si>
    <t>09:14</t>
  </si>
  <si>
    <t>APT-202601-0027</t>
  </si>
  <si>
    <t>P0173</t>
  </si>
  <si>
    <t>CL016</t>
  </si>
  <si>
    <t>14:04</t>
  </si>
  <si>
    <t>14:28</t>
  </si>
  <si>
    <t>APT-202601-0028</t>
  </si>
  <si>
    <t>2025-12-17</t>
  </si>
  <si>
    <t>P0086</t>
  </si>
  <si>
    <t>CL007</t>
  </si>
  <si>
    <t>13:28</t>
  </si>
  <si>
    <t>13:40</t>
  </si>
  <si>
    <t>APT-202601-0029</t>
  </si>
  <si>
    <t>2026-01-18</t>
  </si>
  <si>
    <t>2025-12-14</t>
  </si>
  <si>
    <t>P0162</t>
  </si>
  <si>
    <t>10:15</t>
  </si>
  <si>
    <t>10:36</t>
  </si>
  <si>
    <t>APT-202601-0030</t>
  </si>
  <si>
    <t>P0214</t>
  </si>
  <si>
    <t>CL013</t>
  </si>
  <si>
    <t>11:30</t>
  </si>
  <si>
    <t>APT-202601-0031</t>
  </si>
  <si>
    <t>2025-12-25</t>
  </si>
  <si>
    <t>P0152</t>
  </si>
  <si>
    <t>attended</t>
  </si>
  <si>
    <t>12:55</t>
  </si>
  <si>
    <t>APT-202601-0032</t>
  </si>
  <si>
    <t>P0177</t>
  </si>
  <si>
    <t>09:22</t>
  </si>
  <si>
    <t>09:35</t>
  </si>
  <si>
    <t>APT-202601-0033</t>
  </si>
  <si>
    <t>2026-01-01</t>
  </si>
  <si>
    <t>2025-12-29</t>
  </si>
  <si>
    <t>P0036</t>
  </si>
  <si>
    <t>CL024</t>
  </si>
  <si>
    <t>12:25</t>
  </si>
  <si>
    <t>APT-202601-0034</t>
  </si>
  <si>
    <t>2026-01-05</t>
  </si>
  <si>
    <t>P0093</t>
  </si>
  <si>
    <t>Rescheduled</t>
  </si>
  <si>
    <t>APT-202601-0035</t>
  </si>
  <si>
    <t>P0009</t>
  </si>
  <si>
    <t>15:30</t>
  </si>
  <si>
    <t>15:31</t>
  </si>
  <si>
    <t>15:44</t>
  </si>
  <si>
    <t>APT-202601-0036</t>
  </si>
  <si>
    <t>2026-01-21</t>
  </si>
  <si>
    <t>2025-12-19</t>
  </si>
  <si>
    <t>P0062</t>
  </si>
  <si>
    <t>CL029</t>
  </si>
  <si>
    <t>16:07</t>
  </si>
  <si>
    <t>16:09</t>
  </si>
  <si>
    <t>APT-202601-0037</t>
  </si>
  <si>
    <t>P0211</t>
  </si>
  <si>
    <t>10:43</t>
  </si>
  <si>
    <t>10:48</t>
  </si>
  <si>
    <t>NO</t>
  </si>
  <si>
    <t>APT-202601-0038</t>
  </si>
  <si>
    <t>2025-12-10</t>
  </si>
  <si>
    <t>P0065</t>
  </si>
  <si>
    <t>13:27</t>
  </si>
  <si>
    <t>14:10</t>
  </si>
  <si>
    <t>APT-202601-0039</t>
  </si>
  <si>
    <t>2025-12-30</t>
  </si>
  <si>
    <t>12:36</t>
  </si>
  <si>
    <t>APT-202601-0040</t>
  </si>
  <si>
    <t>2026-01-12</t>
  </si>
  <si>
    <t>2025-11-23</t>
  </si>
  <si>
    <t>P0090</t>
  </si>
  <si>
    <t>CL020</t>
  </si>
  <si>
    <t>14:11</t>
  </si>
  <si>
    <t>14:38</t>
  </si>
  <si>
    <t>APT-202601-0041</t>
  </si>
  <si>
    <t>P0190</t>
  </si>
  <si>
    <t>CL030</t>
  </si>
  <si>
    <t>APT-202601-0042</t>
  </si>
  <si>
    <t>2025-12-08</t>
  </si>
  <si>
    <t>P0237</t>
  </si>
  <si>
    <t>CL003</t>
  </si>
  <si>
    <t>APT-202601-0043</t>
  </si>
  <si>
    <t>2025-12-12</t>
  </si>
  <si>
    <t>P0228</t>
  </si>
  <si>
    <t>APT-202601-0044</t>
  </si>
  <si>
    <t>11:09</t>
  </si>
  <si>
    <t>11:04</t>
  </si>
  <si>
    <t>APT-202601-0045</t>
  </si>
  <si>
    <t>2025-12-09</t>
  </si>
  <si>
    <t>P0113</t>
  </si>
  <si>
    <t>APT-202601-0046</t>
  </si>
  <si>
    <t>APT-202601-0047</t>
  </si>
  <si>
    <t>2025-12-04</t>
  </si>
  <si>
    <t>P0104</t>
  </si>
  <si>
    <t>gp referral</t>
  </si>
  <si>
    <t>11:24</t>
  </si>
  <si>
    <t>APT-202601-0048</t>
  </si>
  <si>
    <t>2026-01-23</t>
  </si>
  <si>
    <t>P0050</t>
  </si>
  <si>
    <t>CL004</t>
  </si>
  <si>
    <t>14:30</t>
  </si>
  <si>
    <t>APT-202601-0049</t>
  </si>
  <si>
    <t>P0157</t>
  </si>
  <si>
    <t>CL027</t>
  </si>
  <si>
    <t>15:00</t>
  </si>
  <si>
    <t>14:55</t>
  </si>
  <si>
    <t>15:23</t>
  </si>
  <si>
    <t>APT-202601-0050</t>
  </si>
  <si>
    <t>2025-12-07</t>
  </si>
  <si>
    <t>P0139</t>
  </si>
  <si>
    <t>CL019</t>
  </si>
  <si>
    <t>10:05</t>
  </si>
  <si>
    <t>10:34</t>
  </si>
  <si>
    <t>APT-202601-0051</t>
  </si>
  <si>
    <t>APT-202601-0052</t>
  </si>
  <si>
    <t>2025-12-28</t>
  </si>
  <si>
    <t>P0210</t>
  </si>
  <si>
    <t>CL038</t>
  </si>
  <si>
    <t>09:12</t>
  </si>
  <si>
    <t>09:01</t>
  </si>
  <si>
    <t>APT-202601-0053</t>
  </si>
  <si>
    <t>P0099</t>
  </si>
  <si>
    <t>11:29</t>
  </si>
  <si>
    <t>11:37</t>
  </si>
  <si>
    <t>$150.00</t>
  </si>
  <si>
    <t>APT-202601-0054</t>
  </si>
  <si>
    <t>P0182</t>
  </si>
  <si>
    <t>CL009</t>
  </si>
  <si>
    <t>10:23</t>
  </si>
  <si>
    <t>10:42</t>
  </si>
  <si>
    <t>APT-202601-0055</t>
  </si>
  <si>
    <t>13:06</t>
  </si>
  <si>
    <t>APT-202601-0056</t>
  </si>
  <si>
    <t>P0212</t>
  </si>
  <si>
    <t>09:11</t>
  </si>
  <si>
    <t>APT-202601-0057</t>
  </si>
  <si>
    <t>2026-01-15</t>
  </si>
  <si>
    <t>2025-12-27</t>
  </si>
  <si>
    <t>P0052</t>
  </si>
  <si>
    <t>CL023</t>
  </si>
  <si>
    <t>13:50</t>
  </si>
  <si>
    <t>14:24</t>
  </si>
  <si>
    <t>APT-202601-0058</t>
  </si>
  <si>
    <t>P0172</t>
  </si>
  <si>
    <t>CL022</t>
  </si>
  <si>
    <t>12:29</t>
  </si>
  <si>
    <t>12:43</t>
  </si>
  <si>
    <t>APT-202601-0059</t>
  </si>
  <si>
    <t>07/01/2026</t>
  </si>
  <si>
    <t>2025-12-03</t>
  </si>
  <si>
    <t>P0014</t>
  </si>
  <si>
    <t>APT-202601-0060</t>
  </si>
  <si>
    <t>P0185</t>
  </si>
  <si>
    <t>APT-202601-0061</t>
  </si>
  <si>
    <t>P0176</t>
  </si>
  <si>
    <t>gen</t>
  </si>
  <si>
    <t>APT-202601-0062</t>
  </si>
  <si>
    <t>P0017</t>
  </si>
  <si>
    <t>CL001</t>
  </si>
  <si>
    <t>APT-202601-0063</t>
  </si>
  <si>
    <t>2026-01-24</t>
  </si>
  <si>
    <t>P0151</t>
  </si>
  <si>
    <t>CL010</t>
  </si>
  <si>
    <t>11:06</t>
  </si>
  <si>
    <t>11:19</t>
  </si>
  <si>
    <t>APT-202601-0064</t>
  </si>
  <si>
    <t>2025-12-15</t>
  </si>
  <si>
    <t>P0160</t>
  </si>
  <si>
    <t>APT-202601-0065</t>
  </si>
  <si>
    <t>P0155</t>
  </si>
  <si>
    <t>10:12</t>
  </si>
  <si>
    <t>10:38</t>
  </si>
  <si>
    <t>APT-202601-0066</t>
  </si>
  <si>
    <t>15:15</t>
  </si>
  <si>
    <t>15:05</t>
  </si>
  <si>
    <t>APT-202601-0067</t>
  </si>
  <si>
    <t>P0225</t>
  </si>
  <si>
    <t>16:12</t>
  </si>
  <si>
    <t>16:28</t>
  </si>
  <si>
    <t>45 mins</t>
  </si>
  <si>
    <t>APT-202601-0068</t>
  </si>
  <si>
    <t>2025-12-22</t>
  </si>
  <si>
    <t>13:08</t>
  </si>
  <si>
    <t>APT-202601-0069</t>
  </si>
  <si>
    <t>2025-11-14</t>
  </si>
  <si>
    <t>P0121</t>
  </si>
  <si>
    <t>10:17</t>
  </si>
  <si>
    <t>10:31</t>
  </si>
  <si>
    <t>APT-202601-0070</t>
  </si>
  <si>
    <t>2025-12-16</t>
  </si>
  <si>
    <t>P0145</t>
  </si>
  <si>
    <t>15:45</t>
  </si>
  <si>
    <t>16:02</t>
  </si>
  <si>
    <t>APT-202601-0071</t>
  </si>
  <si>
    <t>13:39</t>
  </si>
  <si>
    <t>APT-202601-0072</t>
  </si>
  <si>
    <t>2026-01-02</t>
  </si>
  <si>
    <t>P0159</t>
  </si>
  <si>
    <t>APT-202601-0073</t>
  </si>
  <si>
    <t>P0055</t>
  </si>
  <si>
    <t>11:31</t>
  </si>
  <si>
    <t>12:09</t>
  </si>
  <si>
    <t>APT-202601-0074</t>
  </si>
  <si>
    <t>CL002</t>
  </si>
  <si>
    <t>16:11</t>
  </si>
  <si>
    <t>16:10</t>
  </si>
  <si>
    <t>Y</t>
  </si>
  <si>
    <t>APT-202601-0075</t>
  </si>
  <si>
    <t>2026-01-07</t>
  </si>
  <si>
    <t>P0223</t>
  </si>
  <si>
    <t>11:13</t>
  </si>
  <si>
    <t>11:34</t>
  </si>
  <si>
    <t>APT-202601-0076</t>
  </si>
  <si>
    <t>P0119</t>
  </si>
  <si>
    <t>CL031</t>
  </si>
  <si>
    <t>15:48</t>
  </si>
  <si>
    <t>APT-202601-0077</t>
  </si>
  <si>
    <t>P0095</t>
  </si>
  <si>
    <t>08:43</t>
  </si>
  <si>
    <t>08:59</t>
  </si>
  <si>
    <t>APT-202601-0078</t>
  </si>
  <si>
    <t>2025-12-23</t>
  </si>
  <si>
    <t>P0158</t>
  </si>
  <si>
    <t>CL040</t>
  </si>
  <si>
    <t>07:50</t>
  </si>
  <si>
    <t>08:06</t>
  </si>
  <si>
    <t>APT-202601-0079</t>
  </si>
  <si>
    <t>07:52</t>
  </si>
  <si>
    <t>08:23</t>
  </si>
  <si>
    <t>APT-202601-0080</t>
  </si>
  <si>
    <t>P0011</t>
  </si>
  <si>
    <t>12:47</t>
  </si>
  <si>
    <t>12:45</t>
  </si>
  <si>
    <t>APT-202601-0081</t>
  </si>
  <si>
    <t>P0122</t>
  </si>
  <si>
    <t>11:38</t>
  </si>
  <si>
    <t>APT-202601-0082</t>
  </si>
  <si>
    <t>APT-202601-0083</t>
  </si>
  <si>
    <t>13:01</t>
  </si>
  <si>
    <t>six</t>
  </si>
  <si>
    <t>APT-202601-0084</t>
  </si>
  <si>
    <t>2026-01-29</t>
  </si>
  <si>
    <t>P0200</t>
  </si>
  <si>
    <t>15:10</t>
  </si>
  <si>
    <t>15:35</t>
  </si>
  <si>
    <t>APT-202601-0085</t>
  </si>
  <si>
    <t>09:09</t>
  </si>
  <si>
    <t>APT-202601-0086</t>
  </si>
  <si>
    <t>P0035</t>
  </si>
  <si>
    <t>pmr</t>
  </si>
  <si>
    <t>APT-202601-0087</t>
  </si>
  <si>
    <t>2025-12-01</t>
  </si>
  <si>
    <t>P0023</t>
  </si>
  <si>
    <t>09:42</t>
  </si>
  <si>
    <t>09:36</t>
  </si>
  <si>
    <t>APT-202601-0088</t>
  </si>
  <si>
    <t>2025-12-13</t>
  </si>
  <si>
    <t>P0067</t>
  </si>
  <si>
    <t>10:39</t>
  </si>
  <si>
    <t>APT-202601-0089</t>
  </si>
  <si>
    <t>P0236</t>
  </si>
  <si>
    <t>N/A</t>
  </si>
  <si>
    <t>APT-202601-0090</t>
  </si>
  <si>
    <t>12:27</t>
  </si>
  <si>
    <t>13:05</t>
  </si>
  <si>
    <t>APT-202601-0091</t>
  </si>
  <si>
    <t>P0215</t>
  </si>
  <si>
    <t>10:40</t>
  </si>
  <si>
    <t>APT-202601-0092</t>
  </si>
  <si>
    <t>P0039</t>
  </si>
  <si>
    <t>APT-202601-0093</t>
  </si>
  <si>
    <t>cancelled</t>
  </si>
  <si>
    <t>08:29</t>
  </si>
  <si>
    <t>08:51</t>
  </si>
  <si>
    <t>APT-202601-0094</t>
  </si>
  <si>
    <t>2025-11-26</t>
  </si>
  <si>
    <t>13:46</t>
  </si>
  <si>
    <t>14:09</t>
  </si>
  <si>
    <t>APT-202601-0095</t>
  </si>
  <si>
    <t>P0227</t>
  </si>
  <si>
    <t>APT-202601-0096</t>
  </si>
  <si>
    <t>P0069</t>
  </si>
  <si>
    <t>10:29</t>
  </si>
  <si>
    <t>APT-202601-0097</t>
  </si>
  <si>
    <t>not recorded</t>
  </si>
  <si>
    <t>2025-11-29</t>
  </si>
  <si>
    <t>P0064</t>
  </si>
  <si>
    <t>13:52</t>
  </si>
  <si>
    <t>14:08</t>
  </si>
  <si>
    <t>APT-202601-0098</t>
  </si>
  <si>
    <t>P0038</t>
  </si>
  <si>
    <t>APT-202601-0099</t>
  </si>
  <si>
    <t>P0138</t>
  </si>
  <si>
    <t>08:50</t>
  </si>
  <si>
    <t>09:28</t>
  </si>
  <si>
    <t>APT-202601-0100</t>
  </si>
  <si>
    <t>P0194</t>
  </si>
  <si>
    <t>16:14</t>
  </si>
  <si>
    <t>16:05</t>
  </si>
  <si>
    <t>APT-202601-0101</t>
  </si>
  <si>
    <t>CL999</t>
  </si>
  <si>
    <t>APT-202601-0102</t>
  </si>
  <si>
    <t>P0020</t>
  </si>
  <si>
    <t>APT-202601-0103</t>
  </si>
  <si>
    <t>APT-202601-0104</t>
  </si>
  <si>
    <t>2026-01-27</t>
  </si>
  <si>
    <t>P0197</t>
  </si>
  <si>
    <t>12:52</t>
  </si>
  <si>
    <t>APT-202601-0105</t>
  </si>
  <si>
    <t>14:14</t>
  </si>
  <si>
    <t>APT-202601-0106</t>
  </si>
  <si>
    <t>P0233</t>
  </si>
  <si>
    <t>11:55</t>
  </si>
  <si>
    <t>$120.00</t>
  </si>
  <si>
    <t>APT-202601-0107</t>
  </si>
  <si>
    <t>2025-11-19</t>
  </si>
  <si>
    <t>P0088</t>
  </si>
  <si>
    <t>11:01</t>
  </si>
  <si>
    <t>11:40</t>
  </si>
  <si>
    <t>APT-202601-0108</t>
  </si>
  <si>
    <t>07:53</t>
  </si>
  <si>
    <t>08:07</t>
  </si>
  <si>
    <t>APT-202601-0109</t>
  </si>
  <si>
    <t>APT-202601-0110</t>
  </si>
  <si>
    <t>09:43</t>
  </si>
  <si>
    <t>APT-202601-0111</t>
  </si>
  <si>
    <t>11:51</t>
  </si>
  <si>
    <t>APT-202601-0112</t>
  </si>
  <si>
    <t>16:08</t>
  </si>
  <si>
    <t>APT-202601-0113</t>
  </si>
  <si>
    <t>31/02/2026</t>
  </si>
  <si>
    <t>P0226</t>
  </si>
  <si>
    <t>10:49</t>
  </si>
  <si>
    <t>APT-202601-0114</t>
  </si>
  <si>
    <t>P0027</t>
  </si>
  <si>
    <t>07:57</t>
  </si>
  <si>
    <t>08:19</t>
  </si>
  <si>
    <t>APT-202601-0115</t>
  </si>
  <si>
    <t>P0174</t>
  </si>
  <si>
    <t>APT-202601-0116</t>
  </si>
  <si>
    <t>P0079</t>
  </si>
  <si>
    <t>APT-202601-0117</t>
  </si>
  <si>
    <t>APT-202601-0118</t>
  </si>
  <si>
    <t>28/01/2026</t>
  </si>
  <si>
    <t>P0116</t>
  </si>
  <si>
    <t>15:13</t>
  </si>
  <si>
    <t>APT-202601-0119</t>
  </si>
  <si>
    <t>P0018</t>
  </si>
  <si>
    <t>11:20</t>
  </si>
  <si>
    <t>APT-202601-0120</t>
  </si>
  <si>
    <t>13:10</t>
  </si>
  <si>
    <t>APT-202601-0121</t>
  </si>
  <si>
    <t>09:02</t>
  </si>
  <si>
    <t>APT-202601-0122</t>
  </si>
  <si>
    <t>P0047</t>
  </si>
  <si>
    <t>CL021</t>
  </si>
  <si>
    <t>APT-202601-0123</t>
  </si>
  <si>
    <t>2025-11-25</t>
  </si>
  <si>
    <t>09:10</t>
  </si>
  <si>
    <t>09:13</t>
  </si>
  <si>
    <t>APT-202601-0124</t>
  </si>
  <si>
    <t>P0133</t>
  </si>
  <si>
    <t>Re-scheduled</t>
  </si>
  <si>
    <t>10:27</t>
  </si>
  <si>
    <t>10:33</t>
  </si>
  <si>
    <t>APT-202601-0125</t>
  </si>
  <si>
    <t>P0240</t>
  </si>
  <si>
    <t>09:55</t>
  </si>
  <si>
    <t>10:32</t>
  </si>
  <si>
    <t>APT-202601-0126</t>
  </si>
  <si>
    <t>P0232</t>
  </si>
  <si>
    <t>CL015</t>
  </si>
  <si>
    <t>15:46</t>
  </si>
  <si>
    <t>15:58</t>
  </si>
  <si>
    <t>APT-202601-0127</t>
  </si>
  <si>
    <t>P0101</t>
  </si>
  <si>
    <t>13:47</t>
  </si>
  <si>
    <t>13:56</t>
  </si>
  <si>
    <t>APT-202601-0128</t>
  </si>
  <si>
    <t>2025-11-11</t>
  </si>
  <si>
    <t>07:58</t>
  </si>
  <si>
    <t>08:10</t>
  </si>
  <si>
    <t>APT-202601-0129</t>
  </si>
  <si>
    <t>10:08</t>
  </si>
  <si>
    <t>APT-202601-0130</t>
  </si>
  <si>
    <t>12:11</t>
  </si>
  <si>
    <t>12:17</t>
  </si>
  <si>
    <t>APT-202601-0131</t>
  </si>
  <si>
    <t>P9999</t>
  </si>
  <si>
    <t>12:08</t>
  </si>
  <si>
    <t>12:33</t>
  </si>
  <si>
    <t>APT-202601-0132</t>
  </si>
  <si>
    <t>10:11</t>
  </si>
  <si>
    <t>10:07</t>
  </si>
  <si>
    <t>APT-202601-0133</t>
  </si>
  <si>
    <t>P0021</t>
  </si>
  <si>
    <t>APT-202601-0134</t>
  </si>
  <si>
    <t>2025-11-27</t>
  </si>
  <si>
    <t>P0205</t>
  </si>
  <si>
    <t>11:50</t>
  </si>
  <si>
    <t>12:21</t>
  </si>
  <si>
    <t>APT-202601-0135</t>
  </si>
  <si>
    <t>12:24</t>
  </si>
  <si>
    <t>12:37</t>
  </si>
  <si>
    <t>APT-202601-0136</t>
  </si>
  <si>
    <t>2025-11-12</t>
  </si>
  <si>
    <t>08:21</t>
  </si>
  <si>
    <t>APT-202601-0137</t>
  </si>
  <si>
    <t>09:44</t>
  </si>
  <si>
    <t>09:50</t>
  </si>
  <si>
    <t>-15</t>
  </si>
  <si>
    <t>APT-202601-0138</t>
  </si>
  <si>
    <t>P0094</t>
  </si>
  <si>
    <t>09:54</t>
  </si>
  <si>
    <t>P0110</t>
  </si>
  <si>
    <t>08:25</t>
  </si>
  <si>
    <t>08:45</t>
  </si>
  <si>
    <t>APT-202601-0140</t>
  </si>
  <si>
    <t>P0005</t>
  </si>
  <si>
    <t>APT-202601-0141</t>
  </si>
  <si>
    <t>P0183</t>
  </si>
  <si>
    <t>ONLINE</t>
  </si>
  <si>
    <t>APT-202601-0142</t>
  </si>
  <si>
    <t>2025-11-28</t>
  </si>
  <si>
    <t>09:06</t>
  </si>
  <si>
    <t>APT-202601-0143</t>
  </si>
  <si>
    <t>P0001</t>
  </si>
  <si>
    <t>APT-202601-0144</t>
  </si>
  <si>
    <t>P0105</t>
  </si>
  <si>
    <t>13:20</t>
  </si>
  <si>
    <t>14:03</t>
  </si>
  <si>
    <t>APT-202601-0145</t>
  </si>
  <si>
    <t>P0142</t>
  </si>
  <si>
    <t>APT-202601-0146</t>
  </si>
  <si>
    <t>2025-12-18</t>
  </si>
  <si>
    <t>15:33</t>
  </si>
  <si>
    <t>APT-202601-0147</t>
  </si>
  <si>
    <t>APT-202601-0148</t>
  </si>
  <si>
    <t>APT-202601-0149</t>
  </si>
  <si>
    <t>APT-202601-0150</t>
  </si>
  <si>
    <t>P0198</t>
  </si>
  <si>
    <t>15:28</t>
  </si>
  <si>
    <t>APT-202601-0151</t>
  </si>
  <si>
    <t>APT-202601-0152</t>
  </si>
  <si>
    <t>10:06</t>
  </si>
  <si>
    <t>10:35</t>
  </si>
  <si>
    <t>APT-202601-0153</t>
  </si>
  <si>
    <t>P0171</t>
  </si>
  <si>
    <t>09:21</t>
  </si>
  <si>
    <t>APT-202601-0154</t>
  </si>
  <si>
    <t>P0199</t>
  </si>
  <si>
    <t>APT-202601-0155</t>
  </si>
  <si>
    <t>P0148</t>
  </si>
  <si>
    <t>APT-202601-0156</t>
  </si>
  <si>
    <t>P0213</t>
  </si>
  <si>
    <t>08:20</t>
  </si>
  <si>
    <t>APT-202601-0157</t>
  </si>
  <si>
    <t>P0156</t>
  </si>
  <si>
    <t>APT-202601-0158</t>
  </si>
  <si>
    <t>16:04</t>
  </si>
  <si>
    <t>APT-202601-0159</t>
  </si>
  <si>
    <t>CL006</t>
  </si>
  <si>
    <t>09:24</t>
  </si>
  <si>
    <t>$95.00</t>
  </si>
  <si>
    <t>APT-202601-0160</t>
  </si>
  <si>
    <t>P0179</t>
  </si>
  <si>
    <t>15:26</t>
  </si>
  <si>
    <t>Feb 2026 — Raw Appointment Export</t>
  </si>
  <si>
    <t>APT-202602-0001</t>
  </si>
  <si>
    <t>2026-02-16</t>
  </si>
  <si>
    <t>P0056</t>
  </si>
  <si>
    <t>appointment_export_2026_02.csv</t>
  </si>
  <si>
    <t>APT-202602-0002</t>
  </si>
  <si>
    <t>2026-02-12</t>
  </si>
  <si>
    <t>2026-02-08</t>
  </si>
  <si>
    <t>11:27</t>
  </si>
  <si>
    <t>APT-202602-0003</t>
  </si>
  <si>
    <t>2026-02-27</t>
  </si>
  <si>
    <t>2026-02-18</t>
  </si>
  <si>
    <t>P0136</t>
  </si>
  <si>
    <t>13:21</t>
  </si>
  <si>
    <t>13:32</t>
  </si>
  <si>
    <t>APT-202602-0004</t>
  </si>
  <si>
    <t>2026-02-24</t>
  </si>
  <si>
    <t>P0096</t>
  </si>
  <si>
    <t>15:03</t>
  </si>
  <si>
    <t>15:19</t>
  </si>
  <si>
    <t>APT-202602-0005</t>
  </si>
  <si>
    <t>2026-02-23</t>
  </si>
  <si>
    <t>2026-02-14</t>
  </si>
  <si>
    <t>APT-202602-0006</t>
  </si>
  <si>
    <t>P0220</t>
  </si>
  <si>
    <t>12:40</t>
  </si>
  <si>
    <t>12:58</t>
  </si>
  <si>
    <t>APT-202602-0007</t>
  </si>
  <si>
    <t>2026-02-05</t>
  </si>
  <si>
    <t>P0061</t>
  </si>
  <si>
    <t>12:04</t>
  </si>
  <si>
    <t>APT-202602-0008</t>
  </si>
  <si>
    <t>2026-02-22</t>
  </si>
  <si>
    <t>2026-02-03</t>
  </si>
  <si>
    <t>APT-202602-0009</t>
  </si>
  <si>
    <t>08:44</t>
  </si>
  <si>
    <t>08:41</t>
  </si>
  <si>
    <t>APT-202602-0010</t>
  </si>
  <si>
    <t>P0082</t>
  </si>
  <si>
    <t>15:25</t>
  </si>
  <si>
    <t>APT-202602-0011</t>
  </si>
  <si>
    <t>2026-02-09</t>
  </si>
  <si>
    <t>P0180</t>
  </si>
  <si>
    <t>APT-202602-0012</t>
  </si>
  <si>
    <t>2026-02-10</t>
  </si>
  <si>
    <t>13:11</t>
  </si>
  <si>
    <t>APT-202602-0013</t>
  </si>
  <si>
    <t>2026-02-26</t>
  </si>
  <si>
    <t>2026-02-02</t>
  </si>
  <si>
    <t>P0239</t>
  </si>
  <si>
    <t>09:07</t>
  </si>
  <si>
    <t>09:03</t>
  </si>
  <si>
    <t>APT-202602-0014</t>
  </si>
  <si>
    <t>2026-02-04</t>
  </si>
  <si>
    <t>P0100</t>
  </si>
  <si>
    <t>APT-202602-0015</t>
  </si>
  <si>
    <t>2026-02-11</t>
  </si>
  <si>
    <t>09:04</t>
  </si>
  <si>
    <t>APT-202602-0016</t>
  </si>
  <si>
    <t>P0032</t>
  </si>
  <si>
    <t>APT-202602-0017</t>
  </si>
  <si>
    <t>APT-202602-0018</t>
  </si>
  <si>
    <t>2026-02-17</t>
  </si>
  <si>
    <t>APT-202602-0019</t>
  </si>
  <si>
    <t>APT-202602-0020</t>
  </si>
  <si>
    <t>2026-02-07</t>
  </si>
  <si>
    <t>P0066</t>
  </si>
  <si>
    <t>APT-202602-0021</t>
  </si>
  <si>
    <t>2026-02-01</t>
  </si>
  <si>
    <t>APT-202602-0022</t>
  </si>
  <si>
    <t>2026-02-06</t>
  </si>
  <si>
    <t>P0188</t>
  </si>
  <si>
    <t>APT-202602-0023</t>
  </si>
  <si>
    <t>12:10</t>
  </si>
  <si>
    <t>APT-202602-0024</t>
  </si>
  <si>
    <t>P0126</t>
  </si>
  <si>
    <t>APT-202602-0025</t>
  </si>
  <si>
    <t>APT-202602-0026</t>
  </si>
  <si>
    <t>P0187</t>
  </si>
  <si>
    <t>15:07</t>
  </si>
  <si>
    <t>15:38</t>
  </si>
  <si>
    <t>APT-202602-0027</t>
  </si>
  <si>
    <t>2026-02-20</t>
  </si>
  <si>
    <t>14:29</t>
  </si>
  <si>
    <t>14:32</t>
  </si>
  <si>
    <t>APT-202602-0028</t>
  </si>
  <si>
    <t>P0135</t>
  </si>
  <si>
    <t>15:54</t>
  </si>
  <si>
    <t>APT-202602-0029</t>
  </si>
  <si>
    <t>2026-02-13</t>
  </si>
  <si>
    <t>P0144</t>
  </si>
  <si>
    <t>12:18</t>
  </si>
  <si>
    <t>APT-202602-0030</t>
  </si>
  <si>
    <t>APT-202602-0031</t>
  </si>
  <si>
    <t>12:07</t>
  </si>
  <si>
    <t>APT-202602-0032</t>
  </si>
  <si>
    <t>APT-202602-0033</t>
  </si>
  <si>
    <t>P0007</t>
  </si>
  <si>
    <t>APT-202602-0034</t>
  </si>
  <si>
    <t>10:20</t>
  </si>
  <si>
    <t>APT-202602-0035</t>
  </si>
  <si>
    <t>2026-02-15</t>
  </si>
  <si>
    <t>APT-202602-0036</t>
  </si>
  <si>
    <t>P0112</t>
  </si>
  <si>
    <t>08:13</t>
  </si>
  <si>
    <t>08:36</t>
  </si>
  <si>
    <t>APT-202602-0037</t>
  </si>
  <si>
    <t>P0217</t>
  </si>
  <si>
    <t>16:32</t>
  </si>
  <si>
    <t>APT-202602-0038</t>
  </si>
  <si>
    <t>APT-202602-0039</t>
  </si>
  <si>
    <t>2026-02-28</t>
  </si>
  <si>
    <t>11:41</t>
  </si>
  <si>
    <t>APT-202602-0040</t>
  </si>
  <si>
    <t>13:51</t>
  </si>
  <si>
    <t>APT-202602-0041</t>
  </si>
  <si>
    <t>P0141</t>
  </si>
  <si>
    <t>11:03</t>
  </si>
  <si>
    <t>11:33</t>
  </si>
  <si>
    <t>APT-202602-0042</t>
  </si>
  <si>
    <t>P0170</t>
  </si>
  <si>
    <t>APT-202602-0043</t>
  </si>
  <si>
    <t>P0129</t>
  </si>
  <si>
    <t>auc</t>
  </si>
  <si>
    <t>11:36</t>
  </si>
  <si>
    <t>APT-202602-0044</t>
  </si>
  <si>
    <t>P0125</t>
  </si>
  <si>
    <t>12:57</t>
  </si>
  <si>
    <t>APT-202602-0045</t>
  </si>
  <si>
    <t>APT-202602-0046</t>
  </si>
  <si>
    <t>P0063</t>
  </si>
  <si>
    <t>12:41</t>
  </si>
  <si>
    <t>APT-202602-0047</t>
  </si>
  <si>
    <t>phone</t>
  </si>
  <si>
    <t>APT-202602-0048</t>
  </si>
  <si>
    <t>10:37</t>
  </si>
  <si>
    <t>10:41</t>
  </si>
  <si>
    <t>APT-202602-0049</t>
  </si>
  <si>
    <t>2026-02-19</t>
  </si>
  <si>
    <t>P0102</t>
  </si>
  <si>
    <t>APT-202602-0050</t>
  </si>
  <si>
    <t>12:59</t>
  </si>
  <si>
    <t>APT-202602-0051</t>
  </si>
  <si>
    <t>APT-202602-0052</t>
  </si>
  <si>
    <t>P0108</t>
  </si>
  <si>
    <t>10:26</t>
  </si>
  <si>
    <t>10:59</t>
  </si>
  <si>
    <t>APT-202602-0053</t>
  </si>
  <si>
    <t>$80.00</t>
  </si>
  <si>
    <t>APT-202602-0054</t>
  </si>
  <si>
    <t>P0165</t>
  </si>
  <si>
    <t>12:38</t>
  </si>
  <si>
    <t>APT-202602-0055</t>
  </si>
  <si>
    <t>APT-202602-0056</t>
  </si>
  <si>
    <t>15:53</t>
  </si>
  <si>
    <t>16:18</t>
  </si>
  <si>
    <t>APT-202602-0057</t>
  </si>
  <si>
    <t>APT-202602-0058</t>
  </si>
  <si>
    <t>P0166</t>
  </si>
  <si>
    <t>APT-202602-0059</t>
  </si>
  <si>
    <t>17/02/2026</t>
  </si>
  <si>
    <t>13:58</t>
  </si>
  <si>
    <t>APT-202602-0060</t>
  </si>
  <si>
    <t>P0025</t>
  </si>
  <si>
    <t>APT-202602-0061</t>
  </si>
  <si>
    <t>mhs</t>
  </si>
  <si>
    <t>13:37</t>
  </si>
  <si>
    <t>APT-202602-0062</t>
  </si>
  <si>
    <t>P0124</t>
  </si>
  <si>
    <t>APT-202602-0063</t>
  </si>
  <si>
    <t>APT-202602-0064</t>
  </si>
  <si>
    <t>10:02</t>
  </si>
  <si>
    <t>APT-202602-0065</t>
  </si>
  <si>
    <t>P0143</t>
  </si>
  <si>
    <t>APT-202602-0066</t>
  </si>
  <si>
    <t>P0149</t>
  </si>
  <si>
    <t>16:38</t>
  </si>
  <si>
    <t>APT-202602-0067</t>
  </si>
  <si>
    <t>APT-202602-0068</t>
  </si>
  <si>
    <t>P0060</t>
  </si>
  <si>
    <t>14:15</t>
  </si>
  <si>
    <t>14:31</t>
  </si>
  <si>
    <t>APT-202602-0069</t>
  </si>
  <si>
    <t>10:10</t>
  </si>
  <si>
    <t>APT-202602-0070</t>
  </si>
  <si>
    <t>P0087</t>
  </si>
  <si>
    <t>15:08</t>
  </si>
  <si>
    <t>APT-202602-0071</t>
  </si>
  <si>
    <t>08:48</t>
  </si>
  <si>
    <t>APT-202602-0072</t>
  </si>
  <si>
    <t>APT-202602-0073</t>
  </si>
  <si>
    <t>P0150</t>
  </si>
  <si>
    <t>13:18</t>
  </si>
  <si>
    <t>APT-202602-0074</t>
  </si>
  <si>
    <t>APT-202602-0075</t>
  </si>
  <si>
    <t>2026-02-21</t>
  </si>
  <si>
    <t>P0117</t>
  </si>
  <si>
    <t>15:41</t>
  </si>
  <si>
    <t>15:39</t>
  </si>
  <si>
    <t>APT-202602-0076</t>
  </si>
  <si>
    <t>APT-202602-0077</t>
  </si>
  <si>
    <t>APT-202602-0078</t>
  </si>
  <si>
    <t>APT-202602-0079</t>
  </si>
  <si>
    <t>11:25</t>
  </si>
  <si>
    <t>APT-202602-0080</t>
  </si>
  <si>
    <t>P0167</t>
  </si>
  <si>
    <t>15:40</t>
  </si>
  <si>
    <t>15:47</t>
  </si>
  <si>
    <t>APT-202602-0081</t>
  </si>
  <si>
    <t>09:39</t>
  </si>
  <si>
    <t>APT-202602-0082</t>
  </si>
  <si>
    <t>P0204</t>
  </si>
  <si>
    <t>14:40</t>
  </si>
  <si>
    <t>15:01</t>
  </si>
  <si>
    <t>APT-202602-0083</t>
  </si>
  <si>
    <t>15:56</t>
  </si>
  <si>
    <t>APT-202602-0084</t>
  </si>
  <si>
    <t>APT-202602-0085</t>
  </si>
  <si>
    <t>P0219</t>
  </si>
  <si>
    <t>08:27</t>
  </si>
  <si>
    <t>APT-202602-0086</t>
  </si>
  <si>
    <t>11:15</t>
  </si>
  <si>
    <t>11:11</t>
  </si>
  <si>
    <t>APT-202602-0087</t>
  </si>
  <si>
    <t>P0118</t>
  </si>
  <si>
    <t>APT-202602-0088</t>
  </si>
  <si>
    <t>09:51</t>
  </si>
  <si>
    <t>10:03</t>
  </si>
  <si>
    <t>APT-202602-0089</t>
  </si>
  <si>
    <t>08:28</t>
  </si>
  <si>
    <t>APT-202602-0090</t>
  </si>
  <si>
    <t>P0083</t>
  </si>
  <si>
    <t>APT-202602-0091</t>
  </si>
  <si>
    <t>2026-02-25</t>
  </si>
  <si>
    <t>P0073</t>
  </si>
  <si>
    <t>APT-202602-0092</t>
  </si>
  <si>
    <t>14:34</t>
  </si>
  <si>
    <t>APT-202602-0093</t>
  </si>
  <si>
    <t>P0072</t>
  </si>
  <si>
    <t>13:57</t>
  </si>
  <si>
    <t>APT-202602-0094</t>
  </si>
  <si>
    <t>walk in</t>
  </si>
  <si>
    <t>09:52</t>
  </si>
  <si>
    <t>APT-202602-0095</t>
  </si>
  <si>
    <t>P0123</t>
  </si>
  <si>
    <t>APT-202602-0096</t>
  </si>
  <si>
    <t>P0078</t>
  </si>
  <si>
    <t>08:37</t>
  </si>
  <si>
    <t>08:39</t>
  </si>
  <si>
    <t>APT-202602-0097</t>
  </si>
  <si>
    <t>11:22</t>
  </si>
  <si>
    <t>APT-202602-0098</t>
  </si>
  <si>
    <t>P0004</t>
  </si>
  <si>
    <t>15:29</t>
  </si>
  <si>
    <t>APT-202602-0099</t>
  </si>
  <si>
    <t>APT-202602-0100</t>
  </si>
  <si>
    <t>14:54</t>
  </si>
  <si>
    <t>15:14</t>
  </si>
  <si>
    <t>APT-202602-0101</t>
  </si>
  <si>
    <t>08:34</t>
  </si>
  <si>
    <t>APT-202602-0102</t>
  </si>
  <si>
    <t>APT-202602-0103</t>
  </si>
  <si>
    <t>P0002</t>
  </si>
  <si>
    <t>08:12</t>
  </si>
  <si>
    <t>APT-202602-0104</t>
  </si>
  <si>
    <t>P0184</t>
  </si>
  <si>
    <t>09:46</t>
  </si>
  <si>
    <t>APT-202602-0105</t>
  </si>
  <si>
    <t>09:16</t>
  </si>
  <si>
    <t>APT-202602-0106</t>
  </si>
  <si>
    <t>P0042</t>
  </si>
  <si>
    <t>$65.00</t>
  </si>
  <si>
    <t>APT-202602-0107</t>
  </si>
  <si>
    <t>14:18</t>
  </si>
  <si>
    <t>14:17</t>
  </si>
  <si>
    <t>APT-202602-0108</t>
  </si>
  <si>
    <t>08:56</t>
  </si>
  <si>
    <t>APT-202602-0109</t>
  </si>
  <si>
    <t>APT-202602-0110</t>
  </si>
  <si>
    <t>APT-202602-0111</t>
  </si>
  <si>
    <t>09:20</t>
  </si>
  <si>
    <t>09:49</t>
  </si>
  <si>
    <t>APT-202602-0112</t>
  </si>
  <si>
    <t>14:27</t>
  </si>
  <si>
    <t>15:04</t>
  </si>
  <si>
    <t>APT-202602-0113</t>
  </si>
  <si>
    <t>APT-202602-0114</t>
  </si>
  <si>
    <t>P0058</t>
  </si>
  <si>
    <t>APT-202602-0115</t>
  </si>
  <si>
    <t>P0051</t>
  </si>
  <si>
    <t>10:47</t>
  </si>
  <si>
    <t>APT-202602-0116</t>
  </si>
  <si>
    <t>16:29</t>
  </si>
  <si>
    <t>APT-202602-0117</t>
  </si>
  <si>
    <t>APT-202602-0118</t>
  </si>
  <si>
    <t>19/02/2026</t>
  </si>
  <si>
    <t>APT-202602-0119</t>
  </si>
  <si>
    <t>P0053</t>
  </si>
  <si>
    <t>09:08</t>
  </si>
  <si>
    <t>APT-202602-0120</t>
  </si>
  <si>
    <t>APT-202602-0121</t>
  </si>
  <si>
    <t>P0006</t>
  </si>
  <si>
    <t>15:11</t>
  </si>
  <si>
    <t>15:32</t>
  </si>
  <si>
    <t>APT-202602-0122</t>
  </si>
  <si>
    <t>15:52</t>
  </si>
  <si>
    <t>16:13</t>
  </si>
  <si>
    <t>APT-202602-0123</t>
  </si>
  <si>
    <t>12:12</t>
  </si>
  <si>
    <t>APT-202602-0124</t>
  </si>
  <si>
    <t>NO SHOW</t>
  </si>
  <si>
    <t>16:01</t>
  </si>
  <si>
    <t>16:37</t>
  </si>
  <si>
    <t>APT-202602-0125</t>
  </si>
  <si>
    <t>P0068</t>
  </si>
  <si>
    <t>APT-202602-0126</t>
  </si>
  <si>
    <t>APT-202602-0127</t>
  </si>
  <si>
    <t>P0169</t>
  </si>
  <si>
    <t>APT-202602-0128</t>
  </si>
  <si>
    <t>APT-202602-0129</t>
  </si>
  <si>
    <t>APT-202602-0130</t>
  </si>
  <si>
    <t>APT-202602-0131</t>
  </si>
  <si>
    <t>APT-202602-0132</t>
  </si>
  <si>
    <t>P0103</t>
  </si>
  <si>
    <t>APT-202602-0133</t>
  </si>
  <si>
    <t>APT-202602-0134</t>
  </si>
  <si>
    <t>12:53</t>
  </si>
  <si>
    <t>13:02</t>
  </si>
  <si>
    <t>APT-202602-0135</t>
  </si>
  <si>
    <t>APT-202602-0136</t>
  </si>
  <si>
    <t>P0041</t>
  </si>
  <si>
    <t>14:13</t>
  </si>
  <si>
    <t>14:25</t>
  </si>
  <si>
    <t>APT-202602-0137</t>
  </si>
  <si>
    <t>APT-202602-0138</t>
  </si>
  <si>
    <t>P0070</t>
  </si>
  <si>
    <t>APT-202602-0140</t>
  </si>
  <si>
    <t>14:39</t>
  </si>
  <si>
    <t>APT-202602-0141</t>
  </si>
  <si>
    <t>P0008</t>
  </si>
  <si>
    <t>14:05</t>
  </si>
  <si>
    <t>APT-202602-0142</t>
  </si>
  <si>
    <t>APT-202602-0143</t>
  </si>
  <si>
    <t>12:28</t>
  </si>
  <si>
    <t>APT-202602-0144</t>
  </si>
  <si>
    <t>P0019</t>
  </si>
  <si>
    <t>APT-202602-0145</t>
  </si>
  <si>
    <t>P0196</t>
  </si>
  <si>
    <t>09:58</t>
  </si>
  <si>
    <t>APT-202602-0146</t>
  </si>
  <si>
    <t>15:02</t>
  </si>
  <si>
    <t>APT-202602-0147</t>
  </si>
  <si>
    <t>11:53</t>
  </si>
  <si>
    <t>APT-202602-0148</t>
  </si>
  <si>
    <t>P0224</t>
  </si>
  <si>
    <t>15:49</t>
  </si>
  <si>
    <t>yes</t>
  </si>
  <si>
    <t>APT-202602-0149</t>
  </si>
  <si>
    <t>APT-202602-0150</t>
  </si>
  <si>
    <t>P0044</t>
  </si>
  <si>
    <t>APT-202602-0151</t>
  </si>
  <si>
    <t>APT-202602-0152</t>
  </si>
  <si>
    <t>APT-202602-0153</t>
  </si>
  <si>
    <t>08:16</t>
  </si>
  <si>
    <t>08:40</t>
  </si>
  <si>
    <t>APT-202602-0154</t>
  </si>
  <si>
    <t>08:03</t>
  </si>
  <si>
    <t>APT-202602-0155</t>
  </si>
  <si>
    <t>APT-202602-0156</t>
  </si>
  <si>
    <t>APT-202602-0157</t>
  </si>
  <si>
    <t>P0048</t>
  </si>
  <si>
    <t>12:03</t>
  </si>
  <si>
    <t>APT-202602-0158</t>
  </si>
  <si>
    <t>08:35</t>
  </si>
  <si>
    <t>APT-202602-0159</t>
  </si>
  <si>
    <t>APT-202602-0160</t>
  </si>
  <si>
    <t>P0218</t>
  </si>
  <si>
    <t>09:29</t>
  </si>
  <si>
    <t>Mar 2026 — Raw Appointment Export</t>
  </si>
  <si>
    <t>APT-202603-0001</t>
  </si>
  <si>
    <t>2026-03-06</t>
  </si>
  <si>
    <t>appointment_export_2026_03.csv</t>
  </si>
  <si>
    <t>APT-202603-0002</t>
  </si>
  <si>
    <t>2026-03-18</t>
  </si>
  <si>
    <t>APT-202603-0003</t>
  </si>
  <si>
    <t>2026-03-12</t>
  </si>
  <si>
    <t>APT-202603-0004</t>
  </si>
  <si>
    <t>2026-03-17</t>
  </si>
  <si>
    <t>P0202</t>
  </si>
  <si>
    <t>10:53</t>
  </si>
  <si>
    <t>APT-202603-0005</t>
  </si>
  <si>
    <t>2026-03-01</t>
  </si>
  <si>
    <t>APT-202603-0006</t>
  </si>
  <si>
    <t>2026-03-05</t>
  </si>
  <si>
    <t>12:46</t>
  </si>
  <si>
    <t>APT-202603-0007</t>
  </si>
  <si>
    <t>2026-03-10</t>
  </si>
  <si>
    <t>APT-202603-0008</t>
  </si>
  <si>
    <t>2026-03-04</t>
  </si>
  <si>
    <t>APT-202603-0009</t>
  </si>
  <si>
    <t>2026-03-28</t>
  </si>
  <si>
    <t>11:12</t>
  </si>
  <si>
    <t>APT-202603-0010</t>
  </si>
  <si>
    <t>APT-202603-0011</t>
  </si>
  <si>
    <t>2026-03-08</t>
  </si>
  <si>
    <t>P0130</t>
  </si>
  <si>
    <t>APT-202603-0012</t>
  </si>
  <si>
    <t>P0045</t>
  </si>
  <si>
    <t>13:43</t>
  </si>
  <si>
    <t>APT-202603-0013</t>
  </si>
  <si>
    <t>P0012</t>
  </si>
  <si>
    <t>14:37</t>
  </si>
  <si>
    <t>APT-202603-0014</t>
  </si>
  <si>
    <t>2026-03-23</t>
  </si>
  <si>
    <t>10:56</t>
  </si>
  <si>
    <t>11:39</t>
  </si>
  <si>
    <t>APT-202603-0015</t>
  </si>
  <si>
    <t>2026-03-19</t>
  </si>
  <si>
    <t>APT-202603-0016</t>
  </si>
  <si>
    <t>2026-03-24</t>
  </si>
  <si>
    <t>12:34</t>
  </si>
  <si>
    <t>APT-202603-0017</t>
  </si>
  <si>
    <t>2026-03-20</t>
  </si>
  <si>
    <t>11:10</t>
  </si>
  <si>
    <t>11:18</t>
  </si>
  <si>
    <t>APT-202603-0018</t>
  </si>
  <si>
    <t>2026-03-27</t>
  </si>
  <si>
    <t>APT-202603-0019</t>
  </si>
  <si>
    <t>2026-03-09</t>
  </si>
  <si>
    <t>APT-202603-0020</t>
  </si>
  <si>
    <t>P0163</t>
  </si>
  <si>
    <t>10:55</t>
  </si>
  <si>
    <t>APT-202603-0021</t>
  </si>
  <si>
    <t>2026-03-25</t>
  </si>
  <si>
    <t>2026-03-16</t>
  </si>
  <si>
    <t>APT-202603-0022</t>
  </si>
  <si>
    <t>APT-202603-0023</t>
  </si>
  <si>
    <t>2026-03-14</t>
  </si>
  <si>
    <t>2026-03-03</t>
  </si>
  <si>
    <t>APT-202603-0024</t>
  </si>
  <si>
    <t>08:47</t>
  </si>
  <si>
    <t>09:05</t>
  </si>
  <si>
    <t>APT-202603-0025</t>
  </si>
  <si>
    <t>APT-202603-0026</t>
  </si>
  <si>
    <t>APT-202603-0027</t>
  </si>
  <si>
    <t>APT-202603-0028</t>
  </si>
  <si>
    <t>2026-03-07</t>
  </si>
  <si>
    <t>16:23</t>
  </si>
  <si>
    <t>APT-202603-0029</t>
  </si>
  <si>
    <t>2026-03-26</t>
  </si>
  <si>
    <t>APT-202603-0030</t>
  </si>
  <si>
    <t>2026-03-02</t>
  </si>
  <si>
    <t>P0140</t>
  </si>
  <si>
    <t>APT-202603-0031</t>
  </si>
  <si>
    <t>APT-202603-0032</t>
  </si>
  <si>
    <t>APT-202603-0033</t>
  </si>
  <si>
    <t>10:21</t>
  </si>
  <si>
    <t>APT-202603-0034</t>
  </si>
  <si>
    <t>11:17</t>
  </si>
  <si>
    <t>11:05</t>
  </si>
  <si>
    <t>APT-202603-0035</t>
  </si>
  <si>
    <t>10:19</t>
  </si>
  <si>
    <t>APT-202603-0036</t>
  </si>
  <si>
    <t>2026-03-15</t>
  </si>
  <si>
    <t>APT-202603-0037</t>
  </si>
  <si>
    <t>13:42</t>
  </si>
  <si>
    <t>APT-202603-0038</t>
  </si>
  <si>
    <t>2026-03-11</t>
  </si>
  <si>
    <t>APT-202603-0039</t>
  </si>
  <si>
    <t>P0003</t>
  </si>
  <si>
    <t>APT-202603-0040</t>
  </si>
  <si>
    <t>2026-03-31</t>
  </si>
  <si>
    <t>2026-03-29</t>
  </si>
  <si>
    <t>APT-202603-0041</t>
  </si>
  <si>
    <t>P0193</t>
  </si>
  <si>
    <t>APT-202603-0042</t>
  </si>
  <si>
    <t>2026-03-30</t>
  </si>
  <si>
    <t>APT-202603-0043</t>
  </si>
  <si>
    <t>11:47</t>
  </si>
  <si>
    <t>APT-202603-0044</t>
  </si>
  <si>
    <t>APT-202603-0045</t>
  </si>
  <si>
    <t>APT-202603-0046</t>
  </si>
  <si>
    <t>APT-202603-0047</t>
  </si>
  <si>
    <t>APT-202603-0048</t>
  </si>
  <si>
    <t>08:55</t>
  </si>
  <si>
    <t>APT-202603-0049</t>
  </si>
  <si>
    <t>P0054</t>
  </si>
  <si>
    <t>08:22</t>
  </si>
  <si>
    <t>APT-202603-0050</t>
  </si>
  <si>
    <t>2026-03-13</t>
  </si>
  <si>
    <t>APT-202603-0051</t>
  </si>
  <si>
    <t>P0046</t>
  </si>
  <si>
    <t>APT-202603-0052</t>
  </si>
  <si>
    <t>08:24</t>
  </si>
  <si>
    <t>APT-202603-0053</t>
  </si>
  <si>
    <t>P0168</t>
  </si>
  <si>
    <t>APT-202603-0054</t>
  </si>
  <si>
    <t>12:16</t>
  </si>
  <si>
    <t>APT-202603-0055</t>
  </si>
  <si>
    <t>APT-202603-0056</t>
  </si>
  <si>
    <t>APT-202603-0057</t>
  </si>
  <si>
    <t>P0037</t>
  </si>
  <si>
    <t>APT-202603-0058</t>
  </si>
  <si>
    <t>09:31</t>
  </si>
  <si>
    <t>APT-202603-0059</t>
  </si>
  <si>
    <t>02/03/2026</t>
  </si>
  <si>
    <t>15:51</t>
  </si>
  <si>
    <t>APT-202603-0060</t>
  </si>
  <si>
    <t>13:15</t>
  </si>
  <si>
    <t>APT-202603-0061</t>
  </si>
  <si>
    <t>car</t>
  </si>
  <si>
    <t>APT-202603-0062</t>
  </si>
  <si>
    <t>APT-202603-0063</t>
  </si>
  <si>
    <t>P0031</t>
  </si>
  <si>
    <t>13:38</t>
  </si>
  <si>
    <t>APT-202603-0064</t>
  </si>
  <si>
    <t>APT-202603-0065</t>
  </si>
  <si>
    <t>2026-03-22</t>
  </si>
  <si>
    <t>P0209</t>
  </si>
  <si>
    <t>13:45</t>
  </si>
  <si>
    <t>14:01</t>
  </si>
  <si>
    <t>APT-202603-0066</t>
  </si>
  <si>
    <t>08:31</t>
  </si>
  <si>
    <t>APT-202603-0067</t>
  </si>
  <si>
    <t>P0040</t>
  </si>
  <si>
    <t>APT-202603-0068</t>
  </si>
  <si>
    <t>P0134</t>
  </si>
  <si>
    <t>APT-202603-0069</t>
  </si>
  <si>
    <t>11:28</t>
  </si>
  <si>
    <t>11:46</t>
  </si>
  <si>
    <t>APT-202603-0070</t>
  </si>
  <si>
    <t>APT-202603-0071</t>
  </si>
  <si>
    <t>APT-202603-0072</t>
  </si>
  <si>
    <t>P0026</t>
  </si>
  <si>
    <t>APT-202603-0073</t>
  </si>
  <si>
    <t>P0077</t>
  </si>
  <si>
    <t>APT-202603-0074</t>
  </si>
  <si>
    <t>APT-202603-0075</t>
  </si>
  <si>
    <t>APT-202603-0076</t>
  </si>
  <si>
    <t>14:23</t>
  </si>
  <si>
    <t>APT-202603-0077</t>
  </si>
  <si>
    <t>APT-202603-0078</t>
  </si>
  <si>
    <t>APT-202603-0079</t>
  </si>
  <si>
    <t>APT-202603-0080</t>
  </si>
  <si>
    <t>15:12</t>
  </si>
  <si>
    <t>APT-202603-0081</t>
  </si>
  <si>
    <t>APT-202603-0082</t>
  </si>
  <si>
    <t>13:53</t>
  </si>
  <si>
    <t>14:21</t>
  </si>
  <si>
    <t>APT-202603-0083</t>
  </si>
  <si>
    <t>15:16</t>
  </si>
  <si>
    <t>APT-202603-0084</t>
  </si>
  <si>
    <t>14:42</t>
  </si>
  <si>
    <t>APT-202603-0085</t>
  </si>
  <si>
    <t>APT-202603-0086</t>
  </si>
  <si>
    <t>P0216</t>
  </si>
  <si>
    <t>APT-202603-0087</t>
  </si>
  <si>
    <t>APT-202603-0088</t>
  </si>
  <si>
    <t>APT-202603-0089</t>
  </si>
  <si>
    <t>11:45</t>
  </si>
  <si>
    <t>APT-202603-0090</t>
  </si>
  <si>
    <t>APT-202603-0091</t>
  </si>
  <si>
    <t>APT-202603-0092</t>
  </si>
  <si>
    <t>APT-202603-0093</t>
  </si>
  <si>
    <t>no-show</t>
  </si>
  <si>
    <t>16:26</t>
  </si>
  <si>
    <t>APT-202603-0094</t>
  </si>
  <si>
    <t>11:44</t>
  </si>
  <si>
    <t>11:57</t>
  </si>
  <si>
    <t>APT-202603-0095</t>
  </si>
  <si>
    <t>08:09</t>
  </si>
  <si>
    <t>APT-202603-0096</t>
  </si>
  <si>
    <t>APT-202603-0097</t>
  </si>
  <si>
    <t>APT-202603-0098</t>
  </si>
  <si>
    <t>P0147</t>
  </si>
  <si>
    <t>APT-202603-0099</t>
  </si>
  <si>
    <t>APT-202603-0100</t>
  </si>
  <si>
    <t>APT-202603-0101</t>
  </si>
  <si>
    <t>11:16</t>
  </si>
  <si>
    <t>APT-202603-0102</t>
  </si>
  <si>
    <t>P0231</t>
  </si>
  <si>
    <t>APT-202603-0103</t>
  </si>
  <si>
    <t>APT-202603-0104</t>
  </si>
  <si>
    <t>P0089</t>
  </si>
  <si>
    <t>APT-202603-0105</t>
  </si>
  <si>
    <t>APT-202603-0106</t>
  </si>
  <si>
    <t>P0074</t>
  </si>
  <si>
    <t>13:03</t>
  </si>
  <si>
    <t>APT-202603-0107</t>
  </si>
  <si>
    <t>APT-202603-0108</t>
  </si>
  <si>
    <t>11:32</t>
  </si>
  <si>
    <t>APT-202603-0109</t>
  </si>
  <si>
    <t>08:52</t>
  </si>
  <si>
    <t>APT-202603-0110</t>
  </si>
  <si>
    <t>12:23</t>
  </si>
  <si>
    <t>12:42</t>
  </si>
  <si>
    <t>APT-202603-0111</t>
  </si>
  <si>
    <t>12:14</t>
  </si>
  <si>
    <t>12:19</t>
  </si>
  <si>
    <t>APT-202603-0112</t>
  </si>
  <si>
    <t>APT-202603-0113</t>
  </si>
  <si>
    <t>APT-202603-0114</t>
  </si>
  <si>
    <t>P0128</t>
  </si>
  <si>
    <t>14:50</t>
  </si>
  <si>
    <t>APT-202603-0115</t>
  </si>
  <si>
    <t>APT-202603-0116</t>
  </si>
  <si>
    <t>APT-202603-0117</t>
  </si>
  <si>
    <t>APT-202603-0118</t>
  </si>
  <si>
    <t>21/03/2026</t>
  </si>
  <si>
    <t>APT-202603-0119</t>
  </si>
  <si>
    <t>APT-202603-0120</t>
  </si>
  <si>
    <t>P0229</t>
  </si>
  <si>
    <t>APT-202603-0121</t>
  </si>
  <si>
    <t>P0111</t>
  </si>
  <si>
    <t>APT-202603-0122</t>
  </si>
  <si>
    <t>APT-202603-0123</t>
  </si>
  <si>
    <t>P0153</t>
  </si>
  <si>
    <t>APT-202603-0124</t>
  </si>
  <si>
    <t>09:56</t>
  </si>
  <si>
    <t>APT-202603-0125</t>
  </si>
  <si>
    <t>APT-202603-0126</t>
  </si>
  <si>
    <t>APT-202603-0127</t>
  </si>
  <si>
    <t>APT-202603-0128</t>
  </si>
  <si>
    <t>APT-202603-0129</t>
  </si>
  <si>
    <t>APT-202603-0130</t>
  </si>
  <si>
    <t>APT-202603-0131</t>
  </si>
  <si>
    <t>14:47</t>
  </si>
  <si>
    <t>APT-202603-0132</t>
  </si>
  <si>
    <t>APT-202603-0133</t>
  </si>
  <si>
    <t>APT-202603-0134</t>
  </si>
  <si>
    <t>15:27</t>
  </si>
  <si>
    <t>APT-202603-0135</t>
  </si>
  <si>
    <t>APT-202603-0136</t>
  </si>
  <si>
    <t>P0097</t>
  </si>
  <si>
    <t>10:54</t>
  </si>
  <si>
    <t>11:21</t>
  </si>
  <si>
    <t>APT-202603-0137</t>
  </si>
  <si>
    <t>APT-202603-0138</t>
  </si>
  <si>
    <t>12:56</t>
  </si>
  <si>
    <t>07:51</t>
  </si>
  <si>
    <t>08:14</t>
  </si>
  <si>
    <t>APT-202603-0140</t>
  </si>
  <si>
    <t>08:33</t>
  </si>
  <si>
    <t>APT-202603-0141</t>
  </si>
  <si>
    <t>APT-202603-0142</t>
  </si>
  <si>
    <t>P0115</t>
  </si>
  <si>
    <t>APT-202603-0143</t>
  </si>
  <si>
    <t>APT-202603-0144</t>
  </si>
  <si>
    <t>APT-202603-0145</t>
  </si>
  <si>
    <t>P0028</t>
  </si>
  <si>
    <t>APT-202603-0146</t>
  </si>
  <si>
    <t>13:44</t>
  </si>
  <si>
    <t>APT-202603-0147</t>
  </si>
  <si>
    <t>08:42</t>
  </si>
  <si>
    <t>APT-202603-0148</t>
  </si>
  <si>
    <t>APT-202603-0149</t>
  </si>
  <si>
    <t>11:58</t>
  </si>
  <si>
    <t>APT-202603-0150</t>
  </si>
  <si>
    <t>APT-202603-0151</t>
  </si>
  <si>
    <t>P0191</t>
  </si>
  <si>
    <t>APT-202603-0152</t>
  </si>
  <si>
    <t>APT-202603-0153</t>
  </si>
  <si>
    <t>APT-202603-0154</t>
  </si>
  <si>
    <t>APT-202603-0155</t>
  </si>
  <si>
    <t>16:06</t>
  </si>
  <si>
    <t>APT-202603-0156</t>
  </si>
  <si>
    <t>APT-202603-0157</t>
  </si>
  <si>
    <t>2026-03-21</t>
  </si>
  <si>
    <t>APT-202603-0158</t>
  </si>
  <si>
    <t>APT-202603-0159</t>
  </si>
  <si>
    <t>09:40</t>
  </si>
  <si>
    <t>APT-202603-0160</t>
  </si>
  <si>
    <t>Apr 2026 — Raw Appointment Export</t>
  </si>
  <si>
    <t>APT-202604-0001</t>
  </si>
  <si>
    <t>2026-04-08</t>
  </si>
  <si>
    <t>13:17</t>
  </si>
  <si>
    <t>appointment_export_2026_04.csv</t>
  </si>
  <si>
    <t>APT-202604-0002</t>
  </si>
  <si>
    <t>2026-04-03</t>
  </si>
  <si>
    <t>2026-04-02</t>
  </si>
  <si>
    <t>APT-202604-0003</t>
  </si>
  <si>
    <t>2026-04-21</t>
  </si>
  <si>
    <t>14:36</t>
  </si>
  <si>
    <t>APT-202604-0004</t>
  </si>
  <si>
    <t>2026-04-26</t>
  </si>
  <si>
    <t>APT-202604-0005</t>
  </si>
  <si>
    <t>2026-04-07</t>
  </si>
  <si>
    <t>APT-202604-0006</t>
  </si>
  <si>
    <t>2026-04-20</t>
  </si>
  <si>
    <t>13:48</t>
  </si>
  <si>
    <t>APT-202604-0007</t>
  </si>
  <si>
    <t>2026-04-28</t>
  </si>
  <si>
    <t>APT-202604-0008</t>
  </si>
  <si>
    <t>APT-202604-0009</t>
  </si>
  <si>
    <t>2026-04-30</t>
  </si>
  <si>
    <t>2026-04-13</t>
  </si>
  <si>
    <t>14:22</t>
  </si>
  <si>
    <t>APT-202604-0010</t>
  </si>
  <si>
    <t>2026-04-29</t>
  </si>
  <si>
    <t>2026-04-27</t>
  </si>
  <si>
    <t>APT-202604-0011</t>
  </si>
  <si>
    <t>2026-04-19</t>
  </si>
  <si>
    <t>12:31</t>
  </si>
  <si>
    <t>APT-202604-0012</t>
  </si>
  <si>
    <t>12:22</t>
  </si>
  <si>
    <t>APT-202604-0013</t>
  </si>
  <si>
    <t>2026-04-25</t>
  </si>
  <si>
    <t>APT-202604-0014</t>
  </si>
  <si>
    <t>APT-202604-0015</t>
  </si>
  <si>
    <t>2026-04-18</t>
  </si>
  <si>
    <t>APT-202604-0016</t>
  </si>
  <si>
    <t>APT-202604-0017</t>
  </si>
  <si>
    <t>2026-04-04</t>
  </si>
  <si>
    <t>APT-202604-0018</t>
  </si>
  <si>
    <t>11:23</t>
  </si>
  <si>
    <t>APT-202604-0019</t>
  </si>
  <si>
    <t>APT-202604-0020</t>
  </si>
  <si>
    <t>2026-04-12</t>
  </si>
  <si>
    <t>APT-202604-0021</t>
  </si>
  <si>
    <t>2026-04-17</t>
  </si>
  <si>
    <t>08:46</t>
  </si>
  <si>
    <t>08:53</t>
  </si>
  <si>
    <t>APT-202604-0022</t>
  </si>
  <si>
    <t>2026-04-24</t>
  </si>
  <si>
    <t>APT-202604-0023</t>
  </si>
  <si>
    <t>2026-04-14</t>
  </si>
  <si>
    <t>16:15</t>
  </si>
  <si>
    <t>APT-202604-0024</t>
  </si>
  <si>
    <t>2026-04-15</t>
  </si>
  <si>
    <t>APT-202604-0025</t>
  </si>
  <si>
    <t>2026-04-01</t>
  </si>
  <si>
    <t>APT-202604-0026</t>
  </si>
  <si>
    <t>APT-202604-0027</t>
  </si>
  <si>
    <t>2026-04-05</t>
  </si>
  <si>
    <t>APT-202604-0028</t>
  </si>
  <si>
    <t>2026-04-22</t>
  </si>
  <si>
    <t>15:22</t>
  </si>
  <si>
    <t>APT-202604-0029</t>
  </si>
  <si>
    <t>APT-202604-0030</t>
  </si>
  <si>
    <t>APT-202604-0031</t>
  </si>
  <si>
    <t>2026-04-11</t>
  </si>
  <si>
    <t>11:52</t>
  </si>
  <si>
    <t>APT-202604-0032</t>
  </si>
  <si>
    <t>APT-202604-0033</t>
  </si>
  <si>
    <t>APT-202604-0034</t>
  </si>
  <si>
    <t>14:33</t>
  </si>
  <si>
    <t>APT-202604-0035</t>
  </si>
  <si>
    <t>APT-202604-0036</t>
  </si>
  <si>
    <t>2026-04-10</t>
  </si>
  <si>
    <t>2026-04-09</t>
  </si>
  <si>
    <t>14:20</t>
  </si>
  <si>
    <t>14:53</t>
  </si>
  <si>
    <t>APT-202604-0037</t>
  </si>
  <si>
    <t>N</t>
  </si>
  <si>
    <t>APT-202604-0038</t>
  </si>
  <si>
    <t>09:18</t>
  </si>
  <si>
    <t>APT-202604-0039</t>
  </si>
  <si>
    <t>2026-04-06</t>
  </si>
  <si>
    <t>P0222</t>
  </si>
  <si>
    <t>APT-202604-0040</t>
  </si>
  <si>
    <t>10:50</t>
  </si>
  <si>
    <t>APT-202604-0041</t>
  </si>
  <si>
    <t>13:29</t>
  </si>
  <si>
    <t>13:59</t>
  </si>
  <si>
    <t>APT-202604-0042</t>
  </si>
  <si>
    <t>APT-202604-0043</t>
  </si>
  <si>
    <t>ham</t>
  </si>
  <si>
    <t>13:55</t>
  </si>
  <si>
    <t>APT-202604-0044</t>
  </si>
  <si>
    <t>APT-202604-0045</t>
  </si>
  <si>
    <t>15:42</t>
  </si>
  <si>
    <t>APT-202604-0046</t>
  </si>
  <si>
    <t>APT-202604-0047</t>
  </si>
  <si>
    <t>APT-202604-0048</t>
  </si>
  <si>
    <t>APT-202604-0049</t>
  </si>
  <si>
    <t>APT-202604-0050</t>
  </si>
  <si>
    <t>12:20</t>
  </si>
  <si>
    <t>APT-202604-0051</t>
  </si>
  <si>
    <t>APT-202604-0052</t>
  </si>
  <si>
    <t>APT-202604-0053</t>
  </si>
  <si>
    <t>15:06</t>
  </si>
  <si>
    <t>APT-202604-0054</t>
  </si>
  <si>
    <t>APT-202604-0055</t>
  </si>
  <si>
    <t>APT-202604-0056</t>
  </si>
  <si>
    <t>14:44</t>
  </si>
  <si>
    <t>APT-202604-0057</t>
  </si>
  <si>
    <t>APT-202604-0058</t>
  </si>
  <si>
    <t>APT-202604-0059</t>
  </si>
  <si>
    <t>30/04/2026</t>
  </si>
  <si>
    <t>15:21</t>
  </si>
  <si>
    <t>APT-202604-0060</t>
  </si>
  <si>
    <t>APT-202604-0061</t>
  </si>
  <si>
    <t>16:22</t>
  </si>
  <si>
    <t>APT-202604-0062</t>
  </si>
  <si>
    <t>APT-202604-0063</t>
  </si>
  <si>
    <t>2026-04-23</t>
  </si>
  <si>
    <t>2026-04-16</t>
  </si>
  <si>
    <t>APT-202604-0064</t>
  </si>
  <si>
    <t>APT-202604-0065</t>
  </si>
  <si>
    <t>APT-202604-0066</t>
  </si>
  <si>
    <t>APT-202604-0067</t>
  </si>
  <si>
    <t>APT-202604-0068</t>
  </si>
  <si>
    <t>APT-202604-0069</t>
  </si>
  <si>
    <t>APT-202604-0070</t>
  </si>
  <si>
    <t>APT-202604-0071</t>
  </si>
  <si>
    <t>15:37</t>
  </si>
  <si>
    <t>APT-202604-0072</t>
  </si>
  <si>
    <t>APT-202604-0073</t>
  </si>
  <si>
    <t>APT-202604-0074</t>
  </si>
  <si>
    <t>11:14</t>
  </si>
  <si>
    <t>APT-202604-0075</t>
  </si>
  <si>
    <t>APT-202604-0076</t>
  </si>
  <si>
    <t>APT-202604-0077</t>
  </si>
  <si>
    <t>APT-202604-0078</t>
  </si>
  <si>
    <t>APT-202604-0079</t>
  </si>
  <si>
    <t>APT-202604-0080</t>
  </si>
  <si>
    <t>APT-202604-0081</t>
  </si>
  <si>
    <t>APT-202604-0082</t>
  </si>
  <si>
    <t>10:44</t>
  </si>
  <si>
    <t>10:46</t>
  </si>
  <si>
    <t>APT-202604-0083</t>
  </si>
  <si>
    <t>APT-202604-0084</t>
  </si>
  <si>
    <t>APT-202604-0085</t>
  </si>
  <si>
    <t>APT-202604-0086</t>
  </si>
  <si>
    <t>APT-202604-0087</t>
  </si>
  <si>
    <t>APT-202604-0088</t>
  </si>
  <si>
    <t>12:26</t>
  </si>
  <si>
    <t>APT-202604-0089</t>
  </si>
  <si>
    <t>10:51</t>
  </si>
  <si>
    <t>APT-202604-0090</t>
  </si>
  <si>
    <t>APT-202604-0091</t>
  </si>
  <si>
    <t>13:19</t>
  </si>
  <si>
    <t>APT-202604-0092</t>
  </si>
  <si>
    <t>APT-202604-0093</t>
  </si>
  <si>
    <t>P0164</t>
  </si>
  <si>
    <t>14:35</t>
  </si>
  <si>
    <t>APT-202604-0094</t>
  </si>
  <si>
    <t>APT-202604-0095</t>
  </si>
  <si>
    <t>APT-202604-0096</t>
  </si>
  <si>
    <t>APT-202604-0097</t>
  </si>
  <si>
    <t>APT-202604-0098</t>
  </si>
  <si>
    <t>14:43</t>
  </si>
  <si>
    <t>APT-202604-0099</t>
  </si>
  <si>
    <t>APT-202604-0100</t>
  </si>
  <si>
    <t>APT-202604-0101</t>
  </si>
  <si>
    <t>APT-202604-0102</t>
  </si>
  <si>
    <t>APT-202604-0103</t>
  </si>
  <si>
    <t>APT-202604-0104</t>
  </si>
  <si>
    <t>APT-202604-0105</t>
  </si>
  <si>
    <t>12:32</t>
  </si>
  <si>
    <t>APT-202604-0106</t>
  </si>
  <si>
    <t>10:22</t>
  </si>
  <si>
    <t>APT-202604-0107</t>
  </si>
  <si>
    <t>APT-202604-0108</t>
  </si>
  <si>
    <t>APT-202604-0109</t>
  </si>
  <si>
    <t>15:36</t>
  </si>
  <si>
    <t>APT-202604-0110</t>
  </si>
  <si>
    <t>12:49</t>
  </si>
  <si>
    <t>APT-202604-0111</t>
  </si>
  <si>
    <t>APT-202604-0112</t>
  </si>
  <si>
    <t>10:57</t>
  </si>
  <si>
    <t>APT-202604-0113</t>
  </si>
  <si>
    <t>APT-202604-0114</t>
  </si>
  <si>
    <t>P0178</t>
  </si>
  <si>
    <t>APT-202604-0115</t>
  </si>
  <si>
    <t>10:09</t>
  </si>
  <si>
    <t>APT-202604-0116</t>
  </si>
  <si>
    <t>APT-202604-0117</t>
  </si>
  <si>
    <t>P0154</t>
  </si>
  <si>
    <t>APT-202604-0118</t>
  </si>
  <si>
    <t>01/04/2026</t>
  </si>
  <si>
    <t>APT-202604-0119</t>
  </si>
  <si>
    <t>APT-202604-0120</t>
  </si>
  <si>
    <t>09:27</t>
  </si>
  <si>
    <t>APT-202604-0121</t>
  </si>
  <si>
    <t>10:04</t>
  </si>
  <si>
    <t>APT-202604-0122</t>
  </si>
  <si>
    <t>phy</t>
  </si>
  <si>
    <t>APT-202604-0123</t>
  </si>
  <si>
    <t>09:59</t>
  </si>
  <si>
    <t>APT-202604-0124</t>
  </si>
  <si>
    <t>APT-202604-0125</t>
  </si>
  <si>
    <t>13:49</t>
  </si>
  <si>
    <t>APT-202604-0126</t>
  </si>
  <si>
    <t>APT-202604-0127</t>
  </si>
  <si>
    <t>15:17</t>
  </si>
  <si>
    <t>15:24</t>
  </si>
  <si>
    <t>APT-202604-0128</t>
  </si>
  <si>
    <t>10:18</t>
  </si>
  <si>
    <t>APT-202604-0129</t>
  </si>
  <si>
    <t>APT-202604-0130</t>
  </si>
  <si>
    <t>APT-202604-0131</t>
  </si>
  <si>
    <t>APT-202604-0132</t>
  </si>
  <si>
    <t>APT-202604-0133</t>
  </si>
  <si>
    <t>APT-202604-0134</t>
  </si>
  <si>
    <t>APT-202604-0135</t>
  </si>
  <si>
    <t>APT-202604-0136</t>
  </si>
  <si>
    <t>08:04</t>
  </si>
  <si>
    <t>APT-202604-0137</t>
  </si>
  <si>
    <t>APT-202604-0138</t>
  </si>
  <si>
    <t>APT-202604-0140</t>
  </si>
  <si>
    <t>16:17</t>
  </si>
  <si>
    <t>APT-202604-0141</t>
  </si>
  <si>
    <t>APT-202604-0142</t>
  </si>
  <si>
    <t>APT-202604-0143</t>
  </si>
  <si>
    <t>APT-202604-0144</t>
  </si>
  <si>
    <t>APT-202604-0145</t>
  </si>
  <si>
    <t>APT-202604-0146</t>
  </si>
  <si>
    <t>APT-202604-0147</t>
  </si>
  <si>
    <t>APT-202604-0148</t>
  </si>
  <si>
    <t>APT-202604-0149</t>
  </si>
  <si>
    <t>APT-202604-0150</t>
  </si>
  <si>
    <t>P0098</t>
  </si>
  <si>
    <t>APT-202604-0151</t>
  </si>
  <si>
    <t>APT-202604-0152</t>
  </si>
  <si>
    <t>APT-202604-0153</t>
  </si>
  <si>
    <t>APT-202604-0154</t>
  </si>
  <si>
    <t>09:38</t>
  </si>
  <si>
    <t>APT-202604-0155</t>
  </si>
  <si>
    <t>APT-202604-0156</t>
  </si>
  <si>
    <t>APT-202604-0157</t>
  </si>
  <si>
    <t>09:53</t>
  </si>
  <si>
    <t>APT-202604-0158</t>
  </si>
  <si>
    <t>APT-202604-0159</t>
  </si>
  <si>
    <t>P0201</t>
  </si>
  <si>
    <t>APT-202604-0160</t>
  </si>
  <si>
    <t>May 2026 — Raw Appointment Export</t>
  </si>
  <si>
    <t>APT-202605-0001</t>
  </si>
  <si>
    <t>2026-05-28</t>
  </si>
  <si>
    <t>appointment_export_2026_05.csv</t>
  </si>
  <si>
    <t>APT-202605-0002</t>
  </si>
  <si>
    <t>2026-05-05</t>
  </si>
  <si>
    <t>APT-202605-0003</t>
  </si>
  <si>
    <t>2026-05-12</t>
  </si>
  <si>
    <t>2026-05-08</t>
  </si>
  <si>
    <t>APT-202605-0004</t>
  </si>
  <si>
    <t>2026-05-02</t>
  </si>
  <si>
    <t>12:01</t>
  </si>
  <si>
    <t>12:06</t>
  </si>
  <si>
    <t>APT-202605-0005</t>
  </si>
  <si>
    <t>2026-05-24</t>
  </si>
  <si>
    <t>APT-202605-0006</t>
  </si>
  <si>
    <t>2026-05-13</t>
  </si>
  <si>
    <t>APT-202605-0007</t>
  </si>
  <si>
    <t>APT-202605-0008</t>
  </si>
  <si>
    <t>2026-05-15</t>
  </si>
  <si>
    <t>APT-202605-0009</t>
  </si>
  <si>
    <t>2026-05-16</t>
  </si>
  <si>
    <t>APT-202605-0010</t>
  </si>
  <si>
    <t>2026-05-23</t>
  </si>
  <si>
    <t>APT-202605-0011</t>
  </si>
  <si>
    <t>2026-05-03</t>
  </si>
  <si>
    <t>14:45</t>
  </si>
  <si>
    <t>APT-202605-0012</t>
  </si>
  <si>
    <t>P0181</t>
  </si>
  <si>
    <t>APT-202605-0013</t>
  </si>
  <si>
    <t>APT-202605-0014</t>
  </si>
  <si>
    <t>2026-05-14</t>
  </si>
  <si>
    <t>APT-202605-0015</t>
  </si>
  <si>
    <t>2026-05-27</t>
  </si>
  <si>
    <t>2026-05-19</t>
  </si>
  <si>
    <t>10:01</t>
  </si>
  <si>
    <t>APT-202605-0016</t>
  </si>
  <si>
    <t>2026-05-30</t>
  </si>
  <si>
    <t>2026-05-22</t>
  </si>
  <si>
    <t>APT-202605-0017</t>
  </si>
  <si>
    <t>2026-05-25</t>
  </si>
  <si>
    <t>2026-05-11</t>
  </si>
  <si>
    <t>APT-202605-0018</t>
  </si>
  <si>
    <t>14:48</t>
  </si>
  <si>
    <t>APT-202605-0019</t>
  </si>
  <si>
    <t>APT-202605-0020</t>
  </si>
  <si>
    <t>P0146</t>
  </si>
  <si>
    <t>APT-202605-0021</t>
  </si>
  <si>
    <t>2026-05-20</t>
  </si>
  <si>
    <t>APT-202605-0022</t>
  </si>
  <si>
    <t>2026-05-06</t>
  </si>
  <si>
    <t>11:56</t>
  </si>
  <si>
    <t>APT-202605-0023</t>
  </si>
  <si>
    <t>APT-202605-0024</t>
  </si>
  <si>
    <t>P0075</t>
  </si>
  <si>
    <t>APT-202605-0025</t>
  </si>
  <si>
    <t>07:55</t>
  </si>
  <si>
    <t>APT-202605-0026</t>
  </si>
  <si>
    <t>2026-05-04</t>
  </si>
  <si>
    <t>APT-202605-0027</t>
  </si>
  <si>
    <t>APT-202605-0028</t>
  </si>
  <si>
    <t>APT-202605-0029</t>
  </si>
  <si>
    <t>APT-202605-0030</t>
  </si>
  <si>
    <t>13:09</t>
  </si>
  <si>
    <t>APT-202605-0031</t>
  </si>
  <si>
    <t>APT-202605-0032</t>
  </si>
  <si>
    <t>APT-202605-0033</t>
  </si>
  <si>
    <t>2026-05-09</t>
  </si>
  <si>
    <t>2026-05-01</t>
  </si>
  <si>
    <t>APT-202605-0034</t>
  </si>
  <si>
    <t>2026-05-26</t>
  </si>
  <si>
    <t>APT-202605-0035</t>
  </si>
  <si>
    <t>2026-05-29</t>
  </si>
  <si>
    <t>APT-202605-0036</t>
  </si>
  <si>
    <t>APT-202605-0037</t>
  </si>
  <si>
    <t>APT-202605-0038</t>
  </si>
  <si>
    <t>APT-202605-0039</t>
  </si>
  <si>
    <t>APT-202605-0040</t>
  </si>
  <si>
    <t>11:54</t>
  </si>
  <si>
    <t>APT-202605-0041</t>
  </si>
  <si>
    <t>APT-202605-0042</t>
  </si>
  <si>
    <t>2026-05-17</t>
  </si>
  <si>
    <t>APT-202605-0043</t>
  </si>
  <si>
    <t>APT-202605-0044</t>
  </si>
  <si>
    <t>15:34</t>
  </si>
  <si>
    <t>APT-202605-0045</t>
  </si>
  <si>
    <t>16:16</t>
  </si>
  <si>
    <t>APT-202605-0046</t>
  </si>
  <si>
    <t>2026-05-07</t>
  </si>
  <si>
    <t>P0033</t>
  </si>
  <si>
    <t>APT-202605-0047</t>
  </si>
  <si>
    <t>P0081</t>
  </si>
  <si>
    <t>APT-202605-0048</t>
  </si>
  <si>
    <t>APT-202605-0049</t>
  </si>
  <si>
    <t>2026-05-21</t>
  </si>
  <si>
    <t>APT-202605-0050</t>
  </si>
  <si>
    <t>2026-05-10</t>
  </si>
  <si>
    <t>APT-202605-0051</t>
  </si>
  <si>
    <t>APT-202605-0052</t>
  </si>
  <si>
    <t>08:18</t>
  </si>
  <si>
    <t>APT-202605-0053</t>
  </si>
  <si>
    <t>APT-202605-0054</t>
  </si>
  <si>
    <t>APT-202605-0055</t>
  </si>
  <si>
    <t>2026-05-31</t>
  </si>
  <si>
    <t>APT-202605-0056</t>
  </si>
  <si>
    <t>APT-202605-0057</t>
  </si>
  <si>
    <t>APT-202605-0058</t>
  </si>
  <si>
    <t>P0106</t>
  </si>
  <si>
    <t>10:58</t>
  </si>
  <si>
    <t>APT-202605-0059</t>
  </si>
  <si>
    <t>30/05/2026</t>
  </si>
  <si>
    <t>APT-202605-0060</t>
  </si>
  <si>
    <t>APT-202605-0061</t>
  </si>
  <si>
    <t>P0114</t>
  </si>
  <si>
    <t>09:32</t>
  </si>
  <si>
    <t>09:57</t>
  </si>
  <si>
    <t>APT-202605-0062</t>
  </si>
  <si>
    <t>APT-202605-0063</t>
  </si>
  <si>
    <t>APT-202605-0064</t>
  </si>
  <si>
    <t>APT-202605-0065</t>
  </si>
  <si>
    <t>APT-202605-0066</t>
  </si>
  <si>
    <t>APT-202605-0067</t>
  </si>
  <si>
    <t>14:07</t>
  </si>
  <si>
    <t>APT-202605-0068</t>
  </si>
  <si>
    <t>APT-202605-0069</t>
  </si>
  <si>
    <t>14:58</t>
  </si>
  <si>
    <t>APT-202605-0070</t>
  </si>
  <si>
    <t>2026-05-18</t>
  </si>
  <si>
    <t>10:14</t>
  </si>
  <si>
    <t>APT-202605-0071</t>
  </si>
  <si>
    <t>15:18</t>
  </si>
  <si>
    <t>APT-202605-0072</t>
  </si>
  <si>
    <t>14:46</t>
  </si>
  <si>
    <t>APT-202605-0073</t>
  </si>
  <si>
    <t>08:26</t>
  </si>
  <si>
    <t>APT-202605-0074</t>
  </si>
  <si>
    <t>09:41</t>
  </si>
  <si>
    <t>APT-202605-0075</t>
  </si>
  <si>
    <t>APT-202605-0076</t>
  </si>
  <si>
    <t>APT-202605-0077</t>
  </si>
  <si>
    <t>11:02</t>
  </si>
  <si>
    <t>APT-202605-0078</t>
  </si>
  <si>
    <t>APT-202605-0079</t>
  </si>
  <si>
    <t>APT-202605-0080</t>
  </si>
  <si>
    <t>14:52</t>
  </si>
  <si>
    <t>APT-202605-0081</t>
  </si>
  <si>
    <t>APT-202605-0082</t>
  </si>
  <si>
    <t>APT-202605-0083</t>
  </si>
  <si>
    <t>APT-202605-0084</t>
  </si>
  <si>
    <t>APT-202605-0085</t>
  </si>
  <si>
    <t>P0085</t>
  </si>
  <si>
    <t>09:25</t>
  </si>
  <si>
    <t>APT-202605-0086</t>
  </si>
  <si>
    <t>13:04</t>
  </si>
  <si>
    <t>APT-202605-0087</t>
  </si>
  <si>
    <t>APT-202605-0088</t>
  </si>
  <si>
    <t>APT-202605-0089</t>
  </si>
  <si>
    <t>APT-202605-0090</t>
  </si>
  <si>
    <t>APT-202605-0091</t>
  </si>
  <si>
    <t>APT-202605-0092</t>
  </si>
  <si>
    <t>P0238</t>
  </si>
  <si>
    <t>APT-202605-0093</t>
  </si>
  <si>
    <t>APT-202605-0094</t>
  </si>
  <si>
    <t>14:56</t>
  </si>
  <si>
    <t>APT-202605-0095</t>
  </si>
  <si>
    <t>APT-202605-0096</t>
  </si>
  <si>
    <t>APT-202605-0097</t>
  </si>
  <si>
    <t>APT-202605-0098</t>
  </si>
  <si>
    <t>09:45</t>
  </si>
  <si>
    <t>APT-202605-0099</t>
  </si>
  <si>
    <t>07:56</t>
  </si>
  <si>
    <t>APT-202605-0100</t>
  </si>
  <si>
    <t>APT-202605-0101</t>
  </si>
  <si>
    <t>APT-202605-0102</t>
  </si>
  <si>
    <t>APT-202605-0103</t>
  </si>
  <si>
    <t>APT-202605-0104</t>
  </si>
  <si>
    <t>APT-202605-0105</t>
  </si>
  <si>
    <t>APT-202605-0106</t>
  </si>
  <si>
    <t>08:15</t>
  </si>
  <si>
    <t>APT-202605-0107</t>
  </si>
  <si>
    <t>APT-202605-0108</t>
  </si>
  <si>
    <t>12:35</t>
  </si>
  <si>
    <t>APT-202605-0109</t>
  </si>
  <si>
    <t>APT-202605-0110</t>
  </si>
  <si>
    <t>APT-202605-0111</t>
  </si>
  <si>
    <t>APT-202605-0112</t>
  </si>
  <si>
    <t>APT-202605-0113</t>
  </si>
  <si>
    <t>P0195</t>
  </si>
  <si>
    <t>APT-202605-0114</t>
  </si>
  <si>
    <t>APT-202605-0115</t>
  </si>
  <si>
    <t>11:26</t>
  </si>
  <si>
    <t>APT-202605-0116</t>
  </si>
  <si>
    <t>APT-202605-0117</t>
  </si>
  <si>
    <t>APT-202605-0118</t>
  </si>
  <si>
    <t>07/05/2026</t>
  </si>
  <si>
    <t>APT-202605-0119</t>
  </si>
  <si>
    <t>APT-202605-0120</t>
  </si>
  <si>
    <t>APT-202605-0121</t>
  </si>
  <si>
    <t>APT-202605-0122</t>
  </si>
  <si>
    <t>APT-202605-0123</t>
  </si>
  <si>
    <t>APT-202605-0124</t>
  </si>
  <si>
    <t>APT-202605-0125</t>
  </si>
  <si>
    <t>APT-202605-0126</t>
  </si>
  <si>
    <t>APT-202605-0127</t>
  </si>
  <si>
    <t>APT-202605-0128</t>
  </si>
  <si>
    <t>APT-202605-0129</t>
  </si>
  <si>
    <t>wlg</t>
  </si>
  <si>
    <t>APT-202605-0130</t>
  </si>
  <si>
    <t>APT-202605-0131</t>
  </si>
  <si>
    <t>APT-202605-0132</t>
  </si>
  <si>
    <t>APT-202605-0133</t>
  </si>
  <si>
    <t>APT-202605-0134</t>
  </si>
  <si>
    <t>APT-202605-0135</t>
  </si>
  <si>
    <t>12:13</t>
  </si>
  <si>
    <t>APT-202605-0136</t>
  </si>
  <si>
    <t>APT-202605-0137</t>
  </si>
  <si>
    <t>APT-202605-0138</t>
  </si>
  <si>
    <t>10:16</t>
  </si>
  <si>
    <t>APT-202605-0140</t>
  </si>
  <si>
    <t>APT-202605-0141</t>
  </si>
  <si>
    <t>P0132</t>
  </si>
  <si>
    <t>11:48</t>
  </si>
  <si>
    <t>APT-202605-0142</t>
  </si>
  <si>
    <t>11:07</t>
  </si>
  <si>
    <t>APT-202605-0143</t>
  </si>
  <si>
    <t>APT-202605-0144</t>
  </si>
  <si>
    <t>P0107</t>
  </si>
  <si>
    <t>APT-202605-0145</t>
  </si>
  <si>
    <t>APT-202605-0146</t>
  </si>
  <si>
    <t>APT-202605-0147</t>
  </si>
  <si>
    <t>APT-202605-0148</t>
  </si>
  <si>
    <t>APT-202605-0149</t>
  </si>
  <si>
    <t>APT-202605-0150</t>
  </si>
  <si>
    <t>APT-202605-0151</t>
  </si>
  <si>
    <t>APT-202605-0152</t>
  </si>
  <si>
    <t>APT-202605-0153</t>
  </si>
  <si>
    <t>APT-202605-0154</t>
  </si>
  <si>
    <t>APT-202605-0155</t>
  </si>
  <si>
    <t>APT-202605-0156</t>
  </si>
  <si>
    <t>APT-202605-0157</t>
  </si>
  <si>
    <t>APT-202605-0158</t>
  </si>
  <si>
    <t>APT-202605-0159</t>
  </si>
  <si>
    <t>P0206</t>
  </si>
  <si>
    <t>APT-202605-0160</t>
  </si>
  <si>
    <t>Jun 2026 — Raw Appointment Export</t>
  </si>
  <si>
    <t>APT-202606-0001</t>
  </si>
  <si>
    <t>2026-06-01</t>
  </si>
  <si>
    <t>appointment_export_2026_06.csv</t>
  </si>
  <si>
    <t>APT-202606-0002</t>
  </si>
  <si>
    <t>2026-06-18</t>
  </si>
  <si>
    <t>APT-202606-0003</t>
  </si>
  <si>
    <t>2026-06-09</t>
  </si>
  <si>
    <t>APT-202606-0004</t>
  </si>
  <si>
    <t>2026-06-02</t>
  </si>
  <si>
    <t>APT-202606-0005</t>
  </si>
  <si>
    <t>2026-06-16</t>
  </si>
  <si>
    <t>APT-202606-0006</t>
  </si>
  <si>
    <t>2026-06-29</t>
  </si>
  <si>
    <t>APT-202606-0007</t>
  </si>
  <si>
    <t>2026-06-24</t>
  </si>
  <si>
    <t>APT-202606-0008</t>
  </si>
  <si>
    <t>2026-06-27</t>
  </si>
  <si>
    <t>2026-06-19</t>
  </si>
  <si>
    <t>APT-202606-0009</t>
  </si>
  <si>
    <t>16:31</t>
  </si>
  <si>
    <t>APT-202606-0010</t>
  </si>
  <si>
    <t>2026-06-04</t>
  </si>
  <si>
    <t>APT-202606-0011</t>
  </si>
  <si>
    <t>2026-06-07</t>
  </si>
  <si>
    <t>APT-202606-0012</t>
  </si>
  <si>
    <t>2026-06-13</t>
  </si>
  <si>
    <t>APT-202606-0013</t>
  </si>
  <si>
    <t>APT-202606-0014</t>
  </si>
  <si>
    <t>2026-06-17</t>
  </si>
  <si>
    <t>APT-202606-0015</t>
  </si>
  <si>
    <t>2026-06-21</t>
  </si>
  <si>
    <t>APT-202606-0016</t>
  </si>
  <si>
    <t>APT-202606-0017</t>
  </si>
  <si>
    <t>2026-06-20</t>
  </si>
  <si>
    <t>APT-202606-0018</t>
  </si>
  <si>
    <t>2026-06-03</t>
  </si>
  <si>
    <t>APT-202606-0019</t>
  </si>
  <si>
    <t>APT-202606-0020</t>
  </si>
  <si>
    <t>APT-202606-0021</t>
  </si>
  <si>
    <t>APT-202606-0022</t>
  </si>
  <si>
    <t>2026-06-30</t>
  </si>
  <si>
    <t>APT-202606-0023</t>
  </si>
  <si>
    <t>APT-202606-0024</t>
  </si>
  <si>
    <t>P0010</t>
  </si>
  <si>
    <t>APT-202606-0025</t>
  </si>
  <si>
    <t>15:43</t>
  </si>
  <si>
    <t>APT-202606-0026</t>
  </si>
  <si>
    <t>APT-202606-0027</t>
  </si>
  <si>
    <t>APT-202606-0028</t>
  </si>
  <si>
    <t>APT-202606-0029</t>
  </si>
  <si>
    <t>APT-202606-0030</t>
  </si>
  <si>
    <t>2026-06-12</t>
  </si>
  <si>
    <t>08:02</t>
  </si>
  <si>
    <t>08:11</t>
  </si>
  <si>
    <t>APT-202606-0031</t>
  </si>
  <si>
    <t>2026-06-15</t>
  </si>
  <si>
    <t>APT-202606-0032</t>
  </si>
  <si>
    <t>2026-06-08</t>
  </si>
  <si>
    <t>APT-202606-0033</t>
  </si>
  <si>
    <t>P0137</t>
  </si>
  <si>
    <t>APT-202606-0034</t>
  </si>
  <si>
    <t>APT-202606-0035</t>
  </si>
  <si>
    <t>APT-202606-0036</t>
  </si>
  <si>
    <t>16:33</t>
  </si>
  <si>
    <t>APT-202606-0037</t>
  </si>
  <si>
    <t>APT-202606-0038</t>
  </si>
  <si>
    <t>APT-202606-0039</t>
  </si>
  <si>
    <t>2026-06-06</t>
  </si>
  <si>
    <t>APT-202606-0040</t>
  </si>
  <si>
    <t>2026-06-14</t>
  </si>
  <si>
    <t>APT-202606-0041</t>
  </si>
  <si>
    <t>APT-202606-0042</t>
  </si>
  <si>
    <t>2026-06-10</t>
  </si>
  <si>
    <t>APT-202606-0043</t>
  </si>
  <si>
    <t>APT-202606-0044</t>
  </si>
  <si>
    <t>2026-06-05</t>
  </si>
  <si>
    <t>APT-202606-0045</t>
  </si>
  <si>
    <t>APT-202606-0046</t>
  </si>
  <si>
    <t>APT-202606-0047</t>
  </si>
  <si>
    <t>APT-202606-0048</t>
  </si>
  <si>
    <t>APT-202606-0049</t>
  </si>
  <si>
    <t>APT-202606-0050</t>
  </si>
  <si>
    <t>2026-06-28</t>
  </si>
  <si>
    <t>APT-202606-0051</t>
  </si>
  <si>
    <t>APT-202606-0052</t>
  </si>
  <si>
    <t>APT-202606-0053</t>
  </si>
  <si>
    <t>APT-202606-0054</t>
  </si>
  <si>
    <t>2026-06-26</t>
  </si>
  <si>
    <t>14:57</t>
  </si>
  <si>
    <t>APT-202606-0055</t>
  </si>
  <si>
    <t>APT-202606-0056</t>
  </si>
  <si>
    <t>APT-202606-0057</t>
  </si>
  <si>
    <t>APT-202606-0058</t>
  </si>
  <si>
    <t>APT-202606-0059</t>
  </si>
  <si>
    <t>20/06/2026</t>
  </si>
  <si>
    <t>APT-202606-0060</t>
  </si>
  <si>
    <t>2026-06-25</t>
  </si>
  <si>
    <t>APT-202606-0061</t>
  </si>
  <si>
    <t>2026-06-11</t>
  </si>
  <si>
    <t>dia</t>
  </si>
  <si>
    <t>12:15</t>
  </si>
  <si>
    <t>APT-202606-0062</t>
  </si>
  <si>
    <t>P0059</t>
  </si>
  <si>
    <t>APT-202606-0063</t>
  </si>
  <si>
    <t>P0120</t>
  </si>
  <si>
    <t>APT-202606-0064</t>
  </si>
  <si>
    <t>10:13</t>
  </si>
  <si>
    <t>APT-202606-0065</t>
  </si>
  <si>
    <t>APT-202606-0066</t>
  </si>
  <si>
    <t>APT-202606-0067</t>
  </si>
  <si>
    <t>APT-202606-0068</t>
  </si>
  <si>
    <t>APT-202606-0069</t>
  </si>
  <si>
    <t>APT-202606-0070</t>
  </si>
  <si>
    <t>APT-202606-0071</t>
  </si>
  <si>
    <t>APT-202606-0072</t>
  </si>
  <si>
    <t>2026-06-22</t>
  </si>
  <si>
    <t>APT-202606-0073</t>
  </si>
  <si>
    <t>APT-202606-0074</t>
  </si>
  <si>
    <t>2026-06-23</t>
  </si>
  <si>
    <t>APT-202606-0075</t>
  </si>
  <si>
    <t>APT-202606-0076</t>
  </si>
  <si>
    <t>APT-202606-0077</t>
  </si>
  <si>
    <t>APT-202606-0078</t>
  </si>
  <si>
    <t>APT-202606-0079</t>
  </si>
  <si>
    <t>APT-202606-0080</t>
  </si>
  <si>
    <t>APT-202606-0081</t>
  </si>
  <si>
    <t>APT-202606-0082</t>
  </si>
  <si>
    <t>APT-202606-0083</t>
  </si>
  <si>
    <t>APT-202606-0084</t>
  </si>
  <si>
    <t>APT-202606-0085</t>
  </si>
  <si>
    <t>APT-202606-0086</t>
  </si>
  <si>
    <t>APT-202606-0087</t>
  </si>
  <si>
    <t>15:59</t>
  </si>
  <si>
    <t>APT-202606-0088</t>
  </si>
  <si>
    <t>APT-202606-0089</t>
  </si>
  <si>
    <t>APT-202606-0090</t>
  </si>
  <si>
    <t>APT-202606-0091</t>
  </si>
  <si>
    <t>APT-202606-0092</t>
  </si>
  <si>
    <t>APT-202606-0093</t>
  </si>
  <si>
    <t>10:45</t>
  </si>
  <si>
    <t>APT-202606-0094</t>
  </si>
  <si>
    <t>APT-202606-0095</t>
  </si>
  <si>
    <t>APT-202606-0096</t>
  </si>
  <si>
    <t>APT-202606-0097</t>
  </si>
  <si>
    <t>APT-202606-0098</t>
  </si>
  <si>
    <t>APT-202606-0099</t>
  </si>
  <si>
    <t>APT-202606-0100</t>
  </si>
  <si>
    <t>APT-202606-0101</t>
  </si>
  <si>
    <t>APT-202606-0102</t>
  </si>
  <si>
    <t>APT-202606-0103</t>
  </si>
  <si>
    <t>APT-202606-0104</t>
  </si>
  <si>
    <t>16:03</t>
  </si>
  <si>
    <t>16:25</t>
  </si>
  <si>
    <t>APT-202606-0105</t>
  </si>
  <si>
    <t>APT-202606-0106</t>
  </si>
  <si>
    <t>APT-202606-0107</t>
  </si>
  <si>
    <t>APT-202606-0108</t>
  </si>
  <si>
    <t>P0034</t>
  </si>
  <si>
    <t>APT-202606-0109</t>
  </si>
  <si>
    <t>15:55</t>
  </si>
  <si>
    <t>APT-202606-0110</t>
  </si>
  <si>
    <t>14:59</t>
  </si>
  <si>
    <t>APT-202606-0111</t>
  </si>
  <si>
    <t>APT-202606-0112</t>
  </si>
  <si>
    <t>15:50</t>
  </si>
  <si>
    <t>APT-202606-0113</t>
  </si>
  <si>
    <t>09:23</t>
  </si>
  <si>
    <t>APT-202606-0114</t>
  </si>
  <si>
    <t>APT-202606-0115</t>
  </si>
  <si>
    <t>APT-202606-0116</t>
  </si>
  <si>
    <t>APT-202606-0117</t>
  </si>
  <si>
    <t>APT-202606-0118</t>
  </si>
  <si>
    <t>03/06/2026</t>
  </si>
  <si>
    <t>APT-202606-0119</t>
  </si>
  <si>
    <t>APT-202606-0120</t>
  </si>
  <si>
    <t>APT-202606-0121</t>
  </si>
  <si>
    <t>APT-202606-0122</t>
  </si>
  <si>
    <t>APT-202606-0123</t>
  </si>
  <si>
    <t>09:48</t>
  </si>
  <si>
    <t>APT-202606-0124</t>
  </si>
  <si>
    <t>APT-202606-0125</t>
  </si>
  <si>
    <t>APT-202606-0126</t>
  </si>
  <si>
    <t>APT-202606-0127</t>
  </si>
  <si>
    <t>APT-202606-0128</t>
  </si>
  <si>
    <t>APT-202606-0129</t>
  </si>
  <si>
    <t>APT-202606-0130</t>
  </si>
  <si>
    <t>APT-202606-0131</t>
  </si>
  <si>
    <t>APT-202606-0132</t>
  </si>
  <si>
    <t>APT-202606-0133</t>
  </si>
  <si>
    <t>13:23</t>
  </si>
  <si>
    <t>APT-202606-0134</t>
  </si>
  <si>
    <t>APT-202606-0135</t>
  </si>
  <si>
    <t>APT-202606-0136</t>
  </si>
  <si>
    <t>16:19</t>
  </si>
  <si>
    <t>APT-202606-0137</t>
  </si>
  <si>
    <t>APT-202606-0138</t>
  </si>
  <si>
    <t>APT-202606-0140</t>
  </si>
  <si>
    <t>APT-202606-0141</t>
  </si>
  <si>
    <t>APT-202606-0142</t>
  </si>
  <si>
    <t>APT-202606-0143</t>
  </si>
  <si>
    <t>APT-202606-0144</t>
  </si>
  <si>
    <t>APT-202606-0145</t>
  </si>
  <si>
    <t>APT-202606-0146</t>
  </si>
  <si>
    <t>APT-202606-0147</t>
  </si>
  <si>
    <t>APT-202606-0148</t>
  </si>
  <si>
    <t>APT-202606-0149</t>
  </si>
  <si>
    <t>APT-202606-0150</t>
  </si>
  <si>
    <t>APT-202606-0151</t>
  </si>
  <si>
    <t>APT-202606-0152</t>
  </si>
  <si>
    <t>APT-202606-0153</t>
  </si>
  <si>
    <t>APT-202606-0154</t>
  </si>
  <si>
    <t>APT-202606-0155</t>
  </si>
  <si>
    <t>APT-202606-0156</t>
  </si>
  <si>
    <t>APT-202606-0157</t>
  </si>
  <si>
    <t>APT-202606-0158</t>
  </si>
  <si>
    <t>APT-202606-0159</t>
  </si>
  <si>
    <t>APT-202606-0160</t>
  </si>
  <si>
    <t>Clinic Reference Table</t>
  </si>
  <si>
    <t>Reference data for Power Query merges and Excel lookup formulas. Keep these keys visible and auditable.</t>
  </si>
  <si>
    <t>Clinic_Manager</t>
  </si>
  <si>
    <t>Location_Type</t>
  </si>
  <si>
    <t>Operating_Hours</t>
  </si>
  <si>
    <t>Auckland Central Community Clinic</t>
  </si>
  <si>
    <t>Northern</t>
  </si>
  <si>
    <t>Aroha Rangi</t>
  </si>
  <si>
    <t>Urban</t>
  </si>
  <si>
    <t>Mon-Fri 08:00-18:00</t>
  </si>
  <si>
    <t>Hamilton East Community Clinic</t>
  </si>
  <si>
    <t>Midland</t>
  </si>
  <si>
    <t>Daniel Wong</t>
  </si>
  <si>
    <t>Mon-Fri 08:00-17:30</t>
  </si>
  <si>
    <t>Palmerston North Community Clinic</t>
  </si>
  <si>
    <t>Central</t>
  </si>
  <si>
    <t>Mereana Thompson</t>
  </si>
  <si>
    <t>Regional</t>
  </si>
  <si>
    <t>Mon-Fri 08:30-17:00</t>
  </si>
  <si>
    <t>Wellington Harbour Community Clinic</t>
  </si>
  <si>
    <t>Sophie Martin</t>
  </si>
  <si>
    <t>Mon-Sat 08:00-18:00</t>
  </si>
  <si>
    <t>Service Reference Table</t>
  </si>
  <si>
    <t>Service_Name</t>
  </si>
  <si>
    <t>Service_Group</t>
  </si>
  <si>
    <t>Primary_Role</t>
  </si>
  <si>
    <t>General Practice</t>
  </si>
  <si>
    <t>Primary care</t>
  </si>
  <si>
    <t>Doctor or Nurse Practitioner</t>
  </si>
  <si>
    <t>Mental Health Support</t>
  </si>
  <si>
    <t>Behavioural health</t>
  </si>
  <si>
    <t>Mental Health Clinician</t>
  </si>
  <si>
    <t>Physiotherapy</t>
  </si>
  <si>
    <t>Rehabilitation</t>
  </si>
  <si>
    <t>Physiotherapist</t>
  </si>
  <si>
    <t>Diabetes Care</t>
  </si>
  <si>
    <t>Long-term conditions</t>
  </si>
  <si>
    <t>Diabetes Nurse</t>
  </si>
  <si>
    <t>Cardiology Review</t>
  </si>
  <si>
    <t>Specialist outpatient</t>
  </si>
  <si>
    <t>Cardiology Clinician</t>
  </si>
  <si>
    <t>Clinician Reference Table</t>
  </si>
  <si>
    <t>Clinician_Name</t>
  </si>
  <si>
    <t>Role</t>
  </si>
  <si>
    <t>Employment_Type</t>
  </si>
  <si>
    <t>Priya Ngata</t>
  </si>
  <si>
    <t>Permanent</t>
  </si>
  <si>
    <t>Priya Patel</t>
  </si>
  <si>
    <t>Grace Wilson</t>
  </si>
  <si>
    <t>Hana King</t>
  </si>
  <si>
    <t>Part-time</t>
  </si>
  <si>
    <t>Liam Kaur</t>
  </si>
  <si>
    <t>Priya Kaur</t>
  </si>
  <si>
    <t>Jamie Brown</t>
  </si>
  <si>
    <t>Priya Brown</t>
  </si>
  <si>
    <t>Noah Ngata</t>
  </si>
  <si>
    <t>Liam Lee</t>
  </si>
  <si>
    <t>Taylor Patel</t>
  </si>
  <si>
    <t>Jamie King</t>
  </si>
  <si>
    <t>Hana Taylor</t>
  </si>
  <si>
    <t>Mia Singh</t>
  </si>
  <si>
    <t>Hana Chen</t>
  </si>
  <si>
    <t>Grace Lee</t>
  </si>
  <si>
    <t>Mia Lee</t>
  </si>
  <si>
    <t>Mia Patel</t>
  </si>
  <si>
    <t>Wiremu Wilson</t>
  </si>
  <si>
    <t>Taylor Kaur</t>
  </si>
  <si>
    <t>Mia Kaur</t>
  </si>
  <si>
    <t>Jamie Chen</t>
  </si>
  <si>
    <t>Taylor Wilson</t>
  </si>
  <si>
    <t>Wiremu Patel</t>
  </si>
  <si>
    <t>Noah Patel</t>
  </si>
  <si>
    <t>Noah Wilson</t>
  </si>
  <si>
    <t>Wiremu Lee</t>
  </si>
  <si>
    <t>Noah King</t>
  </si>
  <si>
    <t>Mia King</t>
  </si>
  <si>
    <t>Taylor Chen</t>
  </si>
  <si>
    <t>Hana Wilson</t>
  </si>
  <si>
    <t>Priya Taylor</t>
  </si>
  <si>
    <t>Grace Kaur</t>
  </si>
  <si>
    <t>Taylor Taylor</t>
  </si>
  <si>
    <t>Alex Patel</t>
  </si>
  <si>
    <t>Jamie Patel</t>
  </si>
  <si>
    <t>Jamie Singh</t>
  </si>
  <si>
    <t>Synthetic Patient Reference Table</t>
  </si>
  <si>
    <t>Birth_Date</t>
  </si>
  <si>
    <t>Gender</t>
  </si>
  <si>
    <t>Ethnicity</t>
  </si>
  <si>
    <t>Preferred_Contact</t>
  </si>
  <si>
    <t>Enrolled_Clinic_Code</t>
  </si>
  <si>
    <t>1967-02-08</t>
  </si>
  <si>
    <t>Male</t>
  </si>
  <si>
    <t>Māori</t>
  </si>
  <si>
    <t>SMS</t>
  </si>
  <si>
    <t>1972-10-26</t>
  </si>
  <si>
    <t>Not stated</t>
  </si>
  <si>
    <t>Asian</t>
  </si>
  <si>
    <t>1977-09-16</t>
  </si>
  <si>
    <t>1959-10-20</t>
  </si>
  <si>
    <t>Pacific peoples</t>
  </si>
  <si>
    <t>Email</t>
  </si>
  <si>
    <t>1949-09-28</t>
  </si>
  <si>
    <t>Non-binary</t>
  </si>
  <si>
    <t>Other</t>
  </si>
  <si>
    <t>1987-05-01</t>
  </si>
  <si>
    <t>Patient portal</t>
  </si>
  <si>
    <t>1956-02-12</t>
  </si>
  <si>
    <t>Female</t>
  </si>
  <si>
    <t>1952-12-16</t>
  </si>
  <si>
    <t>1994-07-28</t>
  </si>
  <si>
    <t>1963-09-26</t>
  </si>
  <si>
    <t>1986-09-07</t>
  </si>
  <si>
    <t>1947-08-02</t>
  </si>
  <si>
    <t>1995-12-06</t>
  </si>
  <si>
    <t>1964-06-19</t>
  </si>
  <si>
    <t>1958-01-14</t>
  </si>
  <si>
    <t>MELAA</t>
  </si>
  <si>
    <t>1988-09-12</t>
  </si>
  <si>
    <t>1957-10-22</t>
  </si>
  <si>
    <t>2002-12-12</t>
  </si>
  <si>
    <t>1954-06-03</t>
  </si>
  <si>
    <t>1961-12-19</t>
  </si>
  <si>
    <t>1989-04-19</t>
  </si>
  <si>
    <t>2000-06-25</t>
  </si>
  <si>
    <t>1948-01-18</t>
  </si>
  <si>
    <t>European</t>
  </si>
  <si>
    <t>1986-04-06</t>
  </si>
  <si>
    <t>1954-03-04</t>
  </si>
  <si>
    <t>1972-12-12</t>
  </si>
  <si>
    <t>1998-03-20</t>
  </si>
  <si>
    <t>1966-03-05</t>
  </si>
  <si>
    <t>1986-09-06</t>
  </si>
  <si>
    <t>P0030</t>
  </si>
  <si>
    <t>1977-12-02</t>
  </si>
  <si>
    <t>2005-02-01</t>
  </si>
  <si>
    <t>1947-04-17</t>
  </si>
  <si>
    <t>1948-11-13</t>
  </si>
  <si>
    <t>1959-03-18</t>
  </si>
  <si>
    <t>1943-04-06</t>
  </si>
  <si>
    <t>1983-10-14</t>
  </si>
  <si>
    <t>2005-02-03</t>
  </si>
  <si>
    <t>2000-07-09</t>
  </si>
  <si>
    <t>1970-09-22</t>
  </si>
  <si>
    <t>1958-01-19</t>
  </si>
  <si>
    <t>1964-12-01</t>
  </si>
  <si>
    <t>2000-02-06</t>
  </si>
  <si>
    <t>1990-05-04</t>
  </si>
  <si>
    <t>1981-10-12</t>
  </si>
  <si>
    <t>1943-04-11</t>
  </si>
  <si>
    <t>1951-05-18</t>
  </si>
  <si>
    <t>2004-04-02</t>
  </si>
  <si>
    <t>1972-03-06</t>
  </si>
  <si>
    <t>1990-01-05</t>
  </si>
  <si>
    <t>1960-04-13</t>
  </si>
  <si>
    <t>1968-07-14</t>
  </si>
  <si>
    <t>1952-08-25</t>
  </si>
  <si>
    <t>1941-01-04</t>
  </si>
  <si>
    <t>2000-02-23</t>
  </si>
  <si>
    <t>1961-03-05</t>
  </si>
  <si>
    <t>1963-02-22</t>
  </si>
  <si>
    <t>1993-07-25</t>
  </si>
  <si>
    <t>1965-03-20</t>
  </si>
  <si>
    <t>1993-11-08</t>
  </si>
  <si>
    <t>1999-03-03</t>
  </si>
  <si>
    <t>1970-01-07</t>
  </si>
  <si>
    <t>1956-09-27</t>
  </si>
  <si>
    <t>1976-10-27</t>
  </si>
  <si>
    <t>1968-06-04</t>
  </si>
  <si>
    <t>1991-07-27</t>
  </si>
  <si>
    <t>1993-04-01</t>
  </si>
  <si>
    <t>1940-07-19</t>
  </si>
  <si>
    <t>1982-04-24</t>
  </si>
  <si>
    <t>1985-01-06</t>
  </si>
  <si>
    <t>1995-04-24</t>
  </si>
  <si>
    <t>1975-07-11</t>
  </si>
  <si>
    <t>1945-09-20</t>
  </si>
  <si>
    <t>1979-06-09</t>
  </si>
  <si>
    <t>1992-03-14</t>
  </si>
  <si>
    <t>1975-08-25</t>
  </si>
  <si>
    <t>1941-06-28</t>
  </si>
  <si>
    <t>1943-04-18</t>
  </si>
  <si>
    <t>1953-07-17</t>
  </si>
  <si>
    <t>1952-08-10</t>
  </si>
  <si>
    <t>2005-09-13</t>
  </si>
  <si>
    <t>1946-10-23</t>
  </si>
  <si>
    <t>1994-05-06</t>
  </si>
  <si>
    <t>1982-05-15</t>
  </si>
  <si>
    <t>1952-05-22</t>
  </si>
  <si>
    <t>1978-07-02</t>
  </si>
  <si>
    <t>1947-11-15</t>
  </si>
  <si>
    <t>1979-09-13</t>
  </si>
  <si>
    <t>1981-01-07</t>
  </si>
  <si>
    <t>1950-02-27</t>
  </si>
  <si>
    <t>2004-07-22</t>
  </si>
  <si>
    <t>P0092</t>
  </si>
  <si>
    <t>1983-04-01</t>
  </si>
  <si>
    <t>1943-09-03</t>
  </si>
  <si>
    <t>2003-08-18</t>
  </si>
  <si>
    <t>1976-07-11</t>
  </si>
  <si>
    <t>1941-07-17</t>
  </si>
  <si>
    <t>1985-03-16</t>
  </si>
  <si>
    <t>1942-04-04</t>
  </si>
  <si>
    <t>2005-05-18</t>
  </si>
  <si>
    <t>1950-01-13</t>
  </si>
  <si>
    <t>1976-10-11</t>
  </si>
  <si>
    <t>1996-02-19</t>
  </si>
  <si>
    <t>1950-11-13</t>
  </si>
  <si>
    <t>1989-04-11</t>
  </si>
  <si>
    <t>1990-08-26</t>
  </si>
  <si>
    <t>1942-10-24</t>
  </si>
  <si>
    <t>1989-01-16</t>
  </si>
  <si>
    <t>2001-04-15</t>
  </si>
  <si>
    <t>1946-06-02</t>
  </si>
  <si>
    <t>1967-01-01</t>
  </si>
  <si>
    <t>1961-04-24</t>
  </si>
  <si>
    <t>1982-12-10</t>
  </si>
  <si>
    <t>1999-04-24</t>
  </si>
  <si>
    <t>1978-07-18</t>
  </si>
  <si>
    <t>1961-12-03</t>
  </si>
  <si>
    <t>1986-05-27</t>
  </si>
  <si>
    <t>1997-06-11</t>
  </si>
  <si>
    <t>1960-02-03</t>
  </si>
  <si>
    <t>1994-06-20</t>
  </si>
  <si>
    <t>1981-06-02</t>
  </si>
  <si>
    <t>1963-07-08</t>
  </si>
  <si>
    <t>1974-08-02</t>
  </si>
  <si>
    <t>1989-07-03</t>
  </si>
  <si>
    <t>1989-01-08</t>
  </si>
  <si>
    <t>1964-09-01</t>
  </si>
  <si>
    <t>1996-01-01</t>
  </si>
  <si>
    <t>2003-04-19</t>
  </si>
  <si>
    <t>1996-01-23</t>
  </si>
  <si>
    <t>1961-07-20</t>
  </si>
  <si>
    <t>1986-06-02</t>
  </si>
  <si>
    <t>1947-11-16</t>
  </si>
  <si>
    <t>1962-06-20</t>
  </si>
  <si>
    <t>1940-04-06</t>
  </si>
  <si>
    <t>1977-03-05</t>
  </si>
  <si>
    <t>1963-04-05</t>
  </si>
  <si>
    <t>1996-12-16</t>
  </si>
  <si>
    <t>1991-05-21</t>
  </si>
  <si>
    <t>2003-04-17</t>
  </si>
  <si>
    <t>1965-02-04</t>
  </si>
  <si>
    <t>1995-03-15</t>
  </si>
  <si>
    <t>1979-08-09</t>
  </si>
  <si>
    <t>1947-03-28</t>
  </si>
  <si>
    <t>1955-01-02</t>
  </si>
  <si>
    <t>1959-08-28</t>
  </si>
  <si>
    <t>1965-03-12</t>
  </si>
  <si>
    <t>1966-07-21</t>
  </si>
  <si>
    <t>1993-04-28</t>
  </si>
  <si>
    <t>1993-04-20</t>
  </si>
  <si>
    <t>1947-09-04</t>
  </si>
  <si>
    <t>1959-01-06</t>
  </si>
  <si>
    <t>1960-11-02</t>
  </si>
  <si>
    <t>1989-05-08</t>
  </si>
  <si>
    <t>1966-11-21</t>
  </si>
  <si>
    <t>1998-10-25</t>
  </si>
  <si>
    <t>1987-12-15</t>
  </si>
  <si>
    <t>1997-02-27</t>
  </si>
  <si>
    <t>1967-04-18</t>
  </si>
  <si>
    <t>1984-06-03</t>
  </si>
  <si>
    <t>1953-04-10</t>
  </si>
  <si>
    <t>1948-01-21</t>
  </si>
  <si>
    <t>P0161</t>
  </si>
  <si>
    <t>1987-02-04</t>
  </si>
  <si>
    <t>1940-08-12</t>
  </si>
  <si>
    <t>1944-07-12</t>
  </si>
  <si>
    <t>1954-10-21</t>
  </si>
  <si>
    <t>1940-06-06</t>
  </si>
  <si>
    <t>1960-02-18</t>
  </si>
  <si>
    <t>1972-04-09</t>
  </si>
  <si>
    <t>1941-09-05</t>
  </si>
  <si>
    <t>2003-07-11</t>
  </si>
  <si>
    <t>1953-02-17</t>
  </si>
  <si>
    <t>1968-02-14</t>
  </si>
  <si>
    <t>1955-05-01</t>
  </si>
  <si>
    <t>2000-05-20</t>
  </si>
  <si>
    <t>1995-11-01</t>
  </si>
  <si>
    <t>1952-04-06</t>
  </si>
  <si>
    <t>1990-03-03</t>
  </si>
  <si>
    <t>1978-01-23</t>
  </si>
  <si>
    <t>1960-03-24</t>
  </si>
  <si>
    <t>1980-10-21</t>
  </si>
  <si>
    <t>1982-10-05</t>
  </si>
  <si>
    <t>1979-01-27</t>
  </si>
  <si>
    <t>1999-12-21</t>
  </si>
  <si>
    <t>2001-12-01</t>
  </si>
  <si>
    <t>1969-05-23</t>
  </si>
  <si>
    <t>1946-03-17</t>
  </si>
  <si>
    <t>1965-07-07</t>
  </si>
  <si>
    <t>1990-03-09</t>
  </si>
  <si>
    <t>1985-10-02</t>
  </si>
  <si>
    <t>P0189</t>
  </si>
  <si>
    <t>2002-12-16</t>
  </si>
  <si>
    <t>1997-09-17</t>
  </si>
  <si>
    <t>1982-12-08</t>
  </si>
  <si>
    <t>1977-06-09</t>
  </si>
  <si>
    <t>1960-11-04</t>
  </si>
  <si>
    <t>1991-11-15</t>
  </si>
  <si>
    <t>1951-01-23</t>
  </si>
  <si>
    <t>2002-11-15</t>
  </si>
  <si>
    <t>1962-10-19</t>
  </si>
  <si>
    <t>1998-11-10</t>
  </si>
  <si>
    <t>1991-05-27</t>
  </si>
  <si>
    <t>1979-04-21</t>
  </si>
  <si>
    <t>1985-01-03</t>
  </si>
  <si>
    <t>1982-05-28</t>
  </si>
  <si>
    <t>1970-08-13</t>
  </si>
  <si>
    <t>1944-11-11</t>
  </si>
  <si>
    <t>1986-11-03</t>
  </si>
  <si>
    <t>1953-02-15</t>
  </si>
  <si>
    <t>1949-12-14</t>
  </si>
  <si>
    <t>1969-05-06</t>
  </si>
  <si>
    <t>1987-07-10</t>
  </si>
  <si>
    <t>1985-09-11</t>
  </si>
  <si>
    <t>1971-01-06</t>
  </si>
  <si>
    <t>1960-06-10</t>
  </si>
  <si>
    <t>1987-03-01</t>
  </si>
  <si>
    <t>1997-10-14</t>
  </si>
  <si>
    <t>1955-05-24</t>
  </si>
  <si>
    <t>1971-10-18</t>
  </si>
  <si>
    <t>1963-01-02</t>
  </si>
  <si>
    <t>1951-10-06</t>
  </si>
  <si>
    <t>1984-02-07</t>
  </si>
  <si>
    <t>1999-11-18</t>
  </si>
  <si>
    <t>P0221</t>
  </si>
  <si>
    <t>1942-09-09</t>
  </si>
  <si>
    <t>1983-06-03</t>
  </si>
  <si>
    <t>1957-01-16</t>
  </si>
  <si>
    <t>1981-02-07</t>
  </si>
  <si>
    <t>1976-09-14</t>
  </si>
  <si>
    <t>1965-11-12</t>
  </si>
  <si>
    <t>1947-01-10</t>
  </si>
  <si>
    <t>1946-06-18</t>
  </si>
  <si>
    <t>1978-10-08</t>
  </si>
  <si>
    <t>1966-08-04</t>
  </si>
  <si>
    <t>1976-09-27</t>
  </si>
  <si>
    <t>1952-04-08</t>
  </si>
  <si>
    <t>1995-09-11</t>
  </si>
  <si>
    <t>1957-02-07</t>
  </si>
  <si>
    <t>2001-07-07</t>
  </si>
  <si>
    <t>1954-06-26</t>
  </si>
  <si>
    <t>2000-05-04</t>
  </si>
  <si>
    <t>1978-09-23</t>
  </si>
  <si>
    <t>1981-03-11</t>
  </si>
  <si>
    <t>1963-12-22</t>
  </si>
  <si>
    <t>Patient_ID_Missing_Flag</t>
  </si>
  <si>
    <t>Service_Code_Missing_Flag</t>
  </si>
  <si>
    <t>Lookup_Match_Status</t>
  </si>
  <si>
    <t>Booking_Lead_Days</t>
  </si>
  <si>
    <t>Met_Wait_Target_Flag</t>
  </si>
  <si>
    <t>Patient_Wait_Minutes</t>
  </si>
  <si>
    <t>Seen_Within_30_Min_Flag</t>
  </si>
  <si>
    <t>Attendance_Eligible_Flag</t>
  </si>
  <si>
    <t>No_Show_Flag</t>
  </si>
  <si>
    <t>Fee_Recorded_Flag</t>
  </si>
  <si>
    <t>Fee_Variance_NZD</t>
  </si>
  <si>
    <t>Fee_Status</t>
  </si>
  <si>
    <t>Appointment_Month_Start</t>
  </si>
  <si>
    <t>Appointment_Year</t>
  </si>
  <si>
    <t>Appointment_Month_Number</t>
  </si>
  <si>
    <t>Appointment_Month_Name</t>
  </si>
  <si>
    <t>Matched</t>
  </si>
  <si>
    <t>Matches Standard</t>
  </si>
  <si>
    <t>Jan</t>
  </si>
  <si>
    <t>Missing Service Code</t>
  </si>
  <si>
    <t>Missing Standard Fee</t>
  </si>
  <si>
    <t>Missing Actual Fee</t>
  </si>
  <si>
    <t>Feb</t>
  </si>
  <si>
    <t>Mar</t>
  </si>
  <si>
    <t>Apr</t>
  </si>
  <si>
    <t>May</t>
  </si>
  <si>
    <t>Jun</t>
  </si>
  <si>
    <t>Healthcare Appointment Performance Summary</t>
  </si>
  <si>
    <t>Attended Appointments</t>
  </si>
  <si>
    <t>No Shows</t>
  </si>
  <si>
    <t>Average Booking Lead Days</t>
  </si>
  <si>
    <t>Met Wait Target</t>
  </si>
  <si>
    <t>Average Patient Wait Minutes</t>
  </si>
  <si>
    <t>Seen Within 30 Minutes</t>
  </si>
  <si>
    <t>Average Satisfaction Score</t>
  </si>
  <si>
    <t>Total Recorded Fees</t>
  </si>
  <si>
    <t>Fee Recorded</t>
  </si>
  <si>
    <t>Row Labels</t>
  </si>
  <si>
    <t>Grand Total</t>
  </si>
  <si>
    <t>Column Labels</t>
  </si>
  <si>
    <t>Count of Appointment_ID</t>
  </si>
  <si>
    <t>Monthly trend excludes 6 appointments (0.6%) with missing appointment dates.</t>
  </si>
  <si>
    <t>ptNoShowClinic</t>
  </si>
  <si>
    <t>Wait Target Met</t>
  </si>
  <si>
    <t>Average Wait Minutes</t>
  </si>
  <si>
    <t>Share of Recorded Fees</t>
  </si>
  <si>
    <t>Healthcare Appointment Performance Dashboard</t>
  </si>
  <si>
    <t>January–June 2026 | 954 cleaned appointment records</t>
  </si>
  <si>
    <t>Average Patient Wait</t>
  </si>
  <si>
    <t>(blank)</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</si>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</sst>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43" formatCode="_-* #,##0.00_-;\-* #,##0.00_-;_-* &quot;-&quot;??_-;_-@_-"/>
    <numFmt numFmtId="164" formatCode="\$#,##0"/>
    <numFmt numFmtId="165" formatCode="yyyy\-mm\-dd"/>
    <numFmt numFmtId="166" formatCode="[$-F400]h:mm:ss\ AM/PM"/>
    <numFmt numFmtId="167" formatCode="_-[$$-1409]* #,##0.00_-;\-[$$-1409]* #,##0.00_-;_-[$$-1409]* &quot;-&quot;??_-;_-@_-"/>
    <numFmt numFmtId="168" formatCode="0.0%"/>
    <numFmt numFmtId="169" formatCode="0.0"/>
    <numFmt numFmtId="170" formatCode="mmm\ yyyy"/>
    <numFmt numFmtId="171" formatCode="0.0\ &quot;min&quot;"/>
  </numFmts>
  <fonts count="19">
    <font>
      <sz val="11"/>
      <name val="Carlito"/>
    </font>
    <font>
      <b/>
      <sz val="18"/>
      <color rgb="FFFFFFFF"/>
      <name val="Aptos"/>
    </font>
    <font>
      <sz val="10"/>
      <color rgb="FF17212B"/>
      <name val="Aptos"/>
    </font>
    <font>
      <sz val="11"/>
      <name val="Aptos"/>
    </font>
    <font>
      <b/>
      <sz val="11"/>
      <color rgb="FFFFFFFF"/>
      <name val="Aptos"/>
    </font>
    <font>
      <sz val="11"/>
      <color rgb="FF17212B"/>
      <name val="Aptos"/>
    </font>
    <font>
      <b/>
      <sz val="11"/>
      <color rgb="FF0F766E"/>
      <name val="Aptos"/>
    </font>
    <font>
      <b/>
      <sz val="11"/>
      <color rgb="FF17212B"/>
      <name val="Aptos"/>
    </font>
    <font>
      <b/>
      <sz val="11"/>
      <color rgb="FF2563EB"/>
      <name val="Aptos"/>
    </font>
    <font>
      <sz val="9"/>
      <name val="Aptos"/>
    </font>
    <font>
      <sz val="11"/>
      <name val="Carlito"/>
    </font>
    <font>
      <b/>
      <sz val="11"/>
      <color theme="0"/>
      <name val="Carlito"/>
    </font>
    <font>
      <sz val="20"/>
      <color rgb="FF00B0F0"/>
      <name val="Carlito"/>
    </font>
    <font>
      <sz val="11"/>
      <color rgb="FF00B0F0"/>
      <name val="Carlito"/>
    </font>
    <font>
      <b/>
      <sz val="11"/>
      <name val="Carlito"/>
    </font>
    <font>
      <b/>
      <sz val="11"/>
      <color theme="4"/>
      <name val="Carlito"/>
    </font>
    <font>
      <b/>
      <sz val="22"/>
      <color theme="0"/>
      <name val="Carlito"/>
    </font>
    <font>
      <sz val="11"/>
      <color theme="0"/>
      <name val="Carlito"/>
    </font>
    <font>
      <b/>
      <sz val="20"/>
      <color theme="0"/>
      <name val="Carlito"/>
    </font>
  </fonts>
  <fills count="12">
    <fill>
      <patternFill patternType="none"/>
    </fill>
    <fill>
      <patternFill patternType="gray125"/>
    </fill>
    <fill>
      <patternFill patternType="solid">
        <fgColor rgb="FF16324F"/>
      </patternFill>
    </fill>
    <fill>
      <patternFill patternType="solid">
        <fgColor rgb="FFE8F1FB"/>
      </patternFill>
    </fill>
    <fill>
      <patternFill patternType="solid">
        <fgColor rgb="FF0F766E"/>
      </patternFill>
    </fill>
    <fill>
      <patternFill patternType="solid">
        <fgColor rgb="FFF3F5F7"/>
      </patternFill>
    </fill>
    <fill>
      <patternFill patternType="solid">
        <fgColor rgb="FFE7F6F2"/>
      </patternFill>
    </fill>
    <fill>
      <patternFill patternType="solid">
        <fgColor rgb="FFFFF4CC"/>
      </patternFill>
    </fill>
    <fill>
      <patternFill patternType="solid">
        <fgColor rgb="FFFFFBEA"/>
      </patternFill>
    </fill>
    <fill>
      <patternFill patternType="solid">
        <fgColor theme="5" tint="0.79998168889431442"/>
        <bgColor indexed="64"/>
      </patternFill>
    </fill>
    <fill>
      <patternFill patternType="solid">
        <fgColor theme="3"/>
        <bgColor indexed="64"/>
      </patternFill>
    </fill>
    <fill>
      <patternFill patternType="solid">
        <fgColor theme="3" tint="0.499984740745262"/>
        <bgColor indexed="64"/>
      </patternFill>
    </fill>
  </fills>
  <borders count="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0" fillId="0" borderId="0" applyFont="0" applyFill="0" applyBorder="0" applyAlignment="0" applyProtection="0"/>
    <xf numFmtId="9" fontId="10" fillId="0" borderId="0" applyFont="0" applyFill="0" applyBorder="0" applyAlignment="0" applyProtection="0"/>
  </cellStyleXfs>
  <cellXfs count="57">
    <xf numFmtId="0" fontId="0" fillId="0" borderId="0" xfId="0"/>
    <xf numFmtId="0" fontId="4" fillId="2" borderId="0" xfId="0" applyFont="1" applyFill="1" applyAlignment="1">
      <alignment vertical="center" wrapText="1"/>
    </xf>
    <xf numFmtId="0" fontId="3" fillId="0" borderId="0" xfId="0" applyFont="1" applyAlignment="1">
      <alignment vertical="center"/>
    </xf>
    <xf numFmtId="0" fontId="6" fillId="6" borderId="0" xfId="0" applyFont="1" applyFill="1" applyAlignment="1">
      <alignment horizontal="center" vertical="center"/>
    </xf>
    <xf numFmtId="0" fontId="3" fillId="0" borderId="0" xfId="0" applyFont="1" applyAlignment="1">
      <alignment vertical="center" wrapText="1"/>
    </xf>
    <xf numFmtId="0" fontId="8" fillId="3" borderId="0" xfId="0" applyFont="1" applyFill="1" applyAlignment="1">
      <alignment horizontal="center" vertical="center"/>
    </xf>
    <xf numFmtId="0" fontId="3" fillId="7" borderId="0" xfId="0" applyFont="1" applyFill="1" applyAlignment="1">
      <alignment vertical="center" wrapText="1"/>
    </xf>
    <xf numFmtId="0" fontId="9" fillId="0" borderId="0" xfId="0" applyFont="1" applyAlignment="1">
      <alignment vertical="center"/>
    </xf>
    <xf numFmtId="1" fontId="3" fillId="0" borderId="0" xfId="0" applyNumberFormat="1" applyFont="1" applyAlignment="1">
      <alignment vertical="center"/>
    </xf>
    <xf numFmtId="164" fontId="3" fillId="0" borderId="0" xfId="0" applyNumberFormat="1" applyFont="1" applyAlignment="1">
      <alignment vertical="center"/>
    </xf>
    <xf numFmtId="165" fontId="3" fillId="0" borderId="0" xfId="0" applyNumberFormat="1" applyFont="1" applyAlignment="1">
      <alignment vertical="center"/>
    </xf>
    <xf numFmtId="14" fontId="9" fillId="0" borderId="0" xfId="0" applyNumberFormat="1" applyFont="1" applyAlignment="1">
      <alignment vertical="center"/>
    </xf>
    <xf numFmtId="14" fontId="0" fillId="0" borderId="0" xfId="0" applyNumberFormat="1"/>
    <xf numFmtId="166" fontId="0" fillId="0" borderId="0" xfId="0" applyNumberFormat="1"/>
    <xf numFmtId="167" fontId="0" fillId="0" borderId="0" xfId="0" applyNumberFormat="1"/>
    <xf numFmtId="169" fontId="0" fillId="0" borderId="0" xfId="0" applyNumberFormat="1"/>
    <xf numFmtId="0" fontId="12" fillId="0" borderId="0" xfId="0" applyFont="1"/>
    <xf numFmtId="0" fontId="13" fillId="0" borderId="0" xfId="0" applyFont="1"/>
    <xf numFmtId="0" fontId="14" fillId="0" borderId="0" xfId="0" applyFont="1"/>
    <xf numFmtId="0" fontId="15" fillId="9" borderId="0" xfId="0" applyFont="1" applyFill="1"/>
    <xf numFmtId="168" fontId="14" fillId="0" borderId="0" xfId="2" applyNumberFormat="1" applyFont="1"/>
    <xf numFmtId="2" fontId="14" fillId="0" borderId="0" xfId="0" applyNumberFormat="1" applyFont="1"/>
    <xf numFmtId="43" fontId="14" fillId="0" borderId="0" xfId="1" applyFont="1"/>
    <xf numFmtId="0" fontId="0" fillId="0" borderId="0" xfId="0" pivotButton="1"/>
    <xf numFmtId="0" fontId="0" fillId="0" borderId="0" xfId="0" applyAlignment="1">
      <alignment horizontal="left"/>
    </xf>
    <xf numFmtId="170" fontId="0" fillId="0" borderId="0" xfId="0" applyNumberFormat="1" applyAlignment="1">
      <alignment horizontal="left"/>
    </xf>
    <xf numFmtId="170" fontId="0" fillId="0" borderId="0" xfId="0" applyNumberFormat="1"/>
    <xf numFmtId="1" fontId="0" fillId="0" borderId="0" xfId="0" applyNumberFormat="1"/>
    <xf numFmtId="9" fontId="0" fillId="0" borderId="0" xfId="0" pivotButton="1" applyNumberFormat="1"/>
    <xf numFmtId="168" fontId="0" fillId="0" borderId="0" xfId="0" applyNumberFormat="1"/>
    <xf numFmtId="10" fontId="0" fillId="0" borderId="0" xfId="0" applyNumberFormat="1"/>
    <xf numFmtId="0" fontId="11" fillId="10" borderId="0" xfId="0" applyFont="1" applyFill="1" applyAlignment="1">
      <alignment horizontal="center"/>
    </xf>
    <xf numFmtId="5" fontId="18" fillId="11" borderId="1" xfId="1" applyNumberFormat="1" applyFont="1" applyFill="1" applyBorder="1" applyAlignment="1">
      <alignment horizontal="center"/>
    </xf>
    <xf numFmtId="5" fontId="18" fillId="11" borderId="2" xfId="1" applyNumberFormat="1" applyFont="1" applyFill="1" applyBorder="1" applyAlignment="1">
      <alignment horizontal="center"/>
    </xf>
    <xf numFmtId="5" fontId="18" fillId="11" borderId="3" xfId="1" applyNumberFormat="1" applyFont="1" applyFill="1" applyBorder="1" applyAlignment="1">
      <alignment horizontal="center"/>
    </xf>
    <xf numFmtId="171" fontId="18" fillId="11" borderId="1" xfId="0" applyNumberFormat="1" applyFont="1" applyFill="1" applyBorder="1" applyAlignment="1">
      <alignment horizontal="center"/>
    </xf>
    <xf numFmtId="171" fontId="18" fillId="11" borderId="2" xfId="0" applyNumberFormat="1" applyFont="1" applyFill="1" applyBorder="1" applyAlignment="1">
      <alignment horizontal="center"/>
    </xf>
    <xf numFmtId="171" fontId="18" fillId="11" borderId="3" xfId="0" applyNumberFormat="1" applyFont="1" applyFill="1" applyBorder="1" applyAlignment="1">
      <alignment horizontal="center"/>
    </xf>
    <xf numFmtId="168" fontId="18" fillId="11" borderId="1" xfId="2" applyNumberFormat="1" applyFont="1" applyFill="1" applyBorder="1" applyAlignment="1">
      <alignment horizontal="center"/>
    </xf>
    <xf numFmtId="168" fontId="18" fillId="11" borderId="2" xfId="2" applyNumberFormat="1" applyFont="1" applyFill="1" applyBorder="1" applyAlignment="1">
      <alignment horizontal="center"/>
    </xf>
    <xf numFmtId="168" fontId="18" fillId="11" borderId="3" xfId="2" applyNumberFormat="1" applyFont="1" applyFill="1" applyBorder="1" applyAlignment="1">
      <alignment horizontal="center"/>
    </xf>
    <xf numFmtId="2" fontId="18" fillId="11" borderId="1" xfId="1" applyNumberFormat="1" applyFont="1" applyFill="1" applyBorder="1" applyAlignment="1">
      <alignment horizontal="center"/>
    </xf>
    <xf numFmtId="2" fontId="18" fillId="11" borderId="2" xfId="1" applyNumberFormat="1" applyFont="1" applyFill="1" applyBorder="1" applyAlignment="1">
      <alignment horizontal="center"/>
    </xf>
    <xf numFmtId="2" fontId="18" fillId="11" borderId="3" xfId="1" applyNumberFormat="1" applyFont="1" applyFill="1" applyBorder="1" applyAlignment="1">
      <alignment horizontal="center"/>
    </xf>
    <xf numFmtId="0" fontId="16" fillId="10" borderId="0" xfId="0" applyFont="1" applyFill="1" applyAlignment="1">
      <alignment horizontal="center"/>
    </xf>
    <xf numFmtId="0" fontId="17" fillId="11" borderId="0" xfId="0" applyFont="1" applyFill="1" applyAlignment="1">
      <alignment horizontal="center"/>
    </xf>
    <xf numFmtId="0" fontId="18" fillId="11" borderId="1" xfId="0" applyFont="1" applyFill="1" applyBorder="1" applyAlignment="1">
      <alignment horizontal="center"/>
    </xf>
    <xf numFmtId="0" fontId="18" fillId="11" borderId="2" xfId="0" applyFont="1" applyFill="1" applyBorder="1" applyAlignment="1">
      <alignment horizontal="center"/>
    </xf>
    <xf numFmtId="0" fontId="18" fillId="11" borderId="3" xfId="0" applyFont="1" applyFill="1" applyBorder="1" applyAlignment="1">
      <alignment horizontal="center"/>
    </xf>
    <xf numFmtId="0" fontId="1" fillId="2" borderId="0" xfId="0" applyFont="1" applyFill="1" applyAlignment="1">
      <alignment vertical="center"/>
    </xf>
    <xf numFmtId="0" fontId="2" fillId="3" borderId="0" xfId="0" applyFont="1" applyFill="1" applyAlignment="1">
      <alignment vertical="center" wrapText="1"/>
    </xf>
    <xf numFmtId="0" fontId="4" fillId="4" borderId="0" xfId="0" applyFont="1" applyFill="1" applyAlignment="1">
      <alignment vertical="center"/>
    </xf>
    <xf numFmtId="0" fontId="5" fillId="5" borderId="0" xfId="0" applyFont="1" applyFill="1" applyAlignment="1">
      <alignment vertical="center" wrapText="1"/>
    </xf>
    <xf numFmtId="0" fontId="7" fillId="7" borderId="0" xfId="0" applyFont="1" applyFill="1" applyAlignment="1">
      <alignment vertical="center"/>
    </xf>
    <xf numFmtId="0" fontId="3" fillId="8" borderId="0" xfId="0" applyFont="1" applyFill="1" applyAlignment="1">
      <alignment vertical="center" wrapText="1"/>
    </xf>
    <xf numFmtId="0" fontId="3" fillId="5" borderId="0" xfId="0" applyFont="1" applyFill="1" applyAlignment="1">
      <alignment vertical="center" wrapText="1"/>
    </xf>
    <xf numFmtId="10" fontId="3" fillId="0" borderId="0" xfId="0" applyNumberFormat="1" applyFont="1" applyAlignment="1">
      <alignment vertical="center" wrapText="1"/>
    </xf>
  </cellXfs>
  <cellStyles count="3">
    <cellStyle name="Comma" xfId="1" builtinId="3"/>
    <cellStyle name="Normal" xfId="0" builtinId="0"/>
    <cellStyle name="Percent" xfId="2" builtinId="5"/>
  </cellStyles>
  <dxfs count="53">
    <dxf>
      <font>
        <b/>
        <color rgb="FF9A5B00"/>
      </font>
      <fill>
        <patternFill patternType="solid">
          <bgColor rgb="FFFFF0D8"/>
        </patternFill>
      </fill>
    </dxf>
    <dxf>
      <font>
        <b/>
        <color rgb="FF2E7D32"/>
      </font>
      <fill>
        <patternFill patternType="solid">
          <bgColor rgb="FFE8F5E9"/>
        </patternFill>
      </fill>
    </dxf>
    <dxf>
      <numFmt numFmtId="0" formatCode="General"/>
    </dxf>
    <dxf>
      <numFmt numFmtId="19" formatCode="d/mm/yyyy"/>
    </dxf>
    <dxf>
      <numFmt numFmtId="0" formatCode="General"/>
    </dxf>
    <dxf>
      <numFmt numFmtId="167" formatCode="_-[$$-1409]* #,##0.00_-;\-[$$-1409]* #,##0.00_-;_-[$$-1409]* &quot;-&quot;??_-;_-@_-"/>
    </dxf>
    <dxf>
      <numFmt numFmtId="0" formatCode="General"/>
    </dxf>
    <dxf>
      <numFmt numFmtId="0" formatCode="General"/>
    </dxf>
    <dxf>
      <numFmt numFmtId="0" formatCode="General"/>
    </dxf>
    <dxf>
      <numFmt numFmtId="167" formatCode="_-[$$-1409]* #,##0.00_-;\-[$$-1409]* #,##0.00_-;_-[$$-1409]*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_-[$$-1409]* #,##0.00_-;\-[$$-1409]* #,##0.00_-;_-[$$-1409]* &quot;-&quot;??_-;_-@_-"/>
    </dxf>
    <dxf>
      <numFmt numFmtId="166" formatCode="[$-F400]h:mm:ss\ AM/PM"/>
    </dxf>
    <dxf>
      <numFmt numFmtId="166" formatCode="[$-F400]h:mm:ss\ AM/PM"/>
    </dxf>
    <dxf>
      <numFmt numFmtId="166"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
      <numFmt numFmtId="0" formatCode="General"/>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3" formatCode="0%"/>
    </dxf>
    <dxf>
      <numFmt numFmtId="1" formatCode="0"/>
    </dxf>
    <dxf>
      <numFmt numFmtId="170" formatCode="mmm\ yyyy"/>
    </dxf>
    <dxf>
      <numFmt numFmtId="170" formatCode="mmm\ yyyy"/>
    </dxf>
    <dxf>
      <numFmt numFmtId="169" formatCode="0.0"/>
    </dxf>
    <dxf>
      <numFmt numFmtId="169" formatCode="0.0"/>
    </dxf>
    <dxf>
      <numFmt numFmtId="169" formatCode="0.0"/>
    </dxf>
    <dxf>
      <numFmt numFmtId="169" formatCode="0.0"/>
    </dxf>
    <dxf>
      <numFmt numFmtId="169"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[Healthcare_Appointment_Performance_.xlsx]Pivot_Analysis!ptMonthlyStatus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Monthly Appointments by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Pivot_Analysis!$B$3:$B$4</c:f>
              <c:strCache>
                <c:ptCount val="1"/>
                <c:pt idx="0">
                  <c:v>Attended</c:v>
                </c:pt>
              </c:strCache>
            </c:strRef>
          </c:tx>
          <c:spPr>
            <a:solidFill>
              <a:schemeClr val="accent1"/>
            </a:solidFill>
            <a:ln>
              <a:noFill/>
            </a:ln>
            <a:effectLst/>
          </c:spPr>
          <c:invertIfNegative val="0"/>
          <c:cat>
            <c:strRef>
              <c:f>Pivot_Analysis!$A$5:$A$12</c:f>
              <c:strCache>
                <c:ptCount val="7"/>
                <c:pt idx="0">
                  <c:v>1/01/2026</c:v>
                </c:pt>
                <c:pt idx="1">
                  <c:v>1/02/2026</c:v>
                </c:pt>
                <c:pt idx="2">
                  <c:v>1/03/2026</c:v>
                </c:pt>
                <c:pt idx="3">
                  <c:v>1/04/2026</c:v>
                </c:pt>
                <c:pt idx="4">
                  <c:v>1/05/2026</c:v>
                </c:pt>
                <c:pt idx="5">
                  <c:v>1/06/2026</c:v>
                </c:pt>
                <c:pt idx="6">
                  <c:v>(blank)</c:v>
                </c:pt>
              </c:strCache>
            </c:strRef>
          </c:cat>
          <c:val>
            <c:numRef>
              <c:f>Pivot_Analysis!$B$5:$B$12</c:f>
              <c:numCache>
                <c:formatCode>0</c:formatCode>
                <c:ptCount val="7"/>
                <c:pt idx="0">
                  <c:v>117</c:v>
                </c:pt>
                <c:pt idx="1">
                  <c:v>104</c:v>
                </c:pt>
                <c:pt idx="2">
                  <c:v>106</c:v>
                </c:pt>
                <c:pt idx="3">
                  <c:v>112</c:v>
                </c:pt>
                <c:pt idx="4">
                  <c:v>116</c:v>
                </c:pt>
                <c:pt idx="5">
                  <c:v>106</c:v>
                </c:pt>
                <c:pt idx="6">
                  <c:v>5</c:v>
                </c:pt>
              </c:numCache>
            </c:numRef>
          </c:val>
          <c:extLst>
            <c:ext xmlns:c16="http://schemas.microsoft.com/office/drawing/2014/chart" uri="{C3380CC4-5D6E-409C-BE32-E72D297353CC}">
              <c16:uniqueId val="{00000000-E7F6-44C9-8E73-82B7DBDE5294}"/>
            </c:ext>
          </c:extLst>
        </c:ser>
        <c:ser>
          <c:idx val="1"/>
          <c:order val="1"/>
          <c:tx>
            <c:strRef>
              <c:f>Pivot_Analysis!$C$3:$C$4</c:f>
              <c:strCache>
                <c:ptCount val="1"/>
                <c:pt idx="0">
                  <c:v>Cancelled</c:v>
                </c:pt>
              </c:strCache>
            </c:strRef>
          </c:tx>
          <c:spPr>
            <a:solidFill>
              <a:schemeClr val="accent2"/>
            </a:solidFill>
            <a:ln>
              <a:noFill/>
            </a:ln>
            <a:effectLst/>
          </c:spPr>
          <c:invertIfNegative val="0"/>
          <c:cat>
            <c:strRef>
              <c:f>Pivot_Analysis!$A$5:$A$12</c:f>
              <c:strCache>
                <c:ptCount val="7"/>
                <c:pt idx="0">
                  <c:v>1/01/2026</c:v>
                </c:pt>
                <c:pt idx="1">
                  <c:v>1/02/2026</c:v>
                </c:pt>
                <c:pt idx="2">
                  <c:v>1/03/2026</c:v>
                </c:pt>
                <c:pt idx="3">
                  <c:v>1/04/2026</c:v>
                </c:pt>
                <c:pt idx="4">
                  <c:v>1/05/2026</c:v>
                </c:pt>
                <c:pt idx="5">
                  <c:v>1/06/2026</c:v>
                </c:pt>
                <c:pt idx="6">
                  <c:v>(blank)</c:v>
                </c:pt>
              </c:strCache>
            </c:strRef>
          </c:cat>
          <c:val>
            <c:numRef>
              <c:f>Pivot_Analysis!$C$5:$C$12</c:f>
              <c:numCache>
                <c:formatCode>0</c:formatCode>
                <c:ptCount val="7"/>
                <c:pt idx="0">
                  <c:v>14</c:v>
                </c:pt>
                <c:pt idx="1">
                  <c:v>21</c:v>
                </c:pt>
                <c:pt idx="2">
                  <c:v>20</c:v>
                </c:pt>
                <c:pt idx="3">
                  <c:v>18</c:v>
                </c:pt>
                <c:pt idx="4">
                  <c:v>17</c:v>
                </c:pt>
                <c:pt idx="5">
                  <c:v>27</c:v>
                </c:pt>
              </c:numCache>
            </c:numRef>
          </c:val>
          <c:extLst>
            <c:ext xmlns:c16="http://schemas.microsoft.com/office/drawing/2014/chart" uri="{C3380CC4-5D6E-409C-BE32-E72D297353CC}">
              <c16:uniqueId val="{00000000-03B9-4BAD-9473-808FBBEE4B01}"/>
            </c:ext>
          </c:extLst>
        </c:ser>
        <c:ser>
          <c:idx val="2"/>
          <c:order val="2"/>
          <c:tx>
            <c:strRef>
              <c:f>Pivot_Analysis!$D$3:$D$4</c:f>
              <c:strCache>
                <c:ptCount val="1"/>
                <c:pt idx="0">
                  <c:v>No Show</c:v>
                </c:pt>
              </c:strCache>
            </c:strRef>
          </c:tx>
          <c:spPr>
            <a:solidFill>
              <a:schemeClr val="accent3"/>
            </a:solidFill>
            <a:ln>
              <a:noFill/>
            </a:ln>
            <a:effectLst/>
          </c:spPr>
          <c:invertIfNegative val="0"/>
          <c:cat>
            <c:strRef>
              <c:f>Pivot_Analysis!$A$5:$A$12</c:f>
              <c:strCache>
                <c:ptCount val="7"/>
                <c:pt idx="0">
                  <c:v>1/01/2026</c:v>
                </c:pt>
                <c:pt idx="1">
                  <c:v>1/02/2026</c:v>
                </c:pt>
                <c:pt idx="2">
                  <c:v>1/03/2026</c:v>
                </c:pt>
                <c:pt idx="3">
                  <c:v>1/04/2026</c:v>
                </c:pt>
                <c:pt idx="4">
                  <c:v>1/05/2026</c:v>
                </c:pt>
                <c:pt idx="5">
                  <c:v>1/06/2026</c:v>
                </c:pt>
                <c:pt idx="6">
                  <c:v>(blank)</c:v>
                </c:pt>
              </c:strCache>
            </c:strRef>
          </c:cat>
          <c:val>
            <c:numRef>
              <c:f>Pivot_Analysis!$D$5:$D$12</c:f>
              <c:numCache>
                <c:formatCode>0</c:formatCode>
                <c:ptCount val="7"/>
                <c:pt idx="0">
                  <c:v>21</c:v>
                </c:pt>
                <c:pt idx="1">
                  <c:v>25</c:v>
                </c:pt>
                <c:pt idx="2">
                  <c:v>26</c:v>
                </c:pt>
                <c:pt idx="3">
                  <c:v>19</c:v>
                </c:pt>
                <c:pt idx="4">
                  <c:v>15</c:v>
                </c:pt>
                <c:pt idx="5">
                  <c:v>16</c:v>
                </c:pt>
                <c:pt idx="6">
                  <c:v>1</c:v>
                </c:pt>
              </c:numCache>
            </c:numRef>
          </c:val>
          <c:extLst>
            <c:ext xmlns:c16="http://schemas.microsoft.com/office/drawing/2014/chart" uri="{C3380CC4-5D6E-409C-BE32-E72D297353CC}">
              <c16:uniqueId val="{00000001-03B9-4BAD-9473-808FBBEE4B01}"/>
            </c:ext>
          </c:extLst>
        </c:ser>
        <c:ser>
          <c:idx val="3"/>
          <c:order val="3"/>
          <c:tx>
            <c:strRef>
              <c:f>Pivot_Analysis!$E$3:$E$4</c:f>
              <c:strCache>
                <c:ptCount val="1"/>
                <c:pt idx="0">
                  <c:v>Rescheduled</c:v>
                </c:pt>
              </c:strCache>
            </c:strRef>
          </c:tx>
          <c:spPr>
            <a:solidFill>
              <a:schemeClr val="accent4"/>
            </a:solidFill>
            <a:ln>
              <a:noFill/>
            </a:ln>
            <a:effectLst/>
          </c:spPr>
          <c:invertIfNegative val="0"/>
          <c:cat>
            <c:strRef>
              <c:f>Pivot_Analysis!$A$5:$A$12</c:f>
              <c:strCache>
                <c:ptCount val="7"/>
                <c:pt idx="0">
                  <c:v>1/01/2026</c:v>
                </c:pt>
                <c:pt idx="1">
                  <c:v>1/02/2026</c:v>
                </c:pt>
                <c:pt idx="2">
                  <c:v>1/03/2026</c:v>
                </c:pt>
                <c:pt idx="3">
                  <c:v>1/04/2026</c:v>
                </c:pt>
                <c:pt idx="4">
                  <c:v>1/05/2026</c:v>
                </c:pt>
                <c:pt idx="5">
                  <c:v>1/06/2026</c:v>
                </c:pt>
                <c:pt idx="6">
                  <c:v>(blank)</c:v>
                </c:pt>
              </c:strCache>
            </c:strRef>
          </c:cat>
          <c:val>
            <c:numRef>
              <c:f>Pivot_Analysis!$E$5:$E$12</c:f>
              <c:numCache>
                <c:formatCode>0</c:formatCode>
                <c:ptCount val="7"/>
                <c:pt idx="0">
                  <c:v>6</c:v>
                </c:pt>
                <c:pt idx="1">
                  <c:v>8</c:v>
                </c:pt>
                <c:pt idx="2">
                  <c:v>6</c:v>
                </c:pt>
                <c:pt idx="3">
                  <c:v>9</c:v>
                </c:pt>
                <c:pt idx="4">
                  <c:v>10</c:v>
                </c:pt>
                <c:pt idx="5">
                  <c:v>9</c:v>
                </c:pt>
              </c:numCache>
            </c:numRef>
          </c:val>
          <c:extLst>
            <c:ext xmlns:c16="http://schemas.microsoft.com/office/drawing/2014/chart" uri="{C3380CC4-5D6E-409C-BE32-E72D297353CC}">
              <c16:uniqueId val="{00000003-03B9-4BAD-9473-808FBBEE4B01}"/>
            </c:ext>
          </c:extLst>
        </c:ser>
        <c:dLbls>
          <c:showLegendKey val="0"/>
          <c:showVal val="0"/>
          <c:showCatName val="0"/>
          <c:showSerName val="0"/>
          <c:showPercent val="0"/>
          <c:showBubbleSize val="0"/>
        </c:dLbls>
        <c:gapWidth val="150"/>
        <c:overlap val="100"/>
        <c:axId val="1069185648"/>
        <c:axId val="166937488"/>
      </c:barChart>
      <c:dateAx>
        <c:axId val="106918564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37488"/>
        <c:crosses val="autoZero"/>
        <c:auto val="0"/>
        <c:lblOffset val="100"/>
        <c:baseTimeUnit val="days"/>
      </c:dateAx>
      <c:valAx>
        <c:axId val="1669374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[Healthcare_Appointment_Performance_.xlsx]Pivot_Analysis!PivotTable2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No-Show Rate by Clinic</a:t>
            </a:r>
            <a:endParaRPr lang="en-US"/>
          </a:p>
        </c:rich>
      </c:tx>
      <c:layout>
        <c:manualLayout>
          <c:xMode val="edge"/>
          <c:yMode val="edge"/>
          <c:x val="0.3548876506007012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Pivot_Analysis!$A$28:$A$32</c:f>
              <c:strCache>
                <c:ptCount val="4"/>
                <c:pt idx="0">
                  <c:v>Wellington Harbour Community Clinic</c:v>
                </c:pt>
                <c:pt idx="1">
                  <c:v>Palmerston North Community Clinic</c:v>
                </c:pt>
                <c:pt idx="2">
                  <c:v>Hamilton East Community Clinic</c:v>
                </c:pt>
                <c:pt idx="3">
                  <c:v>Auckland Central Community Clinic</c:v>
                </c:pt>
              </c:strCache>
            </c:strRef>
          </c:cat>
          <c:val>
            <c:numRef>
              <c:f>Pivot_Analysis!$B$28:$B$32</c:f>
              <c:numCache>
                <c:formatCode>0.0%</c:formatCode>
                <c:ptCount val="4"/>
                <c:pt idx="0">
                  <c:v>0.17142857142857143</c:v>
                </c:pt>
                <c:pt idx="1">
                  <c:v>0.16582914572864321</c:v>
                </c:pt>
                <c:pt idx="2">
                  <c:v>0.14583333333333334</c:v>
                </c:pt>
                <c:pt idx="3">
                  <c:v>0.13829787234042554</c:v>
                </c:pt>
              </c:numCache>
            </c:numRef>
          </c:val>
          <c:extLst>
            <c:ext xmlns:c16="http://schemas.microsoft.com/office/drawing/2014/chart" uri="{C3380CC4-5D6E-409C-BE32-E72D297353CC}">
              <c16:uniqueId val="{00000000-67B2-4794-8E2B-F36714E0B8FF}"/>
            </c:ext>
          </c:extLst>
        </c:ser>
        <c:dLbls>
          <c:dLblPos val="outEnd"/>
          <c:showLegendKey val="0"/>
          <c:showVal val="1"/>
          <c:showCatName val="0"/>
          <c:showSerName val="0"/>
          <c:showPercent val="0"/>
          <c:showBubbleSize val="0"/>
        </c:dLbls>
        <c:gapWidth val="182"/>
        <c:axId val="1069147600"/>
        <c:axId val="166956208"/>
      </c:barChart>
      <c:catAx>
        <c:axId val="106914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56208"/>
        <c:crosses val="autoZero"/>
        <c:auto val="1"/>
        <c:lblAlgn val="ctr"/>
        <c:lblOffset val="100"/>
        <c:noMultiLvlLbl val="0"/>
      </c:catAx>
      <c:valAx>
        <c:axId val="16695620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14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[Healthcare_Appointment_Performance_.xlsx]Pivot_Analysis!ptServiceWaitTarget</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NZ"/>
              <a:t>Wait-Target Achievement by Service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Pivot_Analysis!$B$49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Pivot_Analysis!$A$50:$A$55</c:f>
              <c:strCache>
                <c:ptCount val="5"/>
                <c:pt idx="0">
                  <c:v>Cardiology Review</c:v>
                </c:pt>
                <c:pt idx="1">
                  <c:v>Physiotherapy</c:v>
                </c:pt>
                <c:pt idx="2">
                  <c:v>Mental Health Support</c:v>
                </c:pt>
                <c:pt idx="3">
                  <c:v>Diabetes Care</c:v>
                </c:pt>
                <c:pt idx="4">
                  <c:v>General Practice</c:v>
                </c:pt>
              </c:strCache>
            </c:strRef>
          </c:cat>
          <c:val>
            <c:numRef>
              <c:f>Pivot_Analysis!$B$50:$B$55</c:f>
              <c:numCache>
                <c:formatCode>0.0%</c:formatCode>
                <c:ptCount val="5"/>
                <c:pt idx="0">
                  <c:v>0.50793650793650791</c:v>
                </c:pt>
                <c:pt idx="1">
                  <c:v>0.41489361702127658</c:v>
                </c:pt>
                <c:pt idx="2">
                  <c:v>0.25683060109289618</c:v>
                </c:pt>
                <c:pt idx="3">
                  <c:v>0.21354166666666666</c:v>
                </c:pt>
                <c:pt idx="4">
                  <c:v>0.1404494382022472</c:v>
                </c:pt>
              </c:numCache>
            </c:numRef>
          </c:val>
          <c:extLst>
            <c:ext xmlns:c16="http://schemas.microsoft.com/office/drawing/2014/chart" uri="{C3380CC4-5D6E-409C-BE32-E72D297353CC}">
              <c16:uniqueId val="{00000000-D2F7-4368-97AE-8CA6896FF672}"/>
            </c:ext>
          </c:extLst>
        </c:ser>
        <c:dLbls>
          <c:dLblPos val="inEnd"/>
          <c:showLegendKey val="0"/>
          <c:showVal val="1"/>
          <c:showCatName val="0"/>
          <c:showSerName val="0"/>
          <c:showPercent val="0"/>
          <c:showBubbleSize val="0"/>
        </c:dLbls>
        <c:gapWidth val="65"/>
        <c:axId val="1069206992"/>
        <c:axId val="166915888"/>
      </c:barChart>
      <c:catAx>
        <c:axId val="10692069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915888"/>
        <c:crosses val="autoZero"/>
        <c:auto val="1"/>
        <c:lblAlgn val="ctr"/>
        <c:lblOffset val="100"/>
        <c:noMultiLvlLbl val="0"/>
      </c:catAx>
      <c:valAx>
        <c:axId val="166915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69206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[Healthcare_Appointment_Performance_.xlsx]Pivot_Analysis!ptPatientWaitClinic</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Patient Wait by Clinic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Pivot_Analysis!$A$71:$A$75</c:f>
              <c:strCache>
                <c:ptCount val="4"/>
                <c:pt idx="0">
                  <c:v>Auckland Central Community Clinic</c:v>
                </c:pt>
                <c:pt idx="1">
                  <c:v>Hamilton East Community Clinic</c:v>
                </c:pt>
                <c:pt idx="2">
                  <c:v>Wellington Harbour Community Clinic</c:v>
                </c:pt>
                <c:pt idx="3">
                  <c:v>Palmerston North Community Clinic</c:v>
                </c:pt>
              </c:strCache>
            </c:strRef>
          </c:cat>
          <c:val>
            <c:numRef>
              <c:f>Pivot_Analysis!$B$71:$B$75</c:f>
              <c:numCache>
                <c:formatCode>0.0</c:formatCode>
                <c:ptCount val="4"/>
                <c:pt idx="0">
                  <c:v>20.364963503649633</c:v>
                </c:pt>
                <c:pt idx="1">
                  <c:v>20.292857142857144</c:v>
                </c:pt>
                <c:pt idx="2">
                  <c:v>19.589403973509935</c:v>
                </c:pt>
                <c:pt idx="3">
                  <c:v>18.602739726027398</c:v>
                </c:pt>
              </c:numCache>
            </c:numRef>
          </c:val>
          <c:extLst>
            <c:ext xmlns:c16="http://schemas.microsoft.com/office/drawing/2014/chart" uri="{C3380CC4-5D6E-409C-BE32-E72D297353CC}">
              <c16:uniqueId val="{00000000-5CC8-40FA-B666-A8A1C446D214}"/>
            </c:ext>
          </c:extLst>
        </c:ser>
        <c:dLbls>
          <c:dLblPos val="outEnd"/>
          <c:showLegendKey val="0"/>
          <c:showVal val="1"/>
          <c:showCatName val="0"/>
          <c:showSerName val="0"/>
          <c:showPercent val="0"/>
          <c:showBubbleSize val="0"/>
        </c:dLbls>
        <c:gapWidth val="182"/>
        <c:axId val="1069094704"/>
        <c:axId val="166946128"/>
      </c:barChart>
      <c:catAx>
        <c:axId val="106909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6946128"/>
        <c:crosses val="autoZero"/>
        <c:auto val="1"/>
        <c:lblAlgn val="ctr"/>
        <c:lblOffset val="100"/>
        <c:noMultiLvlLbl val="0"/>
      </c:catAx>
      <c:valAx>
        <c:axId val="16694612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69094704"/>
        <c:crosses val="autoZero"/>
        <c:crossBetween val="between"/>
      </c:valAx>
      <c:spPr>
        <a:noFill/>
        <a:ln>
          <a:solidFill>
            <a:schemeClr val="accent1">
              <a:alpha val="94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[Healthcare_Appointment_Performance_.xlsx]Pivot_Analysis!ptFeeShareClinic</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Share of Recorded Fees by Clinic</a:t>
            </a:r>
            <a:endParaRPr lang="en-US"/>
          </a:p>
        </c:rich>
      </c:tx>
      <c:layout>
        <c:manualLayout>
          <c:xMode val="edge"/>
          <c:yMode val="edge"/>
          <c:x val="0.3294703596931296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Pivot_Analysis!$A$96:$A$100</c:f>
              <c:strCache>
                <c:ptCount val="4"/>
                <c:pt idx="0">
                  <c:v>Wellington Harbour Community Clinic</c:v>
                </c:pt>
                <c:pt idx="1">
                  <c:v>Palmerston North Community Clinic</c:v>
                </c:pt>
                <c:pt idx="2">
                  <c:v>Hamilton East Community Clinic</c:v>
                </c:pt>
                <c:pt idx="3">
                  <c:v>Auckland Central Community Clinic</c:v>
                </c:pt>
              </c:strCache>
            </c:strRef>
          </c:cat>
          <c:val>
            <c:numRef>
              <c:f>Pivot_Analysis!$B$96:$B$100</c:f>
              <c:numCache>
                <c:formatCode>0.00%</c:formatCode>
                <c:ptCount val="4"/>
                <c:pt idx="0">
                  <c:v>0.27176000415217727</c:v>
                </c:pt>
                <c:pt idx="1">
                  <c:v>0.2546841750142731</c:v>
                </c:pt>
                <c:pt idx="2">
                  <c:v>0.24196813203923809</c:v>
                </c:pt>
                <c:pt idx="3">
                  <c:v>0.23158768879431152</c:v>
                </c:pt>
              </c:numCache>
            </c:numRef>
          </c:val>
          <c:extLst>
            <c:ext xmlns:c16="http://schemas.microsoft.com/office/drawing/2014/chart" uri="{C3380CC4-5D6E-409C-BE32-E72D297353CC}">
              <c16:uniqueId val="{00000000-186C-44F1-86A1-1CEE720DDFC8}"/>
            </c:ext>
          </c:extLst>
        </c:ser>
        <c:dLbls>
          <c:dLblPos val="outEnd"/>
          <c:showLegendKey val="0"/>
          <c:showVal val="1"/>
          <c:showCatName val="0"/>
          <c:showSerName val="0"/>
          <c:showPercent val="0"/>
          <c:showBubbleSize val="0"/>
        </c:dLbls>
        <c:gapWidth val="182"/>
        <c:axId val="1071158480"/>
        <c:axId val="803711952"/>
      </c:barChart>
      <c:catAx>
        <c:axId val="10711584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03711952"/>
        <c:crosses val="autoZero"/>
        <c:auto val="1"/>
        <c:lblAlgn val="ctr"/>
        <c:lblOffset val="100"/>
        <c:noMultiLvlLbl val="0"/>
      </c:catAx>
      <c:valAx>
        <c:axId val="803711952"/>
        <c:scaling>
          <c:orientation val="minMax"/>
          <c:min val="0"/>
        </c:scaling>
        <c:delete val="0"/>
        <c:axPos val="t"/>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7115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47718</xdr:colOff>
      <xdr:row>10</xdr:row>
      <xdr:rowOff>65741</xdr:rowOff>
    </xdr:from>
    <xdr:to>
      <xdr:col>7</xdr:col>
      <xdr:colOff>723900</xdr:colOff>
      <xdr:row>28</xdr:row>
      <xdr:rowOff>0</xdr:rowOff>
    </xdr:to>
    <xdr:graphicFrame macro="">
      <xdr:nvGraphicFramePr>
        <xdr:cNvPr id="2" name="ptMonthlyStatus">
          <a:extLst>
            <a:ext uri="{FF2B5EF4-FFF2-40B4-BE49-F238E27FC236}">
              <a16:creationId xmlns:a16="http://schemas.microsoft.com/office/drawing/2014/main" id="{B21FB68F-9586-AB22-C80C-DB5CA15CE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763868</xdr:colOff>
      <xdr:row>10</xdr:row>
      <xdr:rowOff>64995</xdr:rowOff>
    </xdr:from>
    <xdr:to>
      <xdr:col>16</xdr:col>
      <xdr:colOff>0</xdr:colOff>
      <xdr:row>28</xdr:row>
      <xdr:rowOff>187</xdr:rowOff>
    </xdr:to>
    <xdr:graphicFrame macro="">
      <xdr:nvGraphicFramePr>
        <xdr:cNvPr id="3" name="Chart 2">
          <a:extLst>
            <a:ext uri="{FF2B5EF4-FFF2-40B4-BE49-F238E27FC236}">
              <a16:creationId xmlns:a16="http://schemas.microsoft.com/office/drawing/2014/main" id="{2C75C620-CBF4-68EF-606F-DEB297B6E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11112</xdr:colOff>
      <xdr:row>28</xdr:row>
      <xdr:rowOff>173504</xdr:rowOff>
    </xdr:from>
    <xdr:to>
      <xdr:col>7</xdr:col>
      <xdr:colOff>733425</xdr:colOff>
      <xdr:row>44</xdr:row>
      <xdr:rowOff>30629</xdr:rowOff>
    </xdr:to>
    <xdr:graphicFrame macro="">
      <xdr:nvGraphicFramePr>
        <xdr:cNvPr id="4" name="Chart 3">
          <a:extLst>
            <a:ext uri="{FF2B5EF4-FFF2-40B4-BE49-F238E27FC236}">
              <a16:creationId xmlns:a16="http://schemas.microsoft.com/office/drawing/2014/main" id="{073DD86F-669D-4109-1B12-9B37FE902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763586</xdr:colOff>
      <xdr:row>28</xdr:row>
      <xdr:rowOff>143622</xdr:rowOff>
    </xdr:from>
    <xdr:to>
      <xdr:col>15</xdr:col>
      <xdr:colOff>800100</xdr:colOff>
      <xdr:row>44</xdr:row>
      <xdr:rowOff>47625</xdr:rowOff>
    </xdr:to>
    <xdr:graphicFrame macro="">
      <xdr:nvGraphicFramePr>
        <xdr:cNvPr id="5" name="Chart 4">
          <a:extLst>
            <a:ext uri="{FF2B5EF4-FFF2-40B4-BE49-F238E27FC236}">
              <a16:creationId xmlns:a16="http://schemas.microsoft.com/office/drawing/2014/main" id="{143D50E9-6ECD-6140-172A-28BE2161C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45</xdr:row>
      <xdr:rowOff>16808</xdr:rowOff>
    </xdr:from>
    <xdr:to>
      <xdr:col>7</xdr:col>
      <xdr:colOff>730251</xdr:colOff>
      <xdr:row>60</xdr:row>
      <xdr:rowOff>152400</xdr:rowOff>
    </xdr:to>
    <xdr:graphicFrame macro="">
      <xdr:nvGraphicFramePr>
        <xdr:cNvPr id="6" name="Chart 5">
          <a:extLst>
            <a:ext uri="{FF2B5EF4-FFF2-40B4-BE49-F238E27FC236}">
              <a16:creationId xmlns:a16="http://schemas.microsoft.com/office/drawing/2014/main" id="{25497DEA-BEFE-C4FD-D1E6-1FE7DA580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47626</xdr:colOff>
      <xdr:row>4</xdr:row>
      <xdr:rowOff>0</xdr:rowOff>
    </xdr:from>
    <xdr:to>
      <xdr:col>23</xdr:col>
      <xdr:colOff>152401</xdr:colOff>
      <xdr:row>10</xdr:row>
      <xdr:rowOff>95250</xdr:rowOff>
    </xdr:to>
    <mc:AlternateContent xmlns:mc="http://schemas.openxmlformats.org/markup-compatibility/2006" xmlns:tsle="http://schemas.microsoft.com/office/drawing/2012/timeslicer">
      <mc:Choice Requires="tsle">
        <xdr:graphicFrame macro="">
          <xdr:nvGraphicFramePr>
            <xdr:cNvPr id="7" name="mmm yyyy">
              <a:extLst>
                <a:ext uri="{FF2B5EF4-FFF2-40B4-BE49-F238E27FC236}">
                  <a16:creationId xmlns:a16="http://schemas.microsoft.com/office/drawing/2014/main" id="{8FC12072-27C8-4FB2-B61F-B3284422570B}"/>
                </a:ext>
              </a:extLst>
            </xdr:cNvPr>
            <xdr:cNvGraphicFramePr/>
          </xdr:nvGraphicFramePr>
          <xdr:xfrm>
            <a:off x="0" y="0"/>
            <a:ext cx="0" cy="0"/>
          </xdr:xfrm>
          <a:graphic>
            <a:graphicData uri="http://schemas.microsoft.com/office/drawing/2012/timeslicer">
              <tsle:timeslicer name="mmm yyyy"/>
            </a:graphicData>
          </a:graphic>
        </xdr:graphicFrame>
      </mc:Choice>
      <mc:Fallback xmlns="">
        <xdr:sp macro="" textlink="">
          <xdr:nvSpPr>
            <xdr:cNvPr id="0" name=""/>
            <xdr:cNvSpPr>
              <a:spLocks noTextEdit="1"/>
            </xdr:cNvSpPr>
          </xdr:nvSpPr>
          <xdr:spPr>
            <a:xfrm>
              <a:off x="12998451" y="723900"/>
              <a:ext cx="4708525" cy="1447800"/>
            </a:xfrm>
            <a:prstGeom prst="rect">
              <a:avLst/>
            </a:prstGeom>
            <a:solidFill>
              <a:prstClr val="white"/>
            </a:solidFill>
            <a:ln w="1">
              <a:solidFill>
                <a:prstClr val="green"/>
              </a:solidFill>
            </a:ln>
          </xdr:spPr>
          <xdr:txBody>
            <a:bodyPr vertOverflow="clip" horzOverflow="clip"/>
            <a:lstStyle/>
            <a:p>
              <a:r>
                <a:rPr lang="en-NZ" sz="1100"/>
                <a:t>Timeline: Works in Excel 2013 or higher. Do not move or resize.</a:t>
              </a:r>
            </a:p>
          </xdr:txBody>
        </xdr:sp>
      </mc:Fallback>
    </mc:AlternateContent>
    <xdr:clientData/>
  </xdr:twoCellAnchor>
  <xdr:twoCellAnchor editAs="oneCell">
    <xdr:from>
      <xdr:col>16</xdr:col>
      <xdr:colOff>47625</xdr:colOff>
      <xdr:row>11</xdr:row>
      <xdr:rowOff>28575</xdr:rowOff>
    </xdr:from>
    <xdr:to>
      <xdr:col>21</xdr:col>
      <xdr:colOff>133350</xdr:colOff>
      <xdr:row>18</xdr:row>
      <xdr:rowOff>168275</xdr:rowOff>
    </xdr:to>
    <mc:AlternateContent xmlns:mc="http://schemas.openxmlformats.org/markup-compatibility/2006" xmlns:a14="http://schemas.microsoft.com/office/drawing/2010/main">
      <mc:Choice Requires="a14">
        <xdr:graphicFrame macro="">
          <xdr:nvGraphicFramePr>
            <xdr:cNvPr id="8" name="Clinic_Name">
              <a:extLst>
                <a:ext uri="{FF2B5EF4-FFF2-40B4-BE49-F238E27FC236}">
                  <a16:creationId xmlns:a16="http://schemas.microsoft.com/office/drawing/2014/main" id="{A9E61570-A731-4529-9546-F4652EF6E6F0}"/>
                </a:ext>
              </a:extLst>
            </xdr:cNvPr>
            <xdr:cNvGraphicFramePr/>
          </xdr:nvGraphicFramePr>
          <xdr:xfrm>
            <a:off x="0" y="0"/>
            <a:ext cx="0" cy="0"/>
          </xdr:xfrm>
          <a:graphic>
            <a:graphicData uri="http://schemas.microsoft.com/office/drawing/2010/slicer">
              <sle:slicer xmlns:sle="http://schemas.microsoft.com/office/drawing/2010/slicer" name="Clinic_Name"/>
            </a:graphicData>
          </a:graphic>
        </xdr:graphicFrame>
      </mc:Choice>
      <mc:Fallback xmlns="">
        <xdr:sp macro="" textlink="">
          <xdr:nvSpPr>
            <xdr:cNvPr id="0" name=""/>
            <xdr:cNvSpPr>
              <a:spLocks noTextEdit="1"/>
            </xdr:cNvSpPr>
          </xdr:nvSpPr>
          <xdr:spPr>
            <a:xfrm>
              <a:off x="12998450" y="2282825"/>
              <a:ext cx="3375025" cy="14097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44450</xdr:colOff>
      <xdr:row>19</xdr:row>
      <xdr:rowOff>114300</xdr:rowOff>
    </xdr:from>
    <xdr:to>
      <xdr:col>21</xdr:col>
      <xdr:colOff>95250</xdr:colOff>
      <xdr:row>24</xdr:row>
      <xdr:rowOff>152400</xdr:rowOff>
    </xdr:to>
    <mc:AlternateContent xmlns:mc="http://schemas.openxmlformats.org/markup-compatibility/2006" xmlns:a14="http://schemas.microsoft.com/office/drawing/2010/main">
      <mc:Choice Requires="a14">
        <xdr:graphicFrame macro="">
          <xdr:nvGraphicFramePr>
            <xdr:cNvPr id="9" name="Booking_Channel">
              <a:extLst>
                <a:ext uri="{FF2B5EF4-FFF2-40B4-BE49-F238E27FC236}">
                  <a16:creationId xmlns:a16="http://schemas.microsoft.com/office/drawing/2014/main" id="{D6015121-E4F5-4B65-8FCB-286B0FF01178}"/>
                </a:ext>
              </a:extLst>
            </xdr:cNvPr>
            <xdr:cNvGraphicFramePr/>
          </xdr:nvGraphicFramePr>
          <xdr:xfrm>
            <a:off x="0" y="0"/>
            <a:ext cx="0" cy="0"/>
          </xdr:xfrm>
          <a:graphic>
            <a:graphicData uri="http://schemas.microsoft.com/office/drawing/2010/slicer">
              <sle:slicer xmlns:sle="http://schemas.microsoft.com/office/drawing/2010/slicer" name="Booking_Channel"/>
            </a:graphicData>
          </a:graphic>
        </xdr:graphicFrame>
      </mc:Choice>
      <mc:Fallback xmlns="">
        <xdr:sp macro="" textlink="">
          <xdr:nvSpPr>
            <xdr:cNvPr id="0" name=""/>
            <xdr:cNvSpPr>
              <a:spLocks noTextEdit="1"/>
            </xdr:cNvSpPr>
          </xdr:nvSpPr>
          <xdr:spPr>
            <a:xfrm>
              <a:off x="13001625" y="3819525"/>
              <a:ext cx="3333750" cy="942975"/>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133350</xdr:colOff>
      <xdr:row>62</xdr:row>
      <xdr:rowOff>38099</xdr:rowOff>
    </xdr:from>
    <xdr:ext cx="4371975" cy="1609726"/>
    <xdr:sp macro="" textlink="">
      <xdr:nvSpPr>
        <xdr:cNvPr id="11" name="TextBox 10">
          <a:extLst>
            <a:ext uri="{FF2B5EF4-FFF2-40B4-BE49-F238E27FC236}">
              <a16:creationId xmlns:a16="http://schemas.microsoft.com/office/drawing/2014/main" id="{44074EB5-7239-2EA9-FE17-1FB585B24D92}"/>
            </a:ext>
          </a:extLst>
        </xdr:cNvPr>
        <xdr:cNvSpPr txBox="1"/>
      </xdr:nvSpPr>
      <xdr:spPr>
        <a:xfrm>
          <a:off x="133350" y="11525249"/>
          <a:ext cx="4371975" cy="16097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NZ" sz="1000" b="1"/>
            <a:t>Notes</a:t>
          </a:r>
        </a:p>
        <a:p>
          <a:r>
            <a:rPr lang="en-NZ" sz="1000" b="1"/>
            <a:t>Data note: Six appointments have no recorded appointment date. Monthly visuals summarize 948 dated records; headline KPIs use all 954 cleaned records.</a:t>
          </a:r>
        </a:p>
        <a:p>
          <a:endParaRPr lang="en-NZ" sz="1000" b="1"/>
        </a:p>
        <a:p>
          <a:r>
            <a:rPr lang="en-NZ" sz="1000" b="1"/>
            <a:t>Filter note: Appointment Month and Booking Channel update all charts. Clinic updates the operational charts; the fee-share chart retains the all-clinic comparison. KPI cards show the full January–June results.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Uniyal" refreshedDate="46283.427740162035" createdVersion="8" refreshedVersion="8" minRefreshableVersion="3" recordCount="954" xr:uid="{39ADE382-C9F6-4D7E-B104-0E804F364367}">
  <cacheSource type="worksheet">
    <worksheetSource name="tblAppointments"/>
  </cacheSource>
  <cacheFields count="44">
    <cacheField name="Appointment_ID" numFmtId="0">
      <sharedItems/>
    </cacheField>
    <cacheField name="Appointment_Date" numFmtId="0">
      <sharedItems containsDate="1" containsString="0" containsBlank="1" containsMixedTypes="1" minDate="2026-01-01T00:00:00" maxDate="2026-07-01T00:00:00"/>
    </cacheField>
    <cacheField name="Booking_Date" numFmtId="14">
      <sharedItems containsNonDate="0" containsDate="1" containsString="0" containsBlank="1" minDate="2025-11-11T00:00:00" maxDate="2026-06-25T00:00:00"/>
    </cacheField>
    <cacheField name="Patient_ID" numFmtId="0">
      <sharedItems containsBlank="1"/>
    </cacheField>
    <cacheField name="Clinic_Code" numFmtId="0">
      <sharedItems/>
    </cacheField>
    <cacheField name="Service_Code" numFmtId="0">
      <sharedItems containsBlank="1"/>
    </cacheField>
    <cacheField name="Clinician_ID" numFmtId="0">
      <sharedItems/>
    </cacheField>
    <cacheField name="Appointment_Status" numFmtId="0">
      <sharedItems count="4">
        <s v="Cancelled"/>
        <s v="Attended"/>
        <s v="No Show"/>
        <s v="Rescheduled"/>
      </sharedItems>
    </cacheField>
    <cacheField name="Booking_Channel" numFmtId="0">
      <sharedItems count="4">
        <s v="Online"/>
        <s v="GP Referral"/>
        <s v="Phone"/>
        <s v="Walk-in"/>
      </sharedItems>
    </cacheField>
    <cacheField name="Scheduled_Time" numFmtId="166">
      <sharedItems containsSemiMixedTypes="0" containsNonDate="0" containsDate="1" containsString="0" minDate="1899-12-30T08:00:00" maxDate="1899-12-30T16:00:00"/>
    </cacheField>
    <cacheField name="Check_In_Time" numFmtId="166">
      <sharedItems containsNonDate="0" containsDate="1" containsString="0" containsBlank="1" minDate="1899-12-30T07:50:00" maxDate="1899-12-30T16:18:00"/>
    </cacheField>
    <cacheField name="Seen_Time" numFmtId="166">
      <sharedItems containsNonDate="0" containsDate="1" containsString="0" containsBlank="1" minDate="1899-12-30T08:04:00" maxDate="1899-12-30T16:39:00"/>
    </cacheField>
    <cacheField name="Duration_Minutes" numFmtId="0">
      <sharedItems containsString="0" containsBlank="1" containsNumber="1" containsInteger="1" minValue="0" maxValue="60"/>
    </cacheField>
    <cacheField name="Fee_NZD" numFmtId="167">
      <sharedItems containsString="0" containsBlank="1" containsNumber="1" containsInteger="1" minValue="65" maxValue="150"/>
    </cacheField>
    <cacheField name="Follow_Up_Required" numFmtId="0">
      <sharedItems/>
    </cacheField>
    <cacheField name="Satisfaction_Score" numFmtId="0">
      <sharedItems containsString="0" containsBlank="1" containsNumber="1" containsInteger="1" minValue="2" maxValue="5"/>
    </cacheField>
    <cacheField name="Notes" numFmtId="0">
      <sharedItems/>
    </cacheField>
    <cacheField name="Source_File" numFmtId="0">
      <sharedItems/>
    </cacheField>
    <cacheField name="Patient_ID_Missing_Flag" numFmtId="0">
      <sharedItems containsSemiMixedTypes="0" containsString="0" containsNumber="1" containsInteger="1" minValue="0" maxValue="1"/>
    </cacheField>
    <cacheField name="Service_Code_Missing_Flag" numFmtId="0">
      <sharedItems containsSemiMixedTypes="0" containsString="0" containsNumber="1" containsInteger="1" minValue="0" maxValue="1"/>
    </cacheField>
    <cacheField name="Clinic_Name" numFmtId="0">
      <sharedItems count="4">
        <s v="Wellington Harbour Community Clinic"/>
        <s v="Hamilton East Community Clinic"/>
        <s v="Auckland Central Community Clinic"/>
        <s v="Palmerston North Community Clinic"/>
      </sharedItems>
    </cacheField>
    <cacheField name="Region" numFmtId="0">
      <sharedItems/>
    </cacheField>
    <cacheField name="Clinic_Manager" numFmtId="0">
      <sharedItems/>
    </cacheField>
    <cacheField name="Location_Type" numFmtId="0">
      <sharedItems/>
    </cacheField>
    <cacheField name="Operating_Hours" numFmtId="0">
      <sharedItems/>
    </cacheField>
    <cacheField name="Service_Name" numFmtId="0">
      <sharedItems containsBlank="1" count="6">
        <s v="Physiotherapy"/>
        <s v="General Practice"/>
        <s v="Mental Health Support"/>
        <s v="Diabetes Care"/>
        <s v="Cardiology Review"/>
        <m/>
      </sharedItems>
    </cacheField>
    <cacheField name="Target_Wait_Days" numFmtId="0">
      <sharedItems containsString="0" containsBlank="1" containsNumber="1" containsInteger="1" minValue="7" maxValue="28"/>
    </cacheField>
    <cacheField name="Standard_Fee_NZD" numFmtId="167">
      <sharedItems containsString="0" containsBlank="1" containsNumber="1" containsInteger="1" minValue="65" maxValue="150"/>
    </cacheField>
    <cacheField name="Service_Group" numFmtId="0">
      <sharedItems containsBlank="1"/>
    </cacheField>
    <cacheField name="Primary_Role" numFmtId="0">
      <sharedItems containsBlank="1"/>
    </cacheField>
    <cacheField name="Lookup_Match_Status" numFmtId="0">
      <sharedItems/>
    </cacheField>
    <cacheField name="Booking_Lead_Days" numFmtId="0">
      <sharedItems containsString="0" containsBlank="1" containsNumber="1" containsInteger="1" minValue="1" maxValue="55"/>
    </cacheField>
    <cacheField name="Met_Wait_Target_Flag" numFmtId="0">
      <sharedItems containsString="0" containsBlank="1" containsNumber="1" containsInteger="1" minValue="0" maxValue="1"/>
    </cacheField>
    <cacheField name="Patient_Wait_Minutes" numFmtId="0">
      <sharedItems containsString="0" containsBlank="1" containsNumber="1" containsInteger="1" minValue="0" maxValue="49"/>
    </cacheField>
    <cacheField name="Seen_Within_30_Min_Flag" numFmtId="0">
      <sharedItems containsString="0" containsBlank="1" containsNumber="1" containsInteger="1" minValue="0" maxValue="1"/>
    </cacheField>
    <cacheField name="Attendance_Eligible_Flag" numFmtId="0">
      <sharedItems containsSemiMixedTypes="0" containsString="0" containsNumber="1" containsInteger="1" minValue="0" maxValue="1"/>
    </cacheField>
    <cacheField name="No_Show_Flag" numFmtId="0">
      <sharedItems containsString="0" containsBlank="1" containsNumber="1" containsInteger="1" minValue="0" maxValue="1"/>
    </cacheField>
    <cacheField name="Fee_Recorded_Flag" numFmtId="0">
      <sharedItems containsSemiMixedTypes="0" containsString="0" containsNumber="1" containsInteger="1" minValue="0" maxValue="1"/>
    </cacheField>
    <cacheField name="Fee_Variance_NZD" numFmtId="167">
      <sharedItems containsString="0" containsBlank="1" containsNumber="1" containsInteger="1" minValue="0" maxValue="0"/>
    </cacheField>
    <cacheField name="Fee_Status" numFmtId="0">
      <sharedItems/>
    </cacheField>
    <cacheField name="Appointment_Month_Start" numFmtId="14">
      <sharedItems containsNonDate="0" containsDate="1" containsString="0" containsBlank="1" minDate="2026-01-01T00:00:00" maxDate="2026-06-02T00:00:00" count="7">
        <d v="2026-01-01T00:00:00"/>
        <m/>
        <d v="2026-02-01T00:00:00"/>
        <d v="2026-03-01T00:00:00"/>
        <d v="2026-04-01T00:00:00"/>
        <d v="2026-05-01T00:00:00"/>
        <d v="2026-06-01T00:00:00"/>
      </sharedItems>
    </cacheField>
    <cacheField name="Appointment_Year" numFmtId="0">
      <sharedItems containsString="0" containsBlank="1" containsNumber="1" containsInteger="1" minValue="2026" maxValue="2026"/>
    </cacheField>
    <cacheField name="Appointment_Month_Number" numFmtId="0">
      <sharedItems containsString="0" containsBlank="1" containsNumber="1" containsInteger="1" minValue="1" maxValue="6"/>
    </cacheField>
    <cacheField name="Appointment_Month_Name" numFmtId="0">
      <sharedItems containsBlank="1"/>
    </cacheField>
  </cacheFields>
  <extLst>
    <ext xmlns:x14="http://schemas.microsoft.com/office/spreadsheetml/2009/9/main" uri="{725AE2AE-9491-48be-B2B4-4EB974FC3084}">
      <x14:pivotCacheDefinition pivotCacheId="1726460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
  <r>
    <s v="APT-202601-0001"/>
    <d v="2026-01-06T00:00:00"/>
    <d v="2025-12-26T00:00:00"/>
    <s v="P0071"/>
    <s v="WLG"/>
    <s v="PHY"/>
    <s v="CL036"/>
    <x v="0"/>
    <x v="0"/>
    <d v="1899-12-30T13:30:00"/>
    <m/>
    <m/>
    <n v="0"/>
    <n v="95"/>
    <s v="Yes"/>
    <m/>
    <s v="Follow-up visit"/>
    <s v="appointment_export_2026_01.csv"/>
    <n v="0"/>
    <n v="0"/>
    <x v="0"/>
    <s v="Central"/>
    <s v="Sophie Martin"/>
    <s v="Urban"/>
    <s v="Mon-Sat 08:00-18:00"/>
    <x v="0"/>
    <n v="21"/>
    <n v="95"/>
    <s v="Rehabilitation"/>
    <s v="Physiotherapist"/>
    <s v="Matched"/>
    <n v="11"/>
    <n v="1"/>
    <m/>
    <m/>
    <n v="0"/>
    <m/>
    <n v="1"/>
    <n v="0"/>
    <s v="Matches Standard"/>
    <x v="0"/>
    <n v="2026"/>
    <n v="1"/>
    <s v="Jan"/>
  </r>
  <r>
    <s v="APT-202601-0005"/>
    <d v="2026-01-17T00:00:00"/>
    <d v="2025-11-30T00:00:00"/>
    <s v="P0234"/>
    <s v="HAM"/>
    <s v="GEN"/>
    <s v="CL011"/>
    <x v="1"/>
    <x v="1"/>
    <d v="1899-12-30T10:30:00"/>
    <d v="1899-12-30T10:24:00"/>
    <d v="1899-12-30T11:08:00"/>
    <n v="30"/>
    <n v="65"/>
    <s v="No"/>
    <n v="4"/>
    <s v="Routine review"/>
    <s v="appointment_export_2026_01.csv"/>
    <n v="0"/>
    <n v="0"/>
    <x v="1"/>
    <s v="Midland"/>
    <s v="Daniel Wong"/>
    <s v="Urban"/>
    <s v="Mon-Fri 08:00-17:30"/>
    <x v="1"/>
    <n v="7"/>
    <n v="65"/>
    <s v="Primary care"/>
    <s v="Doctor or Nurse Practitioner"/>
    <s v="Matched"/>
    <n v="48"/>
    <n v="0"/>
    <n v="44"/>
    <n v="0"/>
    <n v="1"/>
    <n v="0"/>
    <n v="1"/>
    <n v="0"/>
    <s v="Matches Standard"/>
    <x v="0"/>
    <n v="2026"/>
    <n v="1"/>
    <s v="Jan"/>
  </r>
  <r>
    <s v="APT-202601-0006"/>
    <d v="2026-01-08T00:00:00"/>
    <d v="2025-12-02T00:00:00"/>
    <s v="P0024"/>
    <s v="HAM"/>
    <s v="GEN"/>
    <s v="CL011"/>
    <x v="1"/>
    <x v="1"/>
    <d v="1899-12-30T13:30:00"/>
    <d v="1899-12-30T13:33:00"/>
    <d v="1899-12-30T13:35:00"/>
    <n v="30"/>
    <n v="65"/>
    <s v="Yes"/>
    <n v="5"/>
    <s v="New referral"/>
    <s v="appointment_export_2026_01.csv"/>
    <n v="0"/>
    <n v="0"/>
    <x v="1"/>
    <s v="Midland"/>
    <s v="Daniel Wong"/>
    <s v="Urban"/>
    <s v="Mon-Fri 08:00-17:30"/>
    <x v="1"/>
    <n v="7"/>
    <n v="65"/>
    <s v="Primary care"/>
    <s v="Doctor or Nurse Practitioner"/>
    <s v="Matched"/>
    <n v="37"/>
    <n v="0"/>
    <n v="2"/>
    <n v="1"/>
    <n v="1"/>
    <n v="0"/>
    <n v="1"/>
    <n v="0"/>
    <s v="Matches Standard"/>
    <x v="0"/>
    <n v="2026"/>
    <n v="1"/>
    <s v="Jan"/>
  </r>
  <r>
    <s v="APT-202601-0004"/>
    <d v="2026-01-13T00:00:00"/>
    <d v="2025-11-24T00:00:00"/>
    <s v="P0022"/>
    <s v="WLG"/>
    <s v="MHS"/>
    <s v="CL034"/>
    <x v="1"/>
    <x v="0"/>
    <d v="1899-12-30T13:30:00"/>
    <d v="1899-12-30T13:34:00"/>
    <d v="1899-12-30T14:06:00"/>
    <n v="20"/>
    <n v="120"/>
    <s v="Yes"/>
    <n v="5"/>
    <s v="Follow-up visit"/>
    <s v="appointment_export_2026_01.csv"/>
    <n v="0"/>
    <n v="0"/>
    <x v="0"/>
    <s v="Central"/>
    <s v="Sophie Martin"/>
    <s v="Urban"/>
    <s v="Mon-Sat 08:00-18:00"/>
    <x v="2"/>
    <n v="14"/>
    <n v="120"/>
    <s v="Behavioural health"/>
    <s v="Mental Health Clinician"/>
    <s v="Matched"/>
    <n v="50"/>
    <n v="0"/>
    <n v="32"/>
    <n v="0"/>
    <n v="1"/>
    <n v="0"/>
    <n v="1"/>
    <n v="0"/>
    <s v="Matches Standard"/>
    <x v="0"/>
    <n v="2026"/>
    <n v="1"/>
    <s v="Jan"/>
  </r>
  <r>
    <s v="APT-202601-0003"/>
    <d v="2026-01-31T00:00:00"/>
    <d v="2026-01-30T00:00:00"/>
    <s v="P0208"/>
    <s v="HAM"/>
    <s v="MHS"/>
    <s v="CL014"/>
    <x v="0"/>
    <x v="2"/>
    <d v="1899-12-30T09:00:00"/>
    <m/>
    <m/>
    <n v="0"/>
    <n v="120"/>
    <s v="No"/>
    <m/>
    <s v="New referral"/>
    <s v="appointment_export_2026_01.csv"/>
    <n v="0"/>
    <n v="0"/>
    <x v="1"/>
    <s v="Midland"/>
    <s v="Daniel Wong"/>
    <s v="Urban"/>
    <s v="Mon-Fri 08:00-17:30"/>
    <x v="2"/>
    <n v="14"/>
    <n v="120"/>
    <s v="Behavioural health"/>
    <s v="Mental Health Clinician"/>
    <s v="Matched"/>
    <n v="1"/>
    <n v="1"/>
    <m/>
    <m/>
    <n v="0"/>
    <m/>
    <n v="1"/>
    <n v="0"/>
    <s v="Matches Standard"/>
    <x v="0"/>
    <n v="2026"/>
    <n v="1"/>
    <s v="Jan"/>
  </r>
  <r>
    <s v="APT-202601-0002"/>
    <d v="2026-01-17T00:00:00"/>
    <d v="2026-01-04T00:00:00"/>
    <s v="P0127"/>
    <s v="AUC"/>
    <s v="DIA"/>
    <s v="CL008"/>
    <x v="1"/>
    <x v="2"/>
    <d v="1899-12-30T09:00:00"/>
    <d v="1899-12-30T09:17:00"/>
    <d v="1899-12-30T09:15:00"/>
    <n v="45"/>
    <n v="80"/>
    <s v="Yes"/>
    <n v="5"/>
    <s v="Follow-up visit"/>
    <s v="appointment_export_2026_01.csv"/>
    <n v="0"/>
    <n v="0"/>
    <x v="2"/>
    <s v="Northern"/>
    <s v="Aroha Rangi"/>
    <s v="Urban"/>
    <s v="Mon-Fri 08:00-18:00"/>
    <x v="3"/>
    <n v="10"/>
    <n v="80"/>
    <s v="Long-term conditions"/>
    <s v="Diabetes Nurse"/>
    <s v="Matched"/>
    <n v="13"/>
    <n v="0"/>
    <m/>
    <m/>
    <n v="1"/>
    <n v="0"/>
    <n v="1"/>
    <n v="0"/>
    <s v="Matches Standard"/>
    <x v="0"/>
    <n v="2026"/>
    <n v="1"/>
    <s v="Jan"/>
  </r>
  <r>
    <s v="APT-202601-0007"/>
    <n v="46032"/>
    <d v="2026-01-03T00:00:00"/>
    <s v="P0207"/>
    <s v="WLG"/>
    <s v="PHY"/>
    <s v="CL036"/>
    <x v="1"/>
    <x v="3"/>
    <d v="1899-12-30T13:30:00"/>
    <d v="1899-12-30T13:22:00"/>
    <d v="1899-12-30T13:30:00"/>
    <n v="20"/>
    <n v="95"/>
    <s v="Yes"/>
    <n v="4"/>
    <s v="Patient requested appointment"/>
    <s v="appointment_export_2026_01.csv"/>
    <n v="0"/>
    <n v="0"/>
    <x v="0"/>
    <s v="Central"/>
    <s v="Sophie Martin"/>
    <s v="Urban"/>
    <s v="Mon-Sat 08:00-18:00"/>
    <x v="0"/>
    <n v="21"/>
    <n v="95"/>
    <s v="Rehabilitation"/>
    <s v="Physiotherapist"/>
    <s v="Matched"/>
    <n v="7"/>
    <n v="1"/>
    <n v="8"/>
    <n v="1"/>
    <n v="1"/>
    <n v="0"/>
    <n v="1"/>
    <n v="0"/>
    <s v="Matches Standard"/>
    <x v="0"/>
    <n v="2026"/>
    <n v="1"/>
    <s v="Jan"/>
  </r>
  <r>
    <s v="APT-202601-0008"/>
    <d v="2026-01-30T00:00:00"/>
    <d v="2026-01-19T00:00:00"/>
    <s v="P0131"/>
    <s v="HAM"/>
    <s v="DIA"/>
    <s v="CL018"/>
    <x v="1"/>
    <x v="0"/>
    <d v="1899-12-30T12:00:00"/>
    <d v="1899-12-30T11:59:00"/>
    <d v="1899-12-30T12:05:00"/>
    <n v="30"/>
    <n v="80"/>
    <s v="No"/>
    <n v="4"/>
    <s v="Care plan review"/>
    <s v="appointment_export_2026_01.csv"/>
    <n v="0"/>
    <n v="0"/>
    <x v="1"/>
    <s v="Midland"/>
    <s v="Daniel Wong"/>
    <s v="Urban"/>
    <s v="Mon-Fri 08:00-17:30"/>
    <x v="3"/>
    <n v="10"/>
    <n v="80"/>
    <s v="Long-term conditions"/>
    <s v="Diabetes Nurse"/>
    <s v="Matched"/>
    <n v="11"/>
    <n v="0"/>
    <n v="6"/>
    <n v="1"/>
    <n v="1"/>
    <n v="0"/>
    <n v="1"/>
    <n v="0"/>
    <s v="Matches Standard"/>
    <x v="0"/>
    <n v="2026"/>
    <n v="1"/>
    <s v="Jan"/>
  </r>
  <r>
    <s v="APT-202601-0009"/>
    <d v="2026-01-09T00:00:00"/>
    <d v="2025-12-24T00:00:00"/>
    <s v="P0203"/>
    <s v="WLG"/>
    <s v="GEN"/>
    <s v="CL032"/>
    <x v="1"/>
    <x v="3"/>
    <d v="1899-12-30T13:00:00"/>
    <d v="1899-12-30T13:14:00"/>
    <d v="1899-12-30T13:36:00"/>
    <n v="60"/>
    <n v="65"/>
    <s v="No"/>
    <n v="5"/>
    <s v="Routine review"/>
    <s v="appointment_export_2026_01.csv"/>
    <n v="0"/>
    <n v="0"/>
    <x v="0"/>
    <s v="Central"/>
    <s v="Sophie Martin"/>
    <s v="Urban"/>
    <s v="Mon-Sat 08:00-18:00"/>
    <x v="1"/>
    <n v="7"/>
    <n v="65"/>
    <s v="Primary care"/>
    <s v="Doctor or Nurse Practitioner"/>
    <s v="Matched"/>
    <n v="16"/>
    <n v="0"/>
    <n v="22"/>
    <n v="1"/>
    <n v="1"/>
    <n v="0"/>
    <n v="1"/>
    <n v="0"/>
    <s v="Matches Standard"/>
    <x v="0"/>
    <n v="2026"/>
    <n v="1"/>
    <s v="Jan"/>
  </r>
  <r>
    <s v="APT-202601-0010"/>
    <d v="2026-01-22T00:00:00"/>
    <d v="2026-01-13T00:00:00"/>
    <s v="P0016"/>
    <s v="PMR"/>
    <s v="DIA"/>
    <s v="CL028"/>
    <x v="2"/>
    <x v="2"/>
    <d v="1899-12-30T08:30:00"/>
    <m/>
    <m/>
    <n v="0"/>
    <n v="80"/>
    <s v="Yes"/>
    <m/>
    <s v="Routine review"/>
    <s v="appointment_export_2026_01.csv"/>
    <n v="0"/>
    <n v="0"/>
    <x v="3"/>
    <s v="Central"/>
    <s v="Mereana Thompson"/>
    <s v="Regional"/>
    <s v="Mon-Fri 08:30-17:00"/>
    <x v="3"/>
    <n v="10"/>
    <n v="80"/>
    <s v="Long-term conditions"/>
    <s v="Diabetes Nurse"/>
    <s v="Matched"/>
    <n v="9"/>
    <n v="1"/>
    <m/>
    <m/>
    <n v="1"/>
    <n v="1"/>
    <n v="1"/>
    <n v="0"/>
    <s v="Matches Standard"/>
    <x v="0"/>
    <n v="2026"/>
    <n v="1"/>
    <s v="Jan"/>
  </r>
  <r>
    <s v="APT-202601-0011"/>
    <d v="2026-01-04T00:00:00"/>
    <d v="2025-11-22T00:00:00"/>
    <s v="P0235"/>
    <s v="PMR"/>
    <s v="PHY"/>
    <s v="CL025"/>
    <x v="1"/>
    <x v="1"/>
    <d v="1899-12-30T16:00:00"/>
    <d v="1899-12-30T16:00:00"/>
    <d v="1899-12-30T16:39:00"/>
    <n v="30"/>
    <n v="95"/>
    <s v="No"/>
    <n v="4"/>
    <s v="Care plan review"/>
    <s v="appointment_export_2026_01.csv"/>
    <n v="0"/>
    <n v="0"/>
    <x v="3"/>
    <s v="Central"/>
    <s v="Mereana Thompson"/>
    <s v="Regional"/>
    <s v="Mon-Fri 08:30-17:00"/>
    <x v="0"/>
    <n v="21"/>
    <n v="95"/>
    <s v="Rehabilitation"/>
    <s v="Physiotherapist"/>
    <s v="Matched"/>
    <n v="43"/>
    <n v="0"/>
    <n v="39"/>
    <n v="0"/>
    <n v="1"/>
    <n v="0"/>
    <n v="1"/>
    <n v="0"/>
    <s v="Matches Standard"/>
    <x v="0"/>
    <n v="2026"/>
    <n v="1"/>
    <s v="Jan"/>
  </r>
  <r>
    <s v="APT-202601-0012"/>
    <d v="2026-01-17T00:00:00"/>
    <d v="2025-12-05T00:00:00"/>
    <s v="P0230"/>
    <s v="HAM"/>
    <s v="MHS"/>
    <s v="CL014"/>
    <x v="1"/>
    <x v="3"/>
    <d v="1899-12-30T12:30:00"/>
    <d v="1899-12-30T12:39:00"/>
    <d v="1899-12-30T13:07:00"/>
    <n v="30"/>
    <n v="120"/>
    <s v="No"/>
    <n v="5"/>
    <s v="Patient requested appointment"/>
    <s v="appointment_export_2026_01.csv"/>
    <n v="0"/>
    <n v="0"/>
    <x v="1"/>
    <s v="Midland"/>
    <s v="Daniel Wong"/>
    <s v="Urban"/>
    <s v="Mon-Fri 08:00-17:30"/>
    <x v="2"/>
    <n v="14"/>
    <n v="120"/>
    <s v="Behavioural health"/>
    <s v="Mental Health Clinician"/>
    <s v="Matched"/>
    <n v="43"/>
    <n v="0"/>
    <n v="28"/>
    <n v="1"/>
    <n v="1"/>
    <n v="0"/>
    <n v="1"/>
    <n v="0"/>
    <s v="Matches Standard"/>
    <x v="0"/>
    <n v="2026"/>
    <n v="1"/>
    <s v="Jan"/>
  </r>
  <r>
    <s v="APT-202601-0013"/>
    <d v="2026-01-25T00:00:00"/>
    <d v="2026-01-20T00:00:00"/>
    <s v="P0029"/>
    <s v="WLG"/>
    <s v="GEN"/>
    <s v="CL032"/>
    <x v="1"/>
    <x v="2"/>
    <d v="1899-12-30T14:00:00"/>
    <d v="1899-12-30T14:16:00"/>
    <d v="1899-12-30T14:26:00"/>
    <n v="20"/>
    <n v="65"/>
    <s v="Yes"/>
    <n v="4"/>
    <s v="Follow-up visit"/>
    <s v="appointment_export_2026_01.csv"/>
    <n v="0"/>
    <n v="0"/>
    <x v="0"/>
    <s v="Central"/>
    <s v="Sophie Martin"/>
    <s v="Urban"/>
    <s v="Mon-Sat 08:00-18:00"/>
    <x v="1"/>
    <n v="7"/>
    <n v="65"/>
    <s v="Primary care"/>
    <s v="Doctor or Nurse Practitioner"/>
    <s v="Matched"/>
    <n v="5"/>
    <n v="1"/>
    <n v="10"/>
    <n v="1"/>
    <n v="1"/>
    <n v="0"/>
    <n v="1"/>
    <n v="0"/>
    <s v="Matches Standard"/>
    <x v="0"/>
    <n v="2026"/>
    <n v="1"/>
    <s v="Jan"/>
  </r>
  <r>
    <s v="APT-202601-0014"/>
    <d v="2026-01-19T00:00:00"/>
    <d v="2026-01-09T00:00:00"/>
    <s v="P0192"/>
    <s v="HAM"/>
    <s v="DIA"/>
    <s v="CL017"/>
    <x v="1"/>
    <x v="2"/>
    <d v="1899-12-30T08:30:00"/>
    <d v="1899-12-30T08:38:00"/>
    <d v="1899-12-30T08:54:00"/>
    <n v="30"/>
    <n v="80"/>
    <s v="No"/>
    <n v="2"/>
    <s v="Care plan review"/>
    <s v="appointment_export_2026_01.csv"/>
    <n v="0"/>
    <n v="0"/>
    <x v="1"/>
    <s v="Midland"/>
    <s v="Daniel Wong"/>
    <s v="Urban"/>
    <s v="Mon-Fri 08:00-17:30"/>
    <x v="3"/>
    <n v="10"/>
    <n v="80"/>
    <s v="Long-term conditions"/>
    <s v="Diabetes Nurse"/>
    <s v="Matched"/>
    <n v="10"/>
    <n v="1"/>
    <n v="16"/>
    <n v="1"/>
    <n v="1"/>
    <n v="0"/>
    <n v="1"/>
    <n v="0"/>
    <s v="Matches Standard"/>
    <x v="0"/>
    <n v="2026"/>
    <n v="1"/>
    <s v="Jan"/>
  </r>
  <r>
    <s v="APT-202601-0015"/>
    <d v="2026-01-30T00:00:00"/>
    <d v="2026-01-17T00:00:00"/>
    <s v="P0013"/>
    <s v="HAM"/>
    <s v="GEN"/>
    <s v="CL012"/>
    <x v="1"/>
    <x v="2"/>
    <d v="1899-12-30T13:00:00"/>
    <d v="1899-12-30T13:16:00"/>
    <d v="1899-12-30T13:26:00"/>
    <n v="45"/>
    <n v="65"/>
    <s v="No"/>
    <n v="5"/>
    <s v="Care plan review"/>
    <s v="appointment_export_2026_01.csv"/>
    <n v="0"/>
    <n v="0"/>
    <x v="1"/>
    <s v="Midland"/>
    <s v="Daniel Wong"/>
    <s v="Urban"/>
    <s v="Mon-Fri 08:00-17:30"/>
    <x v="1"/>
    <n v="7"/>
    <n v="65"/>
    <s v="Primary care"/>
    <s v="Doctor or Nurse Practitioner"/>
    <s v="Matched"/>
    <n v="13"/>
    <n v="0"/>
    <n v="10"/>
    <n v="1"/>
    <n v="1"/>
    <n v="0"/>
    <n v="1"/>
    <n v="0"/>
    <s v="Matches Standard"/>
    <x v="0"/>
    <n v="2026"/>
    <n v="1"/>
    <s v="Jan"/>
  </r>
  <r>
    <s v="APT-202601-0016"/>
    <d v="2026-01-09T00:00:00"/>
    <d v="2025-11-22T00:00:00"/>
    <s v="P0080"/>
    <s v="WLG"/>
    <s v="PHY"/>
    <s v="CL036"/>
    <x v="1"/>
    <x v="0"/>
    <d v="1899-12-30T13:00:00"/>
    <d v="1899-12-30T12:54:00"/>
    <d v="1899-12-30T13:25:00"/>
    <n v="30"/>
    <n v="95"/>
    <s v="No"/>
    <n v="2"/>
    <s v="New referral"/>
    <s v="appointment_export_2026_01.csv"/>
    <n v="0"/>
    <n v="0"/>
    <x v="0"/>
    <s v="Central"/>
    <s v="Sophie Martin"/>
    <s v="Urban"/>
    <s v="Mon-Sat 08:00-18:00"/>
    <x v="0"/>
    <n v="21"/>
    <n v="95"/>
    <s v="Rehabilitation"/>
    <s v="Physiotherapist"/>
    <s v="Matched"/>
    <n v="48"/>
    <n v="0"/>
    <n v="31"/>
    <n v="0"/>
    <n v="1"/>
    <n v="0"/>
    <n v="1"/>
    <n v="0"/>
    <s v="Matches Standard"/>
    <x v="0"/>
    <n v="2026"/>
    <n v="1"/>
    <s v="Jan"/>
  </r>
  <r>
    <s v="APT-202601-0017"/>
    <d v="2026-01-06T00:00:00"/>
    <d v="2025-11-13T00:00:00"/>
    <s v="P0015"/>
    <s v="HAM"/>
    <s v="GEN"/>
    <s v="CL012"/>
    <x v="1"/>
    <x v="2"/>
    <d v="1899-12-30T14:00:00"/>
    <d v="1899-12-30T14:00:00"/>
    <d v="1899-12-30T14:12:00"/>
    <n v="60"/>
    <n v="65"/>
    <s v="Yes"/>
    <n v="5"/>
    <s v="Routine review"/>
    <s v="appointment_export_2026_01.csv"/>
    <n v="0"/>
    <n v="0"/>
    <x v="1"/>
    <s v="Midland"/>
    <s v="Daniel Wong"/>
    <s v="Urban"/>
    <s v="Mon-Fri 08:00-17:30"/>
    <x v="1"/>
    <n v="7"/>
    <n v="65"/>
    <s v="Primary care"/>
    <s v="Doctor or Nurse Practitioner"/>
    <s v="Matched"/>
    <n v="54"/>
    <n v="0"/>
    <n v="12"/>
    <n v="1"/>
    <n v="1"/>
    <n v="0"/>
    <n v="1"/>
    <n v="0"/>
    <s v="Matches Standard"/>
    <x v="0"/>
    <n v="2026"/>
    <n v="1"/>
    <s v="Jan"/>
  </r>
  <r>
    <s v="APT-202601-0018"/>
    <d v="2026-01-22T00:00:00"/>
    <d v="2025-12-06T00:00:00"/>
    <s v="P0175"/>
    <s v="AUC"/>
    <s v="DIA"/>
    <s v="CL008"/>
    <x v="1"/>
    <x v="1"/>
    <d v="1899-12-30T13:30:00"/>
    <d v="1899-12-30T13:31:00"/>
    <d v="1899-12-30T14:02:00"/>
    <n v="60"/>
    <n v="80"/>
    <s v="Yes"/>
    <n v="5"/>
    <s v="Care plan review"/>
    <s v="appointment_export_2026_01.csv"/>
    <n v="0"/>
    <n v="0"/>
    <x v="2"/>
    <s v="Northern"/>
    <s v="Aroha Rangi"/>
    <s v="Urban"/>
    <s v="Mon-Fri 08:00-18:00"/>
    <x v="3"/>
    <n v="10"/>
    <n v="80"/>
    <s v="Long-term conditions"/>
    <s v="Diabetes Nurse"/>
    <s v="Matched"/>
    <n v="47"/>
    <n v="0"/>
    <n v="31"/>
    <n v="0"/>
    <n v="1"/>
    <n v="0"/>
    <n v="1"/>
    <n v="0"/>
    <s v="Matches Standard"/>
    <x v="0"/>
    <n v="2026"/>
    <n v="1"/>
    <s v="Jan"/>
  </r>
  <r>
    <s v="APT-202601-0019"/>
    <d v="2026-01-20T00:00:00"/>
    <d v="2025-12-21T00:00:00"/>
    <s v="P0084"/>
    <s v="HAM"/>
    <s v="MHS"/>
    <s v="CL014"/>
    <x v="2"/>
    <x v="2"/>
    <d v="1899-12-30T13:30:00"/>
    <m/>
    <m/>
    <n v="0"/>
    <n v="120"/>
    <s v="No"/>
    <m/>
    <s v="Routine review"/>
    <s v="appointment_export_2026_01.csv"/>
    <n v="0"/>
    <n v="0"/>
    <x v="1"/>
    <s v="Midland"/>
    <s v="Daniel Wong"/>
    <s v="Urban"/>
    <s v="Mon-Fri 08:00-17:30"/>
    <x v="2"/>
    <n v="14"/>
    <n v="120"/>
    <s v="Behavioural health"/>
    <s v="Mental Health Clinician"/>
    <s v="Matched"/>
    <n v="30"/>
    <n v="0"/>
    <m/>
    <m/>
    <n v="1"/>
    <n v="1"/>
    <n v="1"/>
    <n v="0"/>
    <s v="Matches Standard"/>
    <x v="0"/>
    <n v="2026"/>
    <n v="1"/>
    <s v="Jan"/>
  </r>
  <r>
    <s v="APT-202601-0020"/>
    <d v="2026-01-11T00:00:00"/>
    <d v="2025-12-11T00:00:00"/>
    <s v="P0049"/>
    <s v="WLG"/>
    <s v="DIA"/>
    <s v="CL037"/>
    <x v="1"/>
    <x v="2"/>
    <d v="1899-12-30T09:30:00"/>
    <d v="1899-12-30T09:26:00"/>
    <d v="1899-12-30T09:33:00"/>
    <n v="30"/>
    <n v="80"/>
    <s v="No"/>
    <n v="5"/>
    <s v="Patient requested appointment"/>
    <s v="appointment_export_2026_01.csv"/>
    <n v="0"/>
    <n v="0"/>
    <x v="0"/>
    <s v="Central"/>
    <s v="Sophie Martin"/>
    <s v="Urban"/>
    <s v="Mon-Sat 08:00-18:00"/>
    <x v="3"/>
    <n v="10"/>
    <n v="80"/>
    <s v="Long-term conditions"/>
    <s v="Diabetes Nurse"/>
    <s v="Matched"/>
    <n v="31"/>
    <n v="0"/>
    <n v="7"/>
    <n v="1"/>
    <n v="1"/>
    <n v="0"/>
    <n v="1"/>
    <n v="0"/>
    <s v="Matches Standard"/>
    <x v="0"/>
    <n v="2026"/>
    <n v="1"/>
    <s v="Jan"/>
  </r>
  <r>
    <s v="APT-202601-0021"/>
    <d v="2026-01-16T00:00:00"/>
    <d v="2026-01-04T00:00:00"/>
    <s v="P0186"/>
    <s v="WLG"/>
    <s v="PHY"/>
    <s v="CL035"/>
    <x v="0"/>
    <x v="3"/>
    <d v="1899-12-30T11:00:00"/>
    <m/>
    <m/>
    <n v="0"/>
    <n v="95"/>
    <s v="No"/>
    <m/>
    <s v="Follow-up visit"/>
    <s v="appointment_export_2026_01.csv"/>
    <n v="0"/>
    <n v="0"/>
    <x v="0"/>
    <s v="Central"/>
    <s v="Sophie Martin"/>
    <s v="Urban"/>
    <s v="Mon-Sat 08:00-18:00"/>
    <x v="0"/>
    <n v="21"/>
    <n v="95"/>
    <s v="Rehabilitation"/>
    <s v="Physiotherapist"/>
    <s v="Matched"/>
    <n v="12"/>
    <n v="1"/>
    <m/>
    <m/>
    <n v="0"/>
    <m/>
    <n v="1"/>
    <n v="0"/>
    <s v="Matches Standard"/>
    <x v="0"/>
    <n v="2026"/>
    <n v="1"/>
    <s v="Jan"/>
  </r>
  <r>
    <s v="APT-202601-0022"/>
    <d v="2026-01-17T00:00:00"/>
    <d v="2025-12-31T00:00:00"/>
    <s v="P0109"/>
    <s v="PMR"/>
    <s v="PHY"/>
    <s v="CL026"/>
    <x v="0"/>
    <x v="1"/>
    <d v="1899-12-30T08:00:00"/>
    <m/>
    <m/>
    <n v="0"/>
    <n v="95"/>
    <s v="Yes"/>
    <m/>
    <s v="Follow-up visit"/>
    <s v="appointment_export_2026_01.csv"/>
    <n v="0"/>
    <n v="0"/>
    <x v="3"/>
    <s v="Central"/>
    <s v="Mereana Thompson"/>
    <s v="Regional"/>
    <s v="Mon-Fri 08:30-17:00"/>
    <x v="0"/>
    <n v="21"/>
    <n v="95"/>
    <s v="Rehabilitation"/>
    <s v="Physiotherapist"/>
    <s v="Matched"/>
    <n v="17"/>
    <n v="1"/>
    <m/>
    <m/>
    <n v="0"/>
    <m/>
    <n v="1"/>
    <n v="0"/>
    <s v="Matches Standard"/>
    <x v="0"/>
    <n v="2026"/>
    <n v="1"/>
    <s v="Jan"/>
  </r>
  <r>
    <s v="APT-202601-0023"/>
    <d v="2026-01-28T00:00:00"/>
    <d v="2026-01-26T00:00:00"/>
    <s v="P0091"/>
    <s v="WLG"/>
    <s v="CAR"/>
    <s v="CL039"/>
    <x v="2"/>
    <x v="3"/>
    <d v="1899-12-30T10:00:00"/>
    <m/>
    <m/>
    <n v="0"/>
    <n v="150"/>
    <s v="No"/>
    <m/>
    <s v="Routine review"/>
    <s v="appointment_export_2026_01.csv"/>
    <n v="0"/>
    <n v="0"/>
    <x v="0"/>
    <s v="Central"/>
    <s v="Sophie Martin"/>
    <s v="Urban"/>
    <s v="Mon-Sat 08:00-18:00"/>
    <x v="4"/>
    <n v="28"/>
    <n v="150"/>
    <s v="Specialist outpatient"/>
    <s v="Cardiology Clinician"/>
    <s v="Matched"/>
    <n v="2"/>
    <n v="1"/>
    <m/>
    <m/>
    <n v="1"/>
    <n v="1"/>
    <n v="1"/>
    <n v="0"/>
    <s v="Matches Standard"/>
    <x v="0"/>
    <n v="2026"/>
    <n v="1"/>
    <s v="Jan"/>
  </r>
  <r>
    <s v="APT-202601-0024"/>
    <d v="2026-01-26T00:00:00"/>
    <d v="2026-01-09T00:00:00"/>
    <s v="P0057"/>
    <s v="HAM"/>
    <s v="DIA"/>
    <s v="CL018"/>
    <x v="1"/>
    <x v="3"/>
    <d v="1899-12-30T09:30:00"/>
    <d v="1899-12-30T09:34:00"/>
    <d v="1899-12-30T09:30:00"/>
    <n v="20"/>
    <n v="80"/>
    <s v="No"/>
    <n v="2"/>
    <s v="New referral"/>
    <s v="appointment_export_2026_01.csv"/>
    <n v="0"/>
    <n v="0"/>
    <x v="1"/>
    <s v="Midland"/>
    <s v="Daniel Wong"/>
    <s v="Urban"/>
    <s v="Mon-Fri 08:00-17:30"/>
    <x v="3"/>
    <n v="10"/>
    <n v="80"/>
    <s v="Long-term conditions"/>
    <s v="Diabetes Nurse"/>
    <s v="Matched"/>
    <n v="17"/>
    <n v="0"/>
    <m/>
    <m/>
    <n v="1"/>
    <n v="0"/>
    <n v="1"/>
    <n v="0"/>
    <s v="Matches Standard"/>
    <x v="0"/>
    <n v="2026"/>
    <n v="1"/>
    <s v="Jan"/>
  </r>
  <r>
    <s v="APT-202601-0025"/>
    <d v="2026-01-25T00:00:00"/>
    <d v="2026-01-14T00:00:00"/>
    <s v="P0076"/>
    <s v="AUC"/>
    <s v="PHY"/>
    <s v="CL005"/>
    <x v="1"/>
    <x v="3"/>
    <d v="1899-12-30T12:30:00"/>
    <d v="1899-12-30T12:48:00"/>
    <d v="1899-12-30T12:30:00"/>
    <n v="30"/>
    <n v="95"/>
    <s v="No"/>
    <n v="5"/>
    <s v="New referral"/>
    <s v="appointment_export_2026_01.csv"/>
    <n v="0"/>
    <n v="0"/>
    <x v="2"/>
    <s v="Northern"/>
    <s v="Aroha Rangi"/>
    <s v="Urban"/>
    <s v="Mon-Fri 08:00-18:00"/>
    <x v="0"/>
    <n v="21"/>
    <n v="95"/>
    <s v="Rehabilitation"/>
    <s v="Physiotherapist"/>
    <s v="Matched"/>
    <n v="11"/>
    <n v="1"/>
    <m/>
    <m/>
    <n v="1"/>
    <n v="0"/>
    <n v="1"/>
    <n v="0"/>
    <s v="Matches Standard"/>
    <x v="0"/>
    <n v="2026"/>
    <n v="1"/>
    <s v="Jan"/>
  </r>
  <r>
    <s v="APT-202601-0026"/>
    <d v="2026-01-14T00:00:00"/>
    <d v="2025-12-20T00:00:00"/>
    <s v="P0043"/>
    <s v="WLG"/>
    <s v="MHS"/>
    <s v="CL033"/>
    <x v="1"/>
    <x v="2"/>
    <d v="1899-12-30T09:00:00"/>
    <d v="1899-12-30T08:57:00"/>
    <d v="1899-12-30T09:14:00"/>
    <n v="30"/>
    <n v="120"/>
    <s v="Yes"/>
    <n v="5"/>
    <s v="Care plan review"/>
    <s v="appointment_export_2026_01.csv"/>
    <n v="0"/>
    <n v="0"/>
    <x v="0"/>
    <s v="Central"/>
    <s v="Sophie Martin"/>
    <s v="Urban"/>
    <s v="Mon-Sat 08:00-18:00"/>
    <x v="2"/>
    <n v="14"/>
    <n v="120"/>
    <s v="Behavioural health"/>
    <s v="Mental Health Clinician"/>
    <s v="Matched"/>
    <n v="25"/>
    <n v="0"/>
    <n v="17"/>
    <n v="1"/>
    <n v="1"/>
    <n v="0"/>
    <n v="1"/>
    <n v="0"/>
    <s v="Matches Standard"/>
    <x v="0"/>
    <n v="2026"/>
    <n v="1"/>
    <s v="Jan"/>
  </r>
  <r>
    <s v="APT-202601-0027"/>
    <d v="2026-01-20T00:00:00"/>
    <d v="2026-01-08T00:00:00"/>
    <s v="P0173"/>
    <s v="HAM"/>
    <s v="PHY"/>
    <s v="CL016"/>
    <x v="1"/>
    <x v="0"/>
    <d v="1899-12-30T14:00:00"/>
    <d v="1899-12-30T14:04:00"/>
    <d v="1899-12-30T14:28:00"/>
    <n v="30"/>
    <n v="95"/>
    <s v="No"/>
    <n v="3"/>
    <s v="Patient requested appointment"/>
    <s v="appointment_export_2026_01.csv"/>
    <n v="0"/>
    <n v="0"/>
    <x v="1"/>
    <s v="Midland"/>
    <s v="Daniel Wong"/>
    <s v="Urban"/>
    <s v="Mon-Fri 08:00-17:30"/>
    <x v="0"/>
    <n v="21"/>
    <n v="95"/>
    <s v="Rehabilitation"/>
    <s v="Physiotherapist"/>
    <s v="Matched"/>
    <n v="12"/>
    <n v="1"/>
    <n v="24"/>
    <n v="1"/>
    <n v="1"/>
    <n v="0"/>
    <n v="1"/>
    <n v="0"/>
    <s v="Matches Standard"/>
    <x v="0"/>
    <n v="2026"/>
    <n v="1"/>
    <s v="Jan"/>
  </r>
  <r>
    <s v="APT-202601-0028"/>
    <d v="2026-01-03T00:00:00"/>
    <d v="2025-12-17T00:00:00"/>
    <s v="P0086"/>
    <s v="AUC"/>
    <s v="DIA"/>
    <s v="CL007"/>
    <x v="1"/>
    <x v="2"/>
    <d v="1899-12-30T13:30:00"/>
    <d v="1899-12-30T13:28:00"/>
    <d v="1899-12-30T13:40:00"/>
    <n v="20"/>
    <n v="80"/>
    <s v="No"/>
    <n v="4"/>
    <s v="Routine review"/>
    <s v="appointment_export_2026_01.csv"/>
    <n v="0"/>
    <n v="0"/>
    <x v="2"/>
    <s v="Northern"/>
    <s v="Aroha Rangi"/>
    <s v="Urban"/>
    <s v="Mon-Fri 08:00-18:00"/>
    <x v="3"/>
    <n v="10"/>
    <n v="80"/>
    <s v="Long-term conditions"/>
    <s v="Diabetes Nurse"/>
    <s v="Matched"/>
    <n v="17"/>
    <n v="0"/>
    <n v="12"/>
    <n v="1"/>
    <n v="1"/>
    <n v="0"/>
    <n v="1"/>
    <n v="0"/>
    <s v="Matches Standard"/>
    <x v="0"/>
    <n v="2026"/>
    <n v="1"/>
    <s v="Jan"/>
  </r>
  <r>
    <s v="APT-202601-0029"/>
    <d v="2026-01-18T00:00:00"/>
    <d v="2025-12-14T00:00:00"/>
    <s v="P0162"/>
    <s v="PMR"/>
    <s v="PHY"/>
    <s v="CL025"/>
    <x v="1"/>
    <x v="0"/>
    <d v="1899-12-30T10:00:00"/>
    <d v="1899-12-30T10:15:00"/>
    <d v="1899-12-30T10:36:00"/>
    <n v="45"/>
    <n v="95"/>
    <s v="No"/>
    <n v="4"/>
    <s v="New referral"/>
    <s v="appointment_export_2026_01.csv"/>
    <n v="0"/>
    <n v="0"/>
    <x v="3"/>
    <s v="Central"/>
    <s v="Mereana Thompson"/>
    <s v="Regional"/>
    <s v="Mon-Fri 08:30-17:00"/>
    <x v="0"/>
    <n v="21"/>
    <n v="95"/>
    <s v="Rehabilitation"/>
    <s v="Physiotherapist"/>
    <s v="Matched"/>
    <n v="35"/>
    <n v="0"/>
    <n v="21"/>
    <n v="1"/>
    <n v="1"/>
    <n v="0"/>
    <n v="1"/>
    <n v="0"/>
    <s v="Matches Standard"/>
    <x v="0"/>
    <n v="2026"/>
    <n v="1"/>
    <s v="Jan"/>
  </r>
  <r>
    <s v="APT-202601-0030"/>
    <d v="2026-01-28T00:00:00"/>
    <d v="2026-01-26T00:00:00"/>
    <s v="P0214"/>
    <s v="HAM"/>
    <s v="MHS"/>
    <s v="CL013"/>
    <x v="0"/>
    <x v="0"/>
    <d v="1899-12-30T11:30:00"/>
    <m/>
    <m/>
    <n v="0"/>
    <n v="120"/>
    <s v="Yes"/>
    <m/>
    <s v="New referral"/>
    <s v="appointment_export_2026_01.csv"/>
    <n v="0"/>
    <n v="0"/>
    <x v="1"/>
    <s v="Midland"/>
    <s v="Daniel Wong"/>
    <s v="Urban"/>
    <s v="Mon-Fri 08:00-17:30"/>
    <x v="2"/>
    <n v="14"/>
    <n v="120"/>
    <s v="Behavioural health"/>
    <s v="Mental Health Clinician"/>
    <s v="Matched"/>
    <n v="2"/>
    <n v="1"/>
    <m/>
    <m/>
    <n v="0"/>
    <m/>
    <n v="1"/>
    <n v="0"/>
    <s v="Matches Standard"/>
    <x v="0"/>
    <n v="2026"/>
    <n v="1"/>
    <s v="Jan"/>
  </r>
  <r>
    <s v="APT-202601-0031"/>
    <d v="2026-01-19T00:00:00"/>
    <d v="2025-12-25T00:00:00"/>
    <s v="P0152"/>
    <s v="HAM"/>
    <s v="MHS"/>
    <s v="CL014"/>
    <x v="1"/>
    <x v="2"/>
    <d v="1899-12-30T13:00:00"/>
    <d v="1899-12-30T12:55:00"/>
    <d v="1899-12-30T13:30:00"/>
    <n v="20"/>
    <n v="120"/>
    <s v="Yes"/>
    <n v="5"/>
    <s v="Care plan review"/>
    <s v="appointment_export_2026_01.csv"/>
    <n v="0"/>
    <n v="0"/>
    <x v="1"/>
    <s v="Midland"/>
    <s v="Daniel Wong"/>
    <s v="Urban"/>
    <s v="Mon-Fri 08:00-17:30"/>
    <x v="2"/>
    <n v="14"/>
    <n v="120"/>
    <s v="Behavioural health"/>
    <s v="Mental Health Clinician"/>
    <s v="Matched"/>
    <n v="25"/>
    <n v="0"/>
    <n v="35"/>
    <n v="0"/>
    <n v="1"/>
    <n v="0"/>
    <n v="1"/>
    <n v="0"/>
    <s v="Matches Standard"/>
    <x v="0"/>
    <n v="2026"/>
    <n v="1"/>
    <s v="Jan"/>
  </r>
  <r>
    <s v="APT-202601-0032"/>
    <d v="2026-01-18T00:00:00"/>
    <d v="2026-01-11T00:00:00"/>
    <s v="P0177"/>
    <s v="WLG"/>
    <s v="MHS"/>
    <s v="CL033"/>
    <x v="1"/>
    <x v="1"/>
    <d v="1899-12-30T09:30:00"/>
    <d v="1899-12-30T09:22:00"/>
    <d v="1899-12-30T09:35:00"/>
    <n v="60"/>
    <n v="120"/>
    <s v="No"/>
    <n v="5"/>
    <s v="New referral"/>
    <s v="appointment_export_2026_01.csv"/>
    <n v="0"/>
    <n v="0"/>
    <x v="0"/>
    <s v="Central"/>
    <s v="Sophie Martin"/>
    <s v="Urban"/>
    <s v="Mon-Sat 08:00-18:00"/>
    <x v="2"/>
    <n v="14"/>
    <n v="120"/>
    <s v="Behavioural health"/>
    <s v="Mental Health Clinician"/>
    <s v="Matched"/>
    <n v="7"/>
    <n v="1"/>
    <n v="13"/>
    <n v="1"/>
    <n v="1"/>
    <n v="0"/>
    <n v="1"/>
    <n v="0"/>
    <s v="Matches Standard"/>
    <x v="0"/>
    <n v="2026"/>
    <n v="1"/>
    <s v="Jan"/>
  </r>
  <r>
    <s v="APT-202601-0033"/>
    <d v="2026-01-01T00:00:00"/>
    <d v="2025-12-29T00:00:00"/>
    <s v="P0036"/>
    <s v="PMR"/>
    <s v="MHS"/>
    <s v="CL024"/>
    <x v="1"/>
    <x v="3"/>
    <d v="1899-12-30T12:00:00"/>
    <d v="1899-12-30T12:05:00"/>
    <d v="1899-12-30T12:25:00"/>
    <n v="60"/>
    <n v="120"/>
    <s v="No"/>
    <n v="2"/>
    <s v="Care plan review"/>
    <s v="appointment_export_2026_01.csv"/>
    <n v="0"/>
    <n v="0"/>
    <x v="3"/>
    <s v="Central"/>
    <s v="Mereana Thompson"/>
    <s v="Regional"/>
    <s v="Mon-Fri 08:30-17:00"/>
    <x v="2"/>
    <n v="14"/>
    <n v="120"/>
    <s v="Behavioural health"/>
    <s v="Mental Health Clinician"/>
    <s v="Matched"/>
    <n v="3"/>
    <n v="1"/>
    <n v="20"/>
    <n v="1"/>
    <n v="1"/>
    <n v="0"/>
    <n v="1"/>
    <n v="0"/>
    <s v="Matches Standard"/>
    <x v="0"/>
    <n v="2026"/>
    <n v="1"/>
    <s v="Jan"/>
  </r>
  <r>
    <s v="APT-202601-0034"/>
    <d v="2026-01-20T00:00:00"/>
    <d v="2026-01-05T00:00:00"/>
    <s v="P0093"/>
    <s v="PMR"/>
    <s v="MHS"/>
    <s v="CL024"/>
    <x v="3"/>
    <x v="1"/>
    <d v="1899-12-30T08:00:00"/>
    <m/>
    <m/>
    <n v="0"/>
    <n v="120"/>
    <s v="No"/>
    <m/>
    <s v="Follow-up visit"/>
    <s v="appointment_export_2026_01.csv"/>
    <n v="0"/>
    <n v="0"/>
    <x v="3"/>
    <s v="Central"/>
    <s v="Mereana Thompson"/>
    <s v="Regional"/>
    <s v="Mon-Fri 08:30-17:00"/>
    <x v="2"/>
    <n v="14"/>
    <n v="120"/>
    <s v="Behavioural health"/>
    <s v="Mental Health Clinician"/>
    <s v="Matched"/>
    <n v="15"/>
    <n v="0"/>
    <m/>
    <m/>
    <n v="0"/>
    <m/>
    <n v="1"/>
    <n v="0"/>
    <s v="Matches Standard"/>
    <x v="0"/>
    <n v="2026"/>
    <n v="1"/>
    <s v="Jan"/>
  </r>
  <r>
    <s v="APT-202601-0035"/>
    <d v="2026-01-25T00:00:00"/>
    <d v="2026-01-17T00:00:00"/>
    <s v="P0009"/>
    <s v="PMR"/>
    <s v="DIA"/>
    <s v="CL028"/>
    <x v="1"/>
    <x v="0"/>
    <d v="1899-12-30T15:30:00"/>
    <d v="1899-12-30T15:31:00"/>
    <d v="1899-12-30T15:44:00"/>
    <n v="30"/>
    <n v="80"/>
    <s v="No"/>
    <n v="4"/>
    <s v="Follow-up visit"/>
    <s v="appointment_export_2026_01.csv"/>
    <n v="0"/>
    <n v="0"/>
    <x v="3"/>
    <s v="Central"/>
    <s v="Mereana Thompson"/>
    <s v="Regional"/>
    <s v="Mon-Fri 08:30-17:00"/>
    <x v="3"/>
    <n v="10"/>
    <n v="80"/>
    <s v="Long-term conditions"/>
    <s v="Diabetes Nurse"/>
    <s v="Matched"/>
    <n v="8"/>
    <n v="1"/>
    <n v="13"/>
    <n v="1"/>
    <n v="1"/>
    <n v="0"/>
    <n v="1"/>
    <n v="0"/>
    <s v="Matches Standard"/>
    <x v="0"/>
    <n v="2026"/>
    <n v="1"/>
    <s v="Jan"/>
  </r>
  <r>
    <s v="APT-202601-0036"/>
    <d v="2026-01-21T00:00:00"/>
    <d v="2025-12-19T00:00:00"/>
    <s v="P0062"/>
    <s v="PMR"/>
    <s v="CAR"/>
    <s v="CL029"/>
    <x v="1"/>
    <x v="1"/>
    <d v="1899-12-30T16:00:00"/>
    <d v="1899-12-30T16:07:00"/>
    <d v="1899-12-30T16:09:00"/>
    <n v="20"/>
    <n v="150"/>
    <s v="No"/>
    <n v="5"/>
    <s v="Care plan review"/>
    <s v="appointment_export_2026_01.csv"/>
    <n v="0"/>
    <n v="0"/>
    <x v="3"/>
    <s v="Central"/>
    <s v="Mereana Thompson"/>
    <s v="Regional"/>
    <s v="Mon-Fri 08:30-17:00"/>
    <x v="4"/>
    <n v="28"/>
    <n v="150"/>
    <s v="Specialist outpatient"/>
    <s v="Cardiology Clinician"/>
    <s v="Matched"/>
    <n v="33"/>
    <n v="0"/>
    <n v="2"/>
    <n v="1"/>
    <n v="1"/>
    <n v="0"/>
    <n v="1"/>
    <n v="0"/>
    <s v="Matches Standard"/>
    <x v="0"/>
    <n v="2026"/>
    <n v="1"/>
    <s v="Jan"/>
  </r>
  <r>
    <s v="APT-202601-0037"/>
    <d v="2026-01-11T00:00:00"/>
    <d v="2025-11-24T00:00:00"/>
    <s v="P0211"/>
    <s v="PMR"/>
    <s v="PHY"/>
    <s v="CL026"/>
    <x v="1"/>
    <x v="3"/>
    <d v="1899-12-30T10:30:00"/>
    <d v="1899-12-30T10:43:00"/>
    <d v="1899-12-30T10:48:00"/>
    <n v="20"/>
    <n v="95"/>
    <s v="No"/>
    <n v="2"/>
    <s v="Care plan review"/>
    <s v="appointment_export_2026_01.csv"/>
    <n v="0"/>
    <n v="0"/>
    <x v="3"/>
    <s v="Central"/>
    <s v="Mereana Thompson"/>
    <s v="Regional"/>
    <s v="Mon-Fri 08:30-17:00"/>
    <x v="0"/>
    <n v="21"/>
    <n v="95"/>
    <s v="Rehabilitation"/>
    <s v="Physiotherapist"/>
    <s v="Matched"/>
    <n v="48"/>
    <n v="0"/>
    <n v="5"/>
    <n v="1"/>
    <n v="1"/>
    <n v="0"/>
    <n v="1"/>
    <n v="0"/>
    <s v="Matches Standard"/>
    <x v="0"/>
    <n v="2026"/>
    <n v="1"/>
    <s v="Jan"/>
  </r>
  <r>
    <s v="APT-202601-0038"/>
    <d v="2026-01-26T00:00:00"/>
    <d v="2025-12-10T00:00:00"/>
    <s v="P0065"/>
    <s v="HAM"/>
    <s v="MHS"/>
    <s v="CL013"/>
    <x v="1"/>
    <x v="1"/>
    <d v="1899-12-30T13:30:00"/>
    <d v="1899-12-30T13:27:00"/>
    <d v="1899-12-30T14:10:00"/>
    <n v="20"/>
    <n v="120"/>
    <s v="No"/>
    <n v="4"/>
    <s v="Routine review"/>
    <s v="appointment_export_2026_01.csv"/>
    <n v="0"/>
    <n v="0"/>
    <x v="1"/>
    <s v="Midland"/>
    <s v="Daniel Wong"/>
    <s v="Urban"/>
    <s v="Mon-Fri 08:00-17:30"/>
    <x v="2"/>
    <n v="14"/>
    <n v="120"/>
    <s v="Behavioural health"/>
    <s v="Mental Health Clinician"/>
    <s v="Matched"/>
    <n v="47"/>
    <n v="0"/>
    <n v="43"/>
    <n v="0"/>
    <n v="1"/>
    <n v="0"/>
    <n v="1"/>
    <n v="0"/>
    <s v="Matches Standard"/>
    <x v="0"/>
    <n v="2026"/>
    <n v="1"/>
    <s v="Jan"/>
  </r>
  <r>
    <s v="APT-202601-0039"/>
    <d v="2026-01-10T00:00:00"/>
    <d v="2025-12-30T00:00:00"/>
    <s v="P0091"/>
    <s v="PMR"/>
    <s v="MHS"/>
    <s v="CL024"/>
    <x v="1"/>
    <x v="3"/>
    <d v="1899-12-30T12:00:00"/>
    <d v="1899-12-30T11:59:00"/>
    <d v="1899-12-30T12:36:00"/>
    <n v="30"/>
    <n v="120"/>
    <s v="No"/>
    <n v="4"/>
    <s v="Patient requested appointment"/>
    <s v="appointment_export_2026_01.csv"/>
    <n v="0"/>
    <n v="0"/>
    <x v="3"/>
    <s v="Central"/>
    <s v="Mereana Thompson"/>
    <s v="Regional"/>
    <s v="Mon-Fri 08:30-17:00"/>
    <x v="2"/>
    <n v="14"/>
    <n v="120"/>
    <s v="Behavioural health"/>
    <s v="Mental Health Clinician"/>
    <s v="Matched"/>
    <n v="11"/>
    <n v="1"/>
    <n v="37"/>
    <n v="0"/>
    <n v="1"/>
    <n v="0"/>
    <n v="1"/>
    <n v="0"/>
    <s v="Matches Standard"/>
    <x v="0"/>
    <n v="2026"/>
    <n v="1"/>
    <s v="Jan"/>
  </r>
  <r>
    <s v="APT-202601-0040"/>
    <d v="2026-01-12T00:00:00"/>
    <d v="2025-11-23T00:00:00"/>
    <s v="P0090"/>
    <s v="HAM"/>
    <s v="CAR"/>
    <s v="CL020"/>
    <x v="1"/>
    <x v="0"/>
    <d v="1899-12-30T14:00:00"/>
    <d v="1899-12-30T14:11:00"/>
    <d v="1899-12-30T14:38:00"/>
    <n v="30"/>
    <n v="150"/>
    <s v="No"/>
    <n v="4"/>
    <s v="Follow-up visit"/>
    <s v="appointment_export_2026_01.csv"/>
    <n v="0"/>
    <n v="0"/>
    <x v="1"/>
    <s v="Midland"/>
    <s v="Daniel Wong"/>
    <s v="Urban"/>
    <s v="Mon-Fri 08:00-17:30"/>
    <x v="4"/>
    <n v="28"/>
    <n v="150"/>
    <s v="Specialist outpatient"/>
    <s v="Cardiology Clinician"/>
    <s v="Matched"/>
    <n v="50"/>
    <n v="0"/>
    <n v="27"/>
    <n v="1"/>
    <n v="1"/>
    <n v="0"/>
    <n v="1"/>
    <n v="0"/>
    <s v="Matches Standard"/>
    <x v="0"/>
    <n v="2026"/>
    <n v="1"/>
    <s v="Jan"/>
  </r>
  <r>
    <s v="APT-202601-0041"/>
    <d v="2026-01-04T00:00:00"/>
    <d v="2025-12-19T00:00:00"/>
    <s v="P0190"/>
    <s v="PMR"/>
    <s v="CAR"/>
    <s v="CL030"/>
    <x v="2"/>
    <x v="1"/>
    <d v="1899-12-30T13:00:00"/>
    <m/>
    <m/>
    <n v="0"/>
    <n v="150"/>
    <s v="No"/>
    <m/>
    <s v="Care plan review"/>
    <s v="appointment_export_2026_01.csv"/>
    <n v="0"/>
    <n v="0"/>
    <x v="3"/>
    <s v="Central"/>
    <s v="Mereana Thompson"/>
    <s v="Regional"/>
    <s v="Mon-Fri 08:30-17:00"/>
    <x v="4"/>
    <n v="28"/>
    <n v="150"/>
    <s v="Specialist outpatient"/>
    <s v="Cardiology Clinician"/>
    <s v="Matched"/>
    <n v="16"/>
    <n v="1"/>
    <m/>
    <m/>
    <n v="1"/>
    <n v="1"/>
    <n v="1"/>
    <n v="0"/>
    <s v="Matches Standard"/>
    <x v="0"/>
    <n v="2026"/>
    <n v="1"/>
    <s v="Jan"/>
  </r>
  <r>
    <s v="APT-202601-0042"/>
    <d v="2026-01-28T00:00:00"/>
    <d v="2025-12-08T00:00:00"/>
    <s v="P0237"/>
    <s v="AUC"/>
    <s v="MHS"/>
    <s v="CL003"/>
    <x v="1"/>
    <x v="1"/>
    <d v="1899-12-30T13:30:00"/>
    <d v="1899-12-30T13:40:00"/>
    <d v="1899-12-30T13:31:00"/>
    <n v="45"/>
    <n v="120"/>
    <s v="No"/>
    <n v="4"/>
    <s v="Care plan review"/>
    <s v="appointment_export_2026_01.csv"/>
    <n v="0"/>
    <n v="0"/>
    <x v="2"/>
    <s v="Northern"/>
    <s v="Aroha Rangi"/>
    <s v="Urban"/>
    <s v="Mon-Fri 08:00-18:00"/>
    <x v="2"/>
    <n v="14"/>
    <n v="120"/>
    <s v="Behavioural health"/>
    <s v="Mental Health Clinician"/>
    <s v="Matched"/>
    <n v="51"/>
    <n v="0"/>
    <m/>
    <m/>
    <n v="1"/>
    <n v="0"/>
    <n v="1"/>
    <n v="0"/>
    <s v="Matches Standard"/>
    <x v="0"/>
    <n v="2026"/>
    <n v="1"/>
    <s v="Jan"/>
  </r>
  <r>
    <s v="APT-202601-0043"/>
    <d v="2026-01-28T00:00:00"/>
    <d v="2025-12-12T00:00:00"/>
    <s v="P0228"/>
    <s v="HAM"/>
    <s v="PHY"/>
    <s v="CL016"/>
    <x v="2"/>
    <x v="0"/>
    <d v="1899-12-30T09:00:00"/>
    <m/>
    <m/>
    <n v="0"/>
    <n v="95"/>
    <s v="No"/>
    <m/>
    <s v="Patient requested appointment"/>
    <s v="appointment_export_2026_01.csv"/>
    <n v="0"/>
    <n v="0"/>
    <x v="1"/>
    <s v="Midland"/>
    <s v="Daniel Wong"/>
    <s v="Urban"/>
    <s v="Mon-Fri 08:00-17:30"/>
    <x v="0"/>
    <n v="21"/>
    <n v="95"/>
    <s v="Rehabilitation"/>
    <s v="Physiotherapist"/>
    <s v="Matched"/>
    <n v="47"/>
    <n v="0"/>
    <m/>
    <m/>
    <n v="1"/>
    <n v="1"/>
    <n v="1"/>
    <n v="0"/>
    <s v="Matches Standard"/>
    <x v="0"/>
    <n v="2026"/>
    <n v="1"/>
    <s v="Jan"/>
  </r>
  <r>
    <s v="APT-202601-0044"/>
    <d v="2026-01-01T00:00:00"/>
    <d v="2025-11-24T00:00:00"/>
    <s v="P0013"/>
    <s v="HAM"/>
    <s v="DIA"/>
    <s v="CL017"/>
    <x v="1"/>
    <x v="2"/>
    <d v="1899-12-30T11:00:00"/>
    <d v="1899-12-30T11:09:00"/>
    <d v="1899-12-30T11:04:00"/>
    <n v="30"/>
    <n v="80"/>
    <s v="No"/>
    <n v="4"/>
    <s v="Follow-up visit"/>
    <s v="appointment_export_2026_01.csv"/>
    <n v="0"/>
    <n v="0"/>
    <x v="1"/>
    <s v="Midland"/>
    <s v="Daniel Wong"/>
    <s v="Urban"/>
    <s v="Mon-Fri 08:00-17:30"/>
    <x v="3"/>
    <n v="10"/>
    <n v="80"/>
    <s v="Long-term conditions"/>
    <s v="Diabetes Nurse"/>
    <s v="Matched"/>
    <n v="38"/>
    <n v="0"/>
    <m/>
    <m/>
    <n v="1"/>
    <n v="0"/>
    <n v="1"/>
    <n v="0"/>
    <s v="Matches Standard"/>
    <x v="0"/>
    <n v="2026"/>
    <n v="1"/>
    <s v="Jan"/>
  </r>
  <r>
    <s v="APT-202601-0045"/>
    <d v="2026-01-31T00:00:00"/>
    <d v="2025-12-09T00:00:00"/>
    <s v="P0113"/>
    <s v="HAM"/>
    <s v="PHY"/>
    <s v="CL016"/>
    <x v="1"/>
    <x v="3"/>
    <d v="1899-12-30T16:00:00"/>
    <d v="1899-12-30T16:00:00"/>
    <d v="1899-12-30T16:39:00"/>
    <n v="30"/>
    <n v="95"/>
    <s v="Yes"/>
    <n v="2"/>
    <s v="Patient requested appointment"/>
    <s v="appointment_export_2026_01.csv"/>
    <n v="0"/>
    <n v="0"/>
    <x v="1"/>
    <s v="Midland"/>
    <s v="Daniel Wong"/>
    <s v="Urban"/>
    <s v="Mon-Fri 08:00-17:30"/>
    <x v="0"/>
    <n v="21"/>
    <n v="95"/>
    <s v="Rehabilitation"/>
    <s v="Physiotherapist"/>
    <s v="Matched"/>
    <n v="53"/>
    <n v="0"/>
    <n v="39"/>
    <n v="0"/>
    <n v="1"/>
    <n v="0"/>
    <n v="1"/>
    <n v="0"/>
    <s v="Matches Standard"/>
    <x v="0"/>
    <n v="2026"/>
    <n v="1"/>
    <s v="Jan"/>
  </r>
  <r>
    <s v="APT-202601-0046"/>
    <d v="2026-01-04T00:00:00"/>
    <d v="2025-12-06T00:00:00"/>
    <s v="P0208"/>
    <s v="HAM"/>
    <s v="DIA"/>
    <s v="CL017"/>
    <x v="0"/>
    <x v="2"/>
    <d v="1899-12-30T12:00:00"/>
    <m/>
    <m/>
    <n v="0"/>
    <n v="80"/>
    <s v="No"/>
    <m/>
    <s v="Routine review"/>
    <s v="appointment_export_2026_01.csv"/>
    <n v="0"/>
    <n v="0"/>
    <x v="1"/>
    <s v="Midland"/>
    <s v="Daniel Wong"/>
    <s v="Urban"/>
    <s v="Mon-Fri 08:00-17:30"/>
    <x v="3"/>
    <n v="10"/>
    <n v="80"/>
    <s v="Long-term conditions"/>
    <s v="Diabetes Nurse"/>
    <s v="Matched"/>
    <n v="29"/>
    <n v="0"/>
    <m/>
    <m/>
    <n v="0"/>
    <m/>
    <n v="1"/>
    <n v="0"/>
    <s v="Matches Standard"/>
    <x v="0"/>
    <n v="2026"/>
    <n v="1"/>
    <s v="Jan"/>
  </r>
  <r>
    <s v="APT-202601-0047"/>
    <d v="2026-01-05T00:00:00"/>
    <d v="2025-12-04T00:00:00"/>
    <s v="P0104"/>
    <s v="PMR"/>
    <s v="CAR"/>
    <s v="CL030"/>
    <x v="1"/>
    <x v="1"/>
    <d v="1899-12-30T11:00:00"/>
    <d v="1899-12-30T11:09:00"/>
    <d v="1899-12-30T11:24:00"/>
    <n v="60"/>
    <n v="150"/>
    <s v="No"/>
    <n v="3"/>
    <s v="Care plan review"/>
    <s v="appointment_export_2026_01.csv"/>
    <n v="0"/>
    <n v="0"/>
    <x v="3"/>
    <s v="Central"/>
    <s v="Mereana Thompson"/>
    <s v="Regional"/>
    <s v="Mon-Fri 08:30-17:00"/>
    <x v="4"/>
    <n v="28"/>
    <n v="150"/>
    <s v="Specialist outpatient"/>
    <s v="Cardiology Clinician"/>
    <s v="Matched"/>
    <n v="32"/>
    <n v="0"/>
    <n v="15"/>
    <n v="1"/>
    <n v="1"/>
    <n v="0"/>
    <n v="1"/>
    <n v="0"/>
    <s v="Matches Standard"/>
    <x v="0"/>
    <n v="2026"/>
    <n v="1"/>
    <s v="Jan"/>
  </r>
  <r>
    <s v="APT-202601-0048"/>
    <d v="2026-01-23T00:00:00"/>
    <d v="2026-01-08T00:00:00"/>
    <s v="P0050"/>
    <s v="AUC"/>
    <s v="MHS"/>
    <s v="CL004"/>
    <x v="2"/>
    <x v="2"/>
    <d v="1899-12-30T14:30:00"/>
    <m/>
    <m/>
    <n v="0"/>
    <n v="120"/>
    <s v="No"/>
    <m/>
    <s v="Care plan review"/>
    <s v="appointment_export_2026_01.csv"/>
    <n v="0"/>
    <n v="0"/>
    <x v="2"/>
    <s v="Northern"/>
    <s v="Aroha Rangi"/>
    <s v="Urban"/>
    <s v="Mon-Fri 08:00-18:00"/>
    <x v="2"/>
    <n v="14"/>
    <n v="120"/>
    <s v="Behavioural health"/>
    <s v="Mental Health Clinician"/>
    <s v="Matched"/>
    <n v="15"/>
    <n v="0"/>
    <m/>
    <m/>
    <n v="1"/>
    <n v="1"/>
    <n v="1"/>
    <n v="0"/>
    <s v="Matches Standard"/>
    <x v="0"/>
    <n v="2026"/>
    <n v="1"/>
    <s v="Jan"/>
  </r>
  <r>
    <s v="APT-202601-0049"/>
    <d v="2026-01-16T00:00:00"/>
    <d v="2025-12-08T00:00:00"/>
    <s v="P0157"/>
    <s v="PMR"/>
    <s v="DIA"/>
    <s v="CL027"/>
    <x v="1"/>
    <x v="3"/>
    <d v="1899-12-30T15:00:00"/>
    <d v="1899-12-30T14:55:00"/>
    <d v="1899-12-30T15:23:00"/>
    <n v="30"/>
    <n v="80"/>
    <s v="Yes"/>
    <n v="4"/>
    <s v="New referral"/>
    <s v="appointment_export_2026_01.csv"/>
    <n v="0"/>
    <n v="0"/>
    <x v="3"/>
    <s v="Central"/>
    <s v="Mereana Thompson"/>
    <s v="Regional"/>
    <s v="Mon-Fri 08:30-17:00"/>
    <x v="3"/>
    <n v="10"/>
    <n v="80"/>
    <s v="Long-term conditions"/>
    <s v="Diabetes Nurse"/>
    <s v="Matched"/>
    <n v="39"/>
    <n v="0"/>
    <n v="28"/>
    <n v="1"/>
    <n v="1"/>
    <n v="0"/>
    <n v="1"/>
    <n v="0"/>
    <s v="Matches Standard"/>
    <x v="0"/>
    <n v="2026"/>
    <n v="1"/>
    <s v="Jan"/>
  </r>
  <r>
    <s v="APT-202601-0050"/>
    <d v="2026-01-10T00:00:00"/>
    <d v="2025-12-07T00:00:00"/>
    <s v="P0139"/>
    <s v="HAM"/>
    <s v="CAR"/>
    <s v="CL019"/>
    <x v="1"/>
    <x v="0"/>
    <d v="1899-12-30T10:00:00"/>
    <d v="1899-12-30T10:05:00"/>
    <d v="1899-12-30T10:34:00"/>
    <n v="30"/>
    <n v="150"/>
    <s v="No"/>
    <n v="4"/>
    <s v="Patient requested appointment"/>
    <s v="appointment_export_2026_01.csv"/>
    <n v="0"/>
    <n v="0"/>
    <x v="1"/>
    <s v="Midland"/>
    <s v="Daniel Wong"/>
    <s v="Urban"/>
    <s v="Mon-Fri 08:00-17:30"/>
    <x v="4"/>
    <n v="28"/>
    <n v="150"/>
    <s v="Specialist outpatient"/>
    <s v="Cardiology Clinician"/>
    <s v="Matched"/>
    <n v="34"/>
    <n v="0"/>
    <n v="29"/>
    <n v="1"/>
    <n v="1"/>
    <n v="0"/>
    <n v="1"/>
    <n v="0"/>
    <s v="Matches Standard"/>
    <x v="0"/>
    <n v="2026"/>
    <n v="1"/>
    <s v="Jan"/>
  </r>
  <r>
    <s v="APT-202601-0051"/>
    <d v="2026-01-21T00:00:00"/>
    <d v="2026-01-19T00:00:00"/>
    <s v="P0076"/>
    <s v="HAM"/>
    <s v="MHS"/>
    <s v="CL014"/>
    <x v="0"/>
    <x v="0"/>
    <d v="1899-12-30T15:30:00"/>
    <m/>
    <m/>
    <n v="0"/>
    <n v="120"/>
    <s v="No"/>
    <m/>
    <s v="Patient requested appointment"/>
    <s v="appointment_export_2026_01.csv"/>
    <n v="0"/>
    <n v="0"/>
    <x v="1"/>
    <s v="Midland"/>
    <s v="Daniel Wong"/>
    <s v="Urban"/>
    <s v="Mon-Fri 08:00-17:30"/>
    <x v="2"/>
    <n v="14"/>
    <n v="120"/>
    <s v="Behavioural health"/>
    <s v="Mental Health Clinician"/>
    <s v="Matched"/>
    <n v="2"/>
    <n v="1"/>
    <m/>
    <m/>
    <n v="0"/>
    <m/>
    <n v="1"/>
    <n v="0"/>
    <s v="Matches Standard"/>
    <x v="0"/>
    <n v="2026"/>
    <n v="1"/>
    <s v="Jan"/>
  </r>
  <r>
    <s v="APT-202601-0052"/>
    <d v="2026-01-19T00:00:00"/>
    <d v="2025-12-28T00:00:00"/>
    <s v="P0210"/>
    <s v="WLG"/>
    <s v="DIA"/>
    <s v="CL038"/>
    <x v="1"/>
    <x v="0"/>
    <d v="1899-12-30T09:00:00"/>
    <d v="1899-12-30T09:12:00"/>
    <d v="1899-12-30T09:01:00"/>
    <n v="30"/>
    <n v="80"/>
    <s v="No"/>
    <n v="5"/>
    <s v="Care plan review"/>
    <s v="appointment_export_2026_01.csv"/>
    <n v="0"/>
    <n v="0"/>
    <x v="0"/>
    <s v="Central"/>
    <s v="Sophie Martin"/>
    <s v="Urban"/>
    <s v="Mon-Sat 08:00-18:00"/>
    <x v="3"/>
    <n v="10"/>
    <n v="80"/>
    <s v="Long-term conditions"/>
    <s v="Diabetes Nurse"/>
    <s v="Matched"/>
    <n v="22"/>
    <n v="0"/>
    <m/>
    <m/>
    <n v="1"/>
    <n v="0"/>
    <n v="1"/>
    <n v="0"/>
    <s v="Matches Standard"/>
    <x v="0"/>
    <n v="2026"/>
    <n v="1"/>
    <s v="Jan"/>
  </r>
  <r>
    <s v="APT-202601-0053"/>
    <d v="2026-01-19T00:00:00"/>
    <d v="2025-11-30T00:00:00"/>
    <s v="P0099"/>
    <s v="HAM"/>
    <s v="CAR"/>
    <s v="CL019"/>
    <x v="1"/>
    <x v="1"/>
    <d v="1899-12-30T11:30:00"/>
    <d v="1899-12-30T11:29:00"/>
    <d v="1899-12-30T11:37:00"/>
    <n v="60"/>
    <n v="150"/>
    <s v="No"/>
    <n v="5"/>
    <s v="Patient requested appointment"/>
    <s v="appointment_export_2026_01.csv"/>
    <n v="0"/>
    <n v="0"/>
    <x v="1"/>
    <s v="Midland"/>
    <s v="Daniel Wong"/>
    <s v="Urban"/>
    <s v="Mon-Fri 08:00-17:30"/>
    <x v="4"/>
    <n v="28"/>
    <n v="150"/>
    <s v="Specialist outpatient"/>
    <s v="Cardiology Clinician"/>
    <s v="Matched"/>
    <n v="50"/>
    <n v="0"/>
    <n v="8"/>
    <n v="1"/>
    <n v="1"/>
    <n v="0"/>
    <n v="1"/>
    <n v="0"/>
    <s v="Matches Standard"/>
    <x v="0"/>
    <n v="2026"/>
    <n v="1"/>
    <s v="Jan"/>
  </r>
  <r>
    <s v="APT-202601-0054"/>
    <d v="2026-01-17T00:00:00"/>
    <d v="2025-12-07T00:00:00"/>
    <s v="P0182"/>
    <s v="AUC"/>
    <s v="CAR"/>
    <s v="CL009"/>
    <x v="1"/>
    <x v="2"/>
    <d v="1899-12-30T10:30:00"/>
    <d v="1899-12-30T10:23:00"/>
    <d v="1899-12-30T10:42:00"/>
    <n v="60"/>
    <n v="150"/>
    <s v="Yes"/>
    <n v="2"/>
    <s v="Routine review"/>
    <s v="appointment_export_2026_01.csv"/>
    <n v="0"/>
    <n v="0"/>
    <x v="2"/>
    <s v="Northern"/>
    <s v="Aroha Rangi"/>
    <s v="Urban"/>
    <s v="Mon-Fri 08:00-18:00"/>
    <x v="4"/>
    <n v="28"/>
    <n v="150"/>
    <s v="Specialist outpatient"/>
    <s v="Cardiology Clinician"/>
    <s v="Matched"/>
    <n v="41"/>
    <n v="0"/>
    <n v="19"/>
    <n v="1"/>
    <n v="1"/>
    <n v="0"/>
    <n v="1"/>
    <n v="0"/>
    <s v="Matches Standard"/>
    <x v="0"/>
    <n v="2026"/>
    <n v="1"/>
    <s v="Jan"/>
  </r>
  <r>
    <s v="APT-202601-0055"/>
    <d v="2026-01-26T00:00:00"/>
    <d v="2025-12-30T00:00:00"/>
    <s v="P0104"/>
    <s v="HAM"/>
    <s v="MHS"/>
    <s v="CL013"/>
    <x v="1"/>
    <x v="2"/>
    <d v="1899-12-30T13:00:00"/>
    <d v="1899-12-30T13:06:00"/>
    <d v="1899-12-30T13:27:00"/>
    <n v="20"/>
    <n v="120"/>
    <s v="No"/>
    <n v="2"/>
    <s v="Patient requested appointment"/>
    <s v="appointment_export_2026_01.csv"/>
    <n v="0"/>
    <n v="0"/>
    <x v="1"/>
    <s v="Midland"/>
    <s v="Daniel Wong"/>
    <s v="Urban"/>
    <s v="Mon-Fri 08:00-17:30"/>
    <x v="2"/>
    <n v="14"/>
    <n v="120"/>
    <s v="Behavioural health"/>
    <s v="Mental Health Clinician"/>
    <s v="Matched"/>
    <n v="27"/>
    <n v="0"/>
    <n v="21"/>
    <n v="1"/>
    <n v="1"/>
    <n v="0"/>
    <n v="1"/>
    <n v="0"/>
    <s v="Matches Standard"/>
    <x v="0"/>
    <n v="2026"/>
    <n v="1"/>
    <s v="Jan"/>
  </r>
  <r>
    <s v="APT-202601-0056"/>
    <d v="2026-01-31T00:00:00"/>
    <d v="2026-01-18T00:00:00"/>
    <s v="P0212"/>
    <s v="HAM"/>
    <s v="DIA"/>
    <s v="CL018"/>
    <x v="1"/>
    <x v="0"/>
    <d v="1899-12-30T09:00:00"/>
    <d v="1899-12-30T09:11:00"/>
    <d v="1899-12-30T09:35:00"/>
    <n v="30"/>
    <n v="80"/>
    <s v="No"/>
    <n v="2"/>
    <s v="Care plan review"/>
    <s v="appointment_export_2026_01.csv"/>
    <n v="0"/>
    <n v="0"/>
    <x v="1"/>
    <s v="Midland"/>
    <s v="Daniel Wong"/>
    <s v="Urban"/>
    <s v="Mon-Fri 08:00-17:30"/>
    <x v="3"/>
    <n v="10"/>
    <n v="80"/>
    <s v="Long-term conditions"/>
    <s v="Diabetes Nurse"/>
    <s v="Matched"/>
    <n v="13"/>
    <n v="0"/>
    <n v="24"/>
    <n v="1"/>
    <n v="1"/>
    <n v="0"/>
    <n v="1"/>
    <n v="0"/>
    <s v="Matches Standard"/>
    <x v="0"/>
    <n v="2026"/>
    <n v="1"/>
    <s v="Jan"/>
  </r>
  <r>
    <s v="APT-202601-0057"/>
    <d v="2026-01-15T00:00:00"/>
    <d v="2025-12-27T00:00:00"/>
    <s v="P0052"/>
    <s v="PMR"/>
    <s v="MHS"/>
    <s v="CL023"/>
    <x v="1"/>
    <x v="3"/>
    <d v="1899-12-30T14:00:00"/>
    <d v="1899-12-30T13:50:00"/>
    <d v="1899-12-30T14:24:00"/>
    <n v="30"/>
    <n v="120"/>
    <s v="No"/>
    <n v="5"/>
    <s v="Follow-up visit"/>
    <s v="appointment_export_2026_01.csv"/>
    <n v="0"/>
    <n v="0"/>
    <x v="3"/>
    <s v="Central"/>
    <s v="Mereana Thompson"/>
    <s v="Regional"/>
    <s v="Mon-Fri 08:30-17:00"/>
    <x v="2"/>
    <n v="14"/>
    <n v="120"/>
    <s v="Behavioural health"/>
    <s v="Mental Health Clinician"/>
    <s v="Matched"/>
    <n v="19"/>
    <n v="0"/>
    <n v="34"/>
    <n v="0"/>
    <n v="1"/>
    <n v="0"/>
    <n v="1"/>
    <n v="0"/>
    <s v="Matches Standard"/>
    <x v="0"/>
    <n v="2026"/>
    <n v="1"/>
    <s v="Jan"/>
  </r>
  <r>
    <s v="APT-202601-0058"/>
    <d v="2026-01-28T00:00:00"/>
    <d v="2026-01-10T00:00:00"/>
    <s v="P0172"/>
    <s v="PMR"/>
    <s v="GEN"/>
    <s v="CL022"/>
    <x v="1"/>
    <x v="2"/>
    <d v="1899-12-30T12:30:00"/>
    <d v="1899-12-30T12:29:00"/>
    <d v="1899-12-30T12:43:00"/>
    <n v="30"/>
    <n v="65"/>
    <s v="No"/>
    <n v="4"/>
    <s v="Patient requested appointment"/>
    <s v="appointment_export_2026_01.csv"/>
    <n v="0"/>
    <n v="0"/>
    <x v="3"/>
    <s v="Central"/>
    <s v="Mereana Thompson"/>
    <s v="Regional"/>
    <s v="Mon-Fri 08:30-17:00"/>
    <x v="1"/>
    <n v="7"/>
    <n v="65"/>
    <s v="Primary care"/>
    <s v="Doctor or Nurse Practitioner"/>
    <s v="Matched"/>
    <n v="18"/>
    <n v="0"/>
    <n v="14"/>
    <n v="1"/>
    <n v="1"/>
    <n v="0"/>
    <n v="1"/>
    <n v="0"/>
    <s v="Matches Standard"/>
    <x v="0"/>
    <n v="2026"/>
    <n v="1"/>
    <s v="Jan"/>
  </r>
  <r>
    <s v="APT-202601-0059"/>
    <d v="2026-01-07T00:00:00"/>
    <d v="2025-12-03T00:00:00"/>
    <s v="P0014"/>
    <s v="WLG"/>
    <s v="GEN"/>
    <s v="CL032"/>
    <x v="2"/>
    <x v="1"/>
    <d v="1899-12-30T11:30:00"/>
    <m/>
    <m/>
    <n v="0"/>
    <n v="65"/>
    <s v="No"/>
    <m/>
    <s v="Follow-up visit"/>
    <s v="appointment_export_2026_01.csv"/>
    <n v="0"/>
    <n v="0"/>
    <x v="0"/>
    <s v="Central"/>
    <s v="Sophie Martin"/>
    <s v="Urban"/>
    <s v="Mon-Sat 08:00-18:00"/>
    <x v="1"/>
    <n v="7"/>
    <n v="65"/>
    <s v="Primary care"/>
    <s v="Doctor or Nurse Practitioner"/>
    <s v="Matched"/>
    <n v="35"/>
    <n v="0"/>
    <m/>
    <m/>
    <n v="1"/>
    <n v="1"/>
    <n v="1"/>
    <n v="0"/>
    <s v="Matches Standard"/>
    <x v="0"/>
    <n v="2026"/>
    <n v="1"/>
    <s v="Jan"/>
  </r>
  <r>
    <s v="APT-202601-0060"/>
    <d v="2026-01-01T00:00:00"/>
    <d v="2025-12-12T00:00:00"/>
    <s v="P0185"/>
    <s v="WLG"/>
    <s v="PHY"/>
    <s v="CL035"/>
    <x v="0"/>
    <x v="0"/>
    <d v="1899-12-30T10:00:00"/>
    <m/>
    <m/>
    <n v="0"/>
    <n v="95"/>
    <s v="No"/>
    <m/>
    <s v="Patient requested appointment"/>
    <s v="appointment_export_2026_01.csv"/>
    <n v="0"/>
    <n v="0"/>
    <x v="0"/>
    <s v="Central"/>
    <s v="Sophie Martin"/>
    <s v="Urban"/>
    <s v="Mon-Sat 08:00-18:00"/>
    <x v="0"/>
    <n v="21"/>
    <n v="95"/>
    <s v="Rehabilitation"/>
    <s v="Physiotherapist"/>
    <s v="Matched"/>
    <n v="20"/>
    <n v="1"/>
    <m/>
    <m/>
    <n v="0"/>
    <m/>
    <n v="1"/>
    <n v="0"/>
    <s v="Matches Standard"/>
    <x v="0"/>
    <n v="2026"/>
    <n v="1"/>
    <s v="Jan"/>
  </r>
  <r>
    <s v="APT-202601-0061"/>
    <d v="2026-01-12T00:00:00"/>
    <d v="2025-12-19T00:00:00"/>
    <s v="P0176"/>
    <s v="HAM"/>
    <s v="GEN"/>
    <s v="CL011"/>
    <x v="0"/>
    <x v="1"/>
    <d v="1899-12-30T08:00:00"/>
    <m/>
    <m/>
    <n v="0"/>
    <n v="65"/>
    <s v="No"/>
    <m/>
    <s v="Care plan review"/>
    <s v="appointment_export_2026_01.csv"/>
    <n v="0"/>
    <n v="0"/>
    <x v="1"/>
    <s v="Midland"/>
    <s v="Daniel Wong"/>
    <s v="Urban"/>
    <s v="Mon-Fri 08:00-17:30"/>
    <x v="1"/>
    <n v="7"/>
    <n v="65"/>
    <s v="Primary care"/>
    <s v="Doctor or Nurse Practitioner"/>
    <s v="Matched"/>
    <n v="24"/>
    <n v="0"/>
    <m/>
    <m/>
    <n v="0"/>
    <m/>
    <n v="1"/>
    <n v="0"/>
    <s v="Matches Standard"/>
    <x v="0"/>
    <n v="2026"/>
    <n v="1"/>
    <s v="Jan"/>
  </r>
  <r>
    <s v="APT-202601-0062"/>
    <d v="2026-01-30T00:00:00"/>
    <d v="2025-12-21T00:00:00"/>
    <s v="P0017"/>
    <s v="AUC"/>
    <s v="GEN"/>
    <s v="CL001"/>
    <x v="1"/>
    <x v="1"/>
    <d v="1899-12-30T09:00:00"/>
    <d v="1899-12-30T09:12:00"/>
    <d v="1899-12-30T09:12:00"/>
    <n v="30"/>
    <n v="65"/>
    <s v="Yes"/>
    <n v="2"/>
    <s v="Patient requested appointment"/>
    <s v="appointment_export_2026_01.csv"/>
    <n v="0"/>
    <n v="0"/>
    <x v="2"/>
    <s v="Northern"/>
    <s v="Aroha Rangi"/>
    <s v="Urban"/>
    <s v="Mon-Fri 08:00-18:00"/>
    <x v="1"/>
    <n v="7"/>
    <n v="65"/>
    <s v="Primary care"/>
    <s v="Doctor or Nurse Practitioner"/>
    <s v="Matched"/>
    <n v="40"/>
    <n v="0"/>
    <n v="0"/>
    <n v="1"/>
    <n v="1"/>
    <n v="0"/>
    <n v="1"/>
    <n v="0"/>
    <s v="Matches Standard"/>
    <x v="0"/>
    <n v="2026"/>
    <n v="1"/>
    <s v="Jan"/>
  </r>
  <r>
    <s v="APT-202601-0063"/>
    <d v="2026-01-24T00:00:00"/>
    <d v="2025-12-28T00:00:00"/>
    <s v="P0151"/>
    <s v="AUC"/>
    <s v="CAR"/>
    <s v="CL010"/>
    <x v="1"/>
    <x v="0"/>
    <d v="1899-12-30T11:00:00"/>
    <d v="1899-12-30T11:06:00"/>
    <d v="1899-12-30T11:19:00"/>
    <n v="45"/>
    <n v="150"/>
    <s v="No"/>
    <n v="4"/>
    <s v="Patient requested appointment"/>
    <s v="appointment_export_2026_01.csv"/>
    <n v="0"/>
    <n v="0"/>
    <x v="2"/>
    <s v="Northern"/>
    <s v="Aroha Rangi"/>
    <s v="Urban"/>
    <s v="Mon-Fri 08:00-18:00"/>
    <x v="4"/>
    <n v="28"/>
    <n v="150"/>
    <s v="Specialist outpatient"/>
    <s v="Cardiology Clinician"/>
    <s v="Matched"/>
    <n v="27"/>
    <n v="1"/>
    <n v="13"/>
    <n v="1"/>
    <n v="1"/>
    <n v="0"/>
    <n v="1"/>
    <n v="0"/>
    <s v="Matches Standard"/>
    <x v="0"/>
    <n v="2026"/>
    <n v="1"/>
    <s v="Jan"/>
  </r>
  <r>
    <s v="APT-202601-0064"/>
    <d v="2026-01-19T00:00:00"/>
    <d v="2025-12-15T00:00:00"/>
    <s v="P0160"/>
    <s v="AUC"/>
    <s v="PHY"/>
    <s v="CL005"/>
    <x v="2"/>
    <x v="0"/>
    <d v="1899-12-30T11:00:00"/>
    <m/>
    <m/>
    <n v="0"/>
    <n v="95"/>
    <s v="No"/>
    <m/>
    <s v="Patient requested appointment"/>
    <s v="appointment_export_2026_01.csv"/>
    <n v="0"/>
    <n v="0"/>
    <x v="2"/>
    <s v="Northern"/>
    <s v="Aroha Rangi"/>
    <s v="Urban"/>
    <s v="Mon-Fri 08:00-18:00"/>
    <x v="0"/>
    <n v="21"/>
    <n v="95"/>
    <s v="Rehabilitation"/>
    <s v="Physiotherapist"/>
    <s v="Matched"/>
    <n v="35"/>
    <n v="0"/>
    <m/>
    <m/>
    <n v="1"/>
    <n v="1"/>
    <n v="1"/>
    <n v="0"/>
    <s v="Matches Standard"/>
    <x v="0"/>
    <n v="2026"/>
    <n v="1"/>
    <s v="Jan"/>
  </r>
  <r>
    <s v="APT-202601-0065"/>
    <d v="2026-01-01T00:00:00"/>
    <d v="2025-12-17T00:00:00"/>
    <s v="P0155"/>
    <s v="AUC"/>
    <s v="CAR"/>
    <s v="CL010"/>
    <x v="1"/>
    <x v="2"/>
    <d v="1899-12-30T10:00:00"/>
    <d v="1899-12-30T10:12:00"/>
    <d v="1899-12-30T10:38:00"/>
    <n v="60"/>
    <n v="150"/>
    <s v="No"/>
    <n v="2"/>
    <s v="Routine review"/>
    <s v="appointment_export_2026_01.csv"/>
    <n v="0"/>
    <n v="0"/>
    <x v="2"/>
    <s v="Northern"/>
    <s v="Aroha Rangi"/>
    <s v="Urban"/>
    <s v="Mon-Fri 08:00-18:00"/>
    <x v="4"/>
    <n v="28"/>
    <n v="150"/>
    <s v="Specialist outpatient"/>
    <s v="Cardiology Clinician"/>
    <s v="Matched"/>
    <n v="15"/>
    <n v="1"/>
    <n v="26"/>
    <n v="1"/>
    <n v="1"/>
    <n v="0"/>
    <n v="1"/>
    <n v="0"/>
    <s v="Matches Standard"/>
    <x v="0"/>
    <n v="2026"/>
    <n v="1"/>
    <s v="Jan"/>
  </r>
  <r>
    <s v="APT-202601-0066"/>
    <d v="2026-01-17T00:00:00"/>
    <d v="2025-12-08T00:00:00"/>
    <s v="P0022"/>
    <s v="HAM"/>
    <s v="GEN"/>
    <s v="CL011"/>
    <x v="1"/>
    <x v="0"/>
    <d v="1899-12-30T15:00:00"/>
    <d v="1899-12-30T15:15:00"/>
    <d v="1899-12-30T15:05:00"/>
    <n v="20"/>
    <n v="65"/>
    <s v="No"/>
    <n v="4"/>
    <s v="Care plan review"/>
    <s v="appointment_export_2026_01.csv"/>
    <n v="0"/>
    <n v="0"/>
    <x v="1"/>
    <s v="Midland"/>
    <s v="Daniel Wong"/>
    <s v="Urban"/>
    <s v="Mon-Fri 08:00-17:30"/>
    <x v="1"/>
    <n v="7"/>
    <n v="65"/>
    <s v="Primary care"/>
    <s v="Doctor or Nurse Practitioner"/>
    <s v="Matched"/>
    <n v="40"/>
    <n v="0"/>
    <m/>
    <m/>
    <n v="1"/>
    <n v="0"/>
    <n v="1"/>
    <n v="0"/>
    <s v="Matches Standard"/>
    <x v="0"/>
    <n v="2026"/>
    <n v="1"/>
    <s v="Jan"/>
  </r>
  <r>
    <s v="APT-202601-0067"/>
    <d v="2026-01-15T00:00:00"/>
    <d v="2026-01-14T00:00:00"/>
    <s v="P0225"/>
    <s v="PMR"/>
    <s v="MHS"/>
    <s v="CL023"/>
    <x v="1"/>
    <x v="3"/>
    <d v="1899-12-30T16:00:00"/>
    <d v="1899-12-30T16:12:00"/>
    <d v="1899-12-30T16:28:00"/>
    <n v="45"/>
    <n v="120"/>
    <s v="No"/>
    <n v="2"/>
    <s v="Patient requested appointment"/>
    <s v="appointment_export_2026_01.csv"/>
    <n v="0"/>
    <n v="0"/>
    <x v="3"/>
    <s v="Central"/>
    <s v="Mereana Thompson"/>
    <s v="Regional"/>
    <s v="Mon-Fri 08:30-17:00"/>
    <x v="2"/>
    <n v="14"/>
    <n v="120"/>
    <s v="Behavioural health"/>
    <s v="Mental Health Clinician"/>
    <s v="Matched"/>
    <n v="1"/>
    <n v="1"/>
    <n v="16"/>
    <n v="1"/>
    <n v="1"/>
    <n v="0"/>
    <n v="1"/>
    <n v="0"/>
    <s v="Matches Standard"/>
    <x v="0"/>
    <n v="2026"/>
    <n v="1"/>
    <s v="Jan"/>
  </r>
  <r>
    <s v="APT-202601-0068"/>
    <d v="2026-01-31T00:00:00"/>
    <d v="2025-12-22T00:00:00"/>
    <s v="P0234"/>
    <s v="AUC"/>
    <s v="GEN"/>
    <s v="CL001"/>
    <x v="1"/>
    <x v="1"/>
    <d v="1899-12-30T13:00:00"/>
    <d v="1899-12-30T13:08:00"/>
    <d v="1899-12-30T13:07:00"/>
    <n v="30"/>
    <n v="65"/>
    <s v="No"/>
    <n v="3"/>
    <s v="Routine review"/>
    <s v="appointment_export_2026_01.csv"/>
    <n v="0"/>
    <n v="0"/>
    <x v="2"/>
    <s v="Northern"/>
    <s v="Aroha Rangi"/>
    <s v="Urban"/>
    <s v="Mon-Fri 08:00-18:00"/>
    <x v="1"/>
    <n v="7"/>
    <n v="65"/>
    <s v="Primary care"/>
    <s v="Doctor or Nurse Practitioner"/>
    <s v="Matched"/>
    <n v="40"/>
    <n v="0"/>
    <m/>
    <m/>
    <n v="1"/>
    <n v="0"/>
    <n v="1"/>
    <n v="0"/>
    <s v="Matches Standard"/>
    <x v="0"/>
    <n v="2026"/>
    <n v="1"/>
    <s v="Jan"/>
  </r>
  <r>
    <s v="APT-202601-0069"/>
    <d v="2026-01-04T00:00:00"/>
    <d v="2025-11-14T00:00:00"/>
    <s v="P0121"/>
    <s v="PMR"/>
    <s v="CAR"/>
    <s v="CL029"/>
    <x v="1"/>
    <x v="0"/>
    <d v="1899-12-30T10:00:00"/>
    <d v="1899-12-30T10:17:00"/>
    <d v="1899-12-30T10:31:00"/>
    <n v="20"/>
    <n v="150"/>
    <s v="No"/>
    <n v="5"/>
    <s v="Care plan review"/>
    <s v="appointment_export_2026_01.csv"/>
    <n v="0"/>
    <n v="0"/>
    <x v="3"/>
    <s v="Central"/>
    <s v="Mereana Thompson"/>
    <s v="Regional"/>
    <s v="Mon-Fri 08:30-17:00"/>
    <x v="4"/>
    <n v="28"/>
    <n v="150"/>
    <s v="Specialist outpatient"/>
    <s v="Cardiology Clinician"/>
    <s v="Matched"/>
    <n v="51"/>
    <n v="0"/>
    <n v="14"/>
    <n v="1"/>
    <n v="1"/>
    <n v="0"/>
    <n v="1"/>
    <n v="0"/>
    <s v="Matches Standard"/>
    <x v="0"/>
    <n v="2026"/>
    <n v="1"/>
    <s v="Jan"/>
  </r>
  <r>
    <s v="APT-202601-0070"/>
    <d v="2026-01-28T00:00:00"/>
    <d v="2025-12-16T00:00:00"/>
    <s v="P0145"/>
    <s v="PMR"/>
    <s v="CAR"/>
    <s v="CL029"/>
    <x v="1"/>
    <x v="0"/>
    <d v="1899-12-30T15:30:00"/>
    <d v="1899-12-30T15:45:00"/>
    <d v="1899-12-30T16:02:00"/>
    <n v="60"/>
    <n v="150"/>
    <s v="Yes"/>
    <n v="5"/>
    <s v="New referral"/>
    <s v="appointment_export_2026_01.csv"/>
    <n v="0"/>
    <n v="0"/>
    <x v="3"/>
    <s v="Central"/>
    <s v="Mereana Thompson"/>
    <s v="Regional"/>
    <s v="Mon-Fri 08:30-17:00"/>
    <x v="4"/>
    <n v="28"/>
    <n v="150"/>
    <s v="Specialist outpatient"/>
    <s v="Cardiology Clinician"/>
    <s v="Matched"/>
    <n v="43"/>
    <n v="0"/>
    <n v="17"/>
    <n v="1"/>
    <n v="1"/>
    <n v="0"/>
    <n v="1"/>
    <n v="0"/>
    <s v="Matches Standard"/>
    <x v="0"/>
    <n v="2026"/>
    <n v="1"/>
    <s v="Jan"/>
  </r>
  <r>
    <s v="APT-202601-0071"/>
    <d v="2026-01-24T00:00:00"/>
    <d v="2026-01-15T00:00:00"/>
    <s v="P0192"/>
    <s v="AUC"/>
    <s v="PHY"/>
    <s v="CL005"/>
    <x v="1"/>
    <x v="0"/>
    <d v="1899-12-30T13:30:00"/>
    <d v="1899-12-30T13:36:00"/>
    <d v="1899-12-30T13:39:00"/>
    <n v="20"/>
    <n v="95"/>
    <s v="No"/>
    <n v="2"/>
    <s v="Follow-up visit"/>
    <s v="appointment_export_2026_01.csv"/>
    <n v="0"/>
    <n v="0"/>
    <x v="2"/>
    <s v="Northern"/>
    <s v="Aroha Rangi"/>
    <s v="Urban"/>
    <s v="Mon-Fri 08:00-18:00"/>
    <x v="0"/>
    <n v="21"/>
    <n v="95"/>
    <s v="Rehabilitation"/>
    <s v="Physiotherapist"/>
    <s v="Matched"/>
    <n v="9"/>
    <n v="1"/>
    <n v="3"/>
    <n v="1"/>
    <n v="1"/>
    <n v="0"/>
    <n v="1"/>
    <n v="0"/>
    <s v="Matches Standard"/>
    <x v="0"/>
    <n v="2026"/>
    <n v="1"/>
    <s v="Jan"/>
  </r>
  <r>
    <s v="APT-202601-0072"/>
    <d v="2026-01-16T00:00:00"/>
    <d v="2026-01-02T00:00:00"/>
    <s v="P0159"/>
    <s v="AUC"/>
    <s v="PHY"/>
    <s v="CL005"/>
    <x v="2"/>
    <x v="0"/>
    <d v="1899-12-30T09:30:00"/>
    <m/>
    <m/>
    <n v="0"/>
    <n v="95"/>
    <s v="No"/>
    <m/>
    <s v="Follow-up visit"/>
    <s v="appointment_export_2026_01.csv"/>
    <n v="0"/>
    <n v="0"/>
    <x v="2"/>
    <s v="Northern"/>
    <s v="Aroha Rangi"/>
    <s v="Urban"/>
    <s v="Mon-Fri 08:00-18:00"/>
    <x v="0"/>
    <n v="21"/>
    <n v="95"/>
    <s v="Rehabilitation"/>
    <s v="Physiotherapist"/>
    <s v="Matched"/>
    <n v="14"/>
    <n v="1"/>
    <m/>
    <m/>
    <n v="1"/>
    <n v="1"/>
    <n v="1"/>
    <n v="0"/>
    <s v="Matches Standard"/>
    <x v="0"/>
    <n v="2026"/>
    <n v="1"/>
    <s v="Jan"/>
  </r>
  <r>
    <s v="APT-202601-0073"/>
    <d v="2026-01-22T00:00:00"/>
    <d v="2025-12-31T00:00:00"/>
    <s v="P0055"/>
    <s v="WLG"/>
    <s v="PHY"/>
    <s v="CL036"/>
    <x v="1"/>
    <x v="3"/>
    <d v="1899-12-30T11:30:00"/>
    <d v="1899-12-30T11:31:00"/>
    <d v="1899-12-30T12:09:00"/>
    <n v="60"/>
    <n v="95"/>
    <s v="No"/>
    <n v="5"/>
    <s v="Care plan review"/>
    <s v="appointment_export_2026_01.csv"/>
    <n v="0"/>
    <n v="0"/>
    <x v="0"/>
    <s v="Central"/>
    <s v="Sophie Martin"/>
    <s v="Urban"/>
    <s v="Mon-Sat 08:00-18:00"/>
    <x v="0"/>
    <n v="21"/>
    <n v="95"/>
    <s v="Rehabilitation"/>
    <s v="Physiotherapist"/>
    <s v="Matched"/>
    <n v="22"/>
    <n v="0"/>
    <n v="38"/>
    <n v="0"/>
    <n v="1"/>
    <n v="0"/>
    <n v="1"/>
    <n v="0"/>
    <s v="Matches Standard"/>
    <x v="0"/>
    <n v="2026"/>
    <n v="1"/>
    <s v="Jan"/>
  </r>
  <r>
    <s v="APT-202601-0074"/>
    <d v="2026-01-18T00:00:00"/>
    <d v="2025-12-02T00:00:00"/>
    <s v="P0036"/>
    <s v="AUC"/>
    <s v="GEN"/>
    <s v="CL002"/>
    <x v="1"/>
    <x v="1"/>
    <d v="1899-12-30T16:00:00"/>
    <d v="1899-12-30T16:11:00"/>
    <d v="1899-12-30T16:10:00"/>
    <n v="30"/>
    <n v="65"/>
    <s v="Yes"/>
    <n v="2"/>
    <s v="Patient requested appointment"/>
    <s v="appointment_export_2026_01.csv"/>
    <n v="0"/>
    <n v="0"/>
    <x v="2"/>
    <s v="Northern"/>
    <s v="Aroha Rangi"/>
    <s v="Urban"/>
    <s v="Mon-Fri 08:00-18:00"/>
    <x v="1"/>
    <n v="7"/>
    <n v="65"/>
    <s v="Primary care"/>
    <s v="Doctor or Nurse Practitioner"/>
    <s v="Matched"/>
    <n v="47"/>
    <n v="0"/>
    <m/>
    <m/>
    <n v="1"/>
    <n v="0"/>
    <n v="1"/>
    <n v="0"/>
    <s v="Matches Standard"/>
    <x v="0"/>
    <n v="2026"/>
    <n v="1"/>
    <s v="Jan"/>
  </r>
  <r>
    <s v="APT-202601-0075"/>
    <d v="2026-01-07T00:00:00"/>
    <d v="2025-12-29T00:00:00"/>
    <s v="P0223"/>
    <s v="PMR"/>
    <s v="PHY"/>
    <s v="CL025"/>
    <x v="1"/>
    <x v="1"/>
    <d v="1899-12-30T11:00:00"/>
    <d v="1899-12-30T11:13:00"/>
    <d v="1899-12-30T11:34:00"/>
    <n v="45"/>
    <n v="95"/>
    <s v="Yes"/>
    <n v="3"/>
    <s v="Care plan review"/>
    <s v="appointment_export_2026_01.csv"/>
    <n v="0"/>
    <n v="0"/>
    <x v="3"/>
    <s v="Central"/>
    <s v="Mereana Thompson"/>
    <s v="Regional"/>
    <s v="Mon-Fri 08:30-17:00"/>
    <x v="0"/>
    <n v="21"/>
    <n v="95"/>
    <s v="Rehabilitation"/>
    <s v="Physiotherapist"/>
    <s v="Matched"/>
    <n v="9"/>
    <n v="1"/>
    <n v="21"/>
    <n v="1"/>
    <n v="1"/>
    <n v="0"/>
    <n v="1"/>
    <n v="0"/>
    <s v="Matches Standard"/>
    <x v="0"/>
    <n v="2026"/>
    <n v="1"/>
    <s v="Jan"/>
  </r>
  <r>
    <s v="APT-202601-0076"/>
    <d v="2026-01-01T00:00:00"/>
    <d v="2025-12-26T00:00:00"/>
    <s v="P0119"/>
    <s v="WLG"/>
    <s v="GEN"/>
    <s v="CL031"/>
    <x v="1"/>
    <x v="1"/>
    <d v="1899-12-30T15:30:00"/>
    <d v="1899-12-30T15:48:00"/>
    <d v="1899-12-30T15:48:00"/>
    <n v="30"/>
    <n v="65"/>
    <s v="Yes"/>
    <n v="4"/>
    <s v="Care plan review"/>
    <s v="appointment_export_2026_01.csv"/>
    <n v="0"/>
    <n v="0"/>
    <x v="0"/>
    <s v="Central"/>
    <s v="Sophie Martin"/>
    <s v="Urban"/>
    <s v="Mon-Sat 08:00-18:00"/>
    <x v="1"/>
    <n v="7"/>
    <n v="65"/>
    <s v="Primary care"/>
    <s v="Doctor or Nurse Practitioner"/>
    <s v="Matched"/>
    <n v="6"/>
    <n v="1"/>
    <n v="0"/>
    <n v="1"/>
    <n v="1"/>
    <n v="0"/>
    <n v="1"/>
    <n v="0"/>
    <s v="Matches Standard"/>
    <x v="0"/>
    <n v="2026"/>
    <n v="1"/>
    <s v="Jan"/>
  </r>
  <r>
    <s v="APT-202601-0077"/>
    <d v="2026-01-21T00:00:00"/>
    <d v="2026-01-08T00:00:00"/>
    <s v="P0095"/>
    <s v="HAM"/>
    <s v="MHS"/>
    <s v="CL014"/>
    <x v="1"/>
    <x v="2"/>
    <d v="1899-12-30T08:30:00"/>
    <d v="1899-12-30T08:43:00"/>
    <d v="1899-12-30T08:59:00"/>
    <n v="20"/>
    <n v="120"/>
    <s v="No"/>
    <n v="5"/>
    <s v="New referral"/>
    <s v="appointment_export_2026_01.csv"/>
    <n v="0"/>
    <n v="0"/>
    <x v="1"/>
    <s v="Midland"/>
    <s v="Daniel Wong"/>
    <s v="Urban"/>
    <s v="Mon-Fri 08:00-17:30"/>
    <x v="2"/>
    <n v="14"/>
    <n v="120"/>
    <s v="Behavioural health"/>
    <s v="Mental Health Clinician"/>
    <s v="Matched"/>
    <n v="13"/>
    <n v="1"/>
    <n v="16"/>
    <n v="1"/>
    <n v="1"/>
    <n v="0"/>
    <n v="1"/>
    <n v="0"/>
    <s v="Matches Standard"/>
    <x v="0"/>
    <n v="2026"/>
    <n v="1"/>
    <s v="Jan"/>
  </r>
  <r>
    <s v="APT-202601-0078"/>
    <d v="2026-01-02T00:00:00"/>
    <d v="2025-12-23T00:00:00"/>
    <s v="P0158"/>
    <s v="WLG"/>
    <s v="CAR"/>
    <s v="CL040"/>
    <x v="1"/>
    <x v="0"/>
    <d v="1899-12-30T08:00:00"/>
    <d v="1899-12-30T07:50:00"/>
    <d v="1899-12-30T08:06:00"/>
    <n v="30"/>
    <n v="150"/>
    <s v="No"/>
    <n v="3"/>
    <s v="New referral"/>
    <s v="appointment_export_2026_01.csv"/>
    <n v="0"/>
    <n v="0"/>
    <x v="0"/>
    <s v="Central"/>
    <s v="Sophie Martin"/>
    <s v="Urban"/>
    <s v="Mon-Sat 08:00-18:00"/>
    <x v="4"/>
    <n v="28"/>
    <n v="150"/>
    <s v="Specialist outpatient"/>
    <s v="Cardiology Clinician"/>
    <s v="Matched"/>
    <n v="10"/>
    <n v="1"/>
    <n v="16"/>
    <n v="1"/>
    <n v="1"/>
    <n v="0"/>
    <n v="1"/>
    <n v="0"/>
    <s v="Matches Standard"/>
    <x v="0"/>
    <n v="2026"/>
    <n v="1"/>
    <s v="Jan"/>
  </r>
  <r>
    <s v="APT-202601-0079"/>
    <d v="2026-01-31T00:00:00"/>
    <d v="2025-12-10T00:00:00"/>
    <s v="P0223"/>
    <s v="AUC"/>
    <m/>
    <s v="CL005"/>
    <x v="1"/>
    <x v="3"/>
    <d v="1899-12-30T08:00:00"/>
    <d v="1899-12-30T07:52:00"/>
    <d v="1899-12-30T08:23:00"/>
    <n v="30"/>
    <n v="95"/>
    <s v="Yes"/>
    <n v="4"/>
    <s v="Patient requested appointment"/>
    <s v="appointment_export_2026_01.csv"/>
    <n v="0"/>
    <n v="1"/>
    <x v="2"/>
    <s v="Northern"/>
    <s v="Aroha Rangi"/>
    <s v="Urban"/>
    <s v="Mon-Fri 08:00-18:00"/>
    <x v="5"/>
    <m/>
    <m/>
    <m/>
    <m/>
    <s v="Missing Service Code"/>
    <n v="52"/>
    <m/>
    <n v="31"/>
    <n v="0"/>
    <n v="1"/>
    <n v="0"/>
    <n v="1"/>
    <m/>
    <s v="Missing Standard Fee"/>
    <x v="0"/>
    <n v="2026"/>
    <n v="1"/>
    <s v="Jan"/>
  </r>
  <r>
    <s v="APT-202601-0080"/>
    <d v="2026-01-26T00:00:00"/>
    <d v="2026-01-24T00:00:00"/>
    <s v="P0011"/>
    <s v="AUC"/>
    <s v="CAR"/>
    <s v="CL009"/>
    <x v="1"/>
    <x v="1"/>
    <d v="1899-12-30T12:30:00"/>
    <d v="1899-12-30T12:47:00"/>
    <d v="1899-12-30T12:45:00"/>
    <n v="30"/>
    <n v="150"/>
    <s v="No"/>
    <n v="5"/>
    <s v="Routine review"/>
    <s v="appointment_export_2026_01.csv"/>
    <n v="0"/>
    <n v="0"/>
    <x v="2"/>
    <s v="Northern"/>
    <s v="Aroha Rangi"/>
    <s v="Urban"/>
    <s v="Mon-Fri 08:00-18:00"/>
    <x v="4"/>
    <n v="28"/>
    <n v="150"/>
    <s v="Specialist outpatient"/>
    <s v="Cardiology Clinician"/>
    <s v="Matched"/>
    <n v="2"/>
    <n v="1"/>
    <m/>
    <m/>
    <n v="1"/>
    <n v="0"/>
    <n v="1"/>
    <n v="0"/>
    <s v="Matches Standard"/>
    <x v="0"/>
    <n v="2026"/>
    <n v="1"/>
    <s v="Jan"/>
  </r>
  <r>
    <s v="APT-202601-0081"/>
    <d v="2026-01-26T00:00:00"/>
    <d v="2026-01-23T00:00:00"/>
    <s v="P0122"/>
    <s v="WLG"/>
    <s v="PHY"/>
    <s v="CL035"/>
    <x v="1"/>
    <x v="2"/>
    <d v="1899-12-30T11:30:00"/>
    <d v="1899-12-30T11:38:00"/>
    <d v="1899-12-30T11:59:00"/>
    <n v="30"/>
    <n v="95"/>
    <s v="No"/>
    <n v="2"/>
    <s v="Patient requested appointment"/>
    <s v="appointment_export_2026_01.csv"/>
    <n v="0"/>
    <n v="0"/>
    <x v="0"/>
    <s v="Central"/>
    <s v="Sophie Martin"/>
    <s v="Urban"/>
    <s v="Mon-Sat 08:00-18:00"/>
    <x v="0"/>
    <n v="21"/>
    <n v="95"/>
    <s v="Rehabilitation"/>
    <s v="Physiotherapist"/>
    <s v="Matched"/>
    <n v="3"/>
    <n v="1"/>
    <n v="21"/>
    <n v="1"/>
    <n v="1"/>
    <n v="0"/>
    <n v="1"/>
    <n v="0"/>
    <s v="Matches Standard"/>
    <x v="0"/>
    <n v="2026"/>
    <n v="1"/>
    <s v="Jan"/>
  </r>
  <r>
    <s v="APT-202601-0082"/>
    <d v="2026-01-02T00:00:00"/>
    <d v="2025-12-09T00:00:00"/>
    <s v="P0013"/>
    <s v="PMR"/>
    <s v="MHS"/>
    <s v="CL023"/>
    <x v="2"/>
    <x v="1"/>
    <d v="1899-12-30T08:30:00"/>
    <m/>
    <m/>
    <n v="0"/>
    <n v="120"/>
    <s v="No"/>
    <m/>
    <s v="Routine review"/>
    <s v="appointment_export_2026_01.csv"/>
    <n v="0"/>
    <n v="0"/>
    <x v="3"/>
    <s v="Central"/>
    <s v="Mereana Thompson"/>
    <s v="Regional"/>
    <s v="Mon-Fri 08:30-17:00"/>
    <x v="2"/>
    <n v="14"/>
    <n v="120"/>
    <s v="Behavioural health"/>
    <s v="Mental Health Clinician"/>
    <s v="Matched"/>
    <n v="24"/>
    <n v="0"/>
    <m/>
    <m/>
    <n v="1"/>
    <n v="1"/>
    <n v="1"/>
    <n v="0"/>
    <s v="Matches Standard"/>
    <x v="0"/>
    <n v="2026"/>
    <n v="1"/>
    <s v="Jan"/>
  </r>
  <r>
    <s v="APT-202601-0083"/>
    <d v="2026-01-26T00:00:00"/>
    <d v="2026-01-17T00:00:00"/>
    <s v="P0223"/>
    <s v="HAM"/>
    <s v="DIA"/>
    <s v="CL017"/>
    <x v="1"/>
    <x v="2"/>
    <d v="1899-12-30T13:00:00"/>
    <d v="1899-12-30T13:00:00"/>
    <d v="1899-12-30T13:01:00"/>
    <n v="20"/>
    <n v="80"/>
    <s v="No"/>
    <m/>
    <s v="Patient requested appointment"/>
    <s v="appointment_export_2026_01.csv"/>
    <n v="0"/>
    <n v="0"/>
    <x v="1"/>
    <s v="Midland"/>
    <s v="Daniel Wong"/>
    <s v="Urban"/>
    <s v="Mon-Fri 08:00-17:30"/>
    <x v="3"/>
    <n v="10"/>
    <n v="80"/>
    <s v="Long-term conditions"/>
    <s v="Diabetes Nurse"/>
    <s v="Matched"/>
    <n v="9"/>
    <n v="1"/>
    <n v="1"/>
    <n v="1"/>
    <n v="1"/>
    <n v="0"/>
    <n v="1"/>
    <n v="0"/>
    <s v="Matches Standard"/>
    <x v="0"/>
    <n v="2026"/>
    <n v="1"/>
    <s v="Jan"/>
  </r>
  <r>
    <s v="APT-202601-0084"/>
    <d v="2026-01-29T00:00:00"/>
    <d v="2026-01-13T00:00:00"/>
    <s v="P0200"/>
    <s v="HAM"/>
    <s v="CAR"/>
    <s v="CL019"/>
    <x v="1"/>
    <x v="1"/>
    <d v="1899-12-30T15:00:00"/>
    <d v="1899-12-30T15:10:00"/>
    <d v="1899-12-30T15:35:00"/>
    <n v="60"/>
    <n v="150"/>
    <s v="No"/>
    <n v="2"/>
    <s v="Follow-up visit"/>
    <s v="appointment_export_2026_01.csv"/>
    <n v="0"/>
    <n v="0"/>
    <x v="1"/>
    <s v="Midland"/>
    <s v="Daniel Wong"/>
    <s v="Urban"/>
    <s v="Mon-Fri 08:00-17:30"/>
    <x v="4"/>
    <n v="28"/>
    <n v="150"/>
    <s v="Specialist outpatient"/>
    <s v="Cardiology Clinician"/>
    <s v="Matched"/>
    <n v="16"/>
    <n v="1"/>
    <n v="25"/>
    <n v="1"/>
    <n v="1"/>
    <n v="0"/>
    <n v="1"/>
    <n v="0"/>
    <s v="Matches Standard"/>
    <x v="0"/>
    <n v="2026"/>
    <n v="1"/>
    <s v="Jan"/>
  </r>
  <r>
    <s v="APT-202601-0085"/>
    <d v="2026-01-29T00:00:00"/>
    <d v="2026-01-15T00:00:00"/>
    <s v="P0113"/>
    <s v="PMR"/>
    <s v="DIA"/>
    <s v="CL028"/>
    <x v="1"/>
    <x v="0"/>
    <d v="1899-12-30T09:00:00"/>
    <d v="1899-12-30T09:09:00"/>
    <d v="1899-12-30T09:26:00"/>
    <n v="45"/>
    <n v="80"/>
    <s v="No"/>
    <n v="5"/>
    <s v="Patient requested appointment"/>
    <s v="appointment_export_2026_01.csv"/>
    <n v="0"/>
    <n v="0"/>
    <x v="3"/>
    <s v="Central"/>
    <s v="Mereana Thompson"/>
    <s v="Regional"/>
    <s v="Mon-Fri 08:30-17:00"/>
    <x v="3"/>
    <n v="10"/>
    <n v="80"/>
    <s v="Long-term conditions"/>
    <s v="Diabetes Nurse"/>
    <s v="Matched"/>
    <n v="14"/>
    <n v="0"/>
    <n v="17"/>
    <n v="1"/>
    <n v="1"/>
    <n v="0"/>
    <n v="1"/>
    <n v="0"/>
    <s v="Matches Standard"/>
    <x v="0"/>
    <n v="2026"/>
    <n v="1"/>
    <s v="Jan"/>
  </r>
  <r>
    <s v="APT-202601-0086"/>
    <d v="2026-01-28T00:00:00"/>
    <d v="2025-12-11T00:00:00"/>
    <s v="P0035"/>
    <s v="PMR"/>
    <s v="MHS"/>
    <s v="CL023"/>
    <x v="3"/>
    <x v="1"/>
    <d v="1899-12-30T09:30:00"/>
    <m/>
    <m/>
    <n v="0"/>
    <n v="120"/>
    <s v="No"/>
    <m/>
    <s v="Routine review"/>
    <s v="appointment_export_2026_01.csv"/>
    <n v="0"/>
    <n v="0"/>
    <x v="3"/>
    <s v="Central"/>
    <s v="Mereana Thompson"/>
    <s v="Regional"/>
    <s v="Mon-Fri 08:30-17:00"/>
    <x v="2"/>
    <n v="14"/>
    <n v="120"/>
    <s v="Behavioural health"/>
    <s v="Mental Health Clinician"/>
    <s v="Matched"/>
    <n v="48"/>
    <n v="0"/>
    <m/>
    <m/>
    <n v="0"/>
    <m/>
    <n v="1"/>
    <n v="0"/>
    <s v="Matches Standard"/>
    <x v="0"/>
    <n v="2026"/>
    <n v="1"/>
    <s v="Jan"/>
  </r>
  <r>
    <s v="APT-202601-0087"/>
    <d v="2026-01-11T00:00:00"/>
    <d v="2025-12-01T00:00:00"/>
    <s v="P0023"/>
    <s v="HAM"/>
    <s v="MHS"/>
    <s v="CL013"/>
    <x v="1"/>
    <x v="3"/>
    <d v="1899-12-30T09:30:00"/>
    <d v="1899-12-30T09:42:00"/>
    <d v="1899-12-30T09:36:00"/>
    <n v="30"/>
    <n v="120"/>
    <s v="No"/>
    <n v="4"/>
    <s v="Routine review"/>
    <s v="appointment_export_2026_01.csv"/>
    <n v="0"/>
    <n v="0"/>
    <x v="1"/>
    <s v="Midland"/>
    <s v="Daniel Wong"/>
    <s v="Urban"/>
    <s v="Mon-Fri 08:00-17:30"/>
    <x v="2"/>
    <n v="14"/>
    <n v="120"/>
    <s v="Behavioural health"/>
    <s v="Mental Health Clinician"/>
    <s v="Matched"/>
    <n v="41"/>
    <n v="0"/>
    <m/>
    <m/>
    <n v="1"/>
    <n v="0"/>
    <n v="1"/>
    <n v="0"/>
    <s v="Matches Standard"/>
    <x v="0"/>
    <n v="2026"/>
    <n v="1"/>
    <s v="Jan"/>
  </r>
  <r>
    <s v="APT-202601-0088"/>
    <d v="2026-01-05T00:00:00"/>
    <d v="2025-12-13T00:00:00"/>
    <s v="P0067"/>
    <s v="AUC"/>
    <s v="MHS"/>
    <s v="CL004"/>
    <x v="1"/>
    <x v="0"/>
    <d v="1899-12-30T10:30:00"/>
    <d v="1899-12-30T10:39:00"/>
    <d v="1899-12-30T10:42:00"/>
    <n v="30"/>
    <n v="120"/>
    <s v="No"/>
    <n v="3"/>
    <s v="New referral"/>
    <s v="appointment_export_2026_01.csv"/>
    <n v="0"/>
    <n v="0"/>
    <x v="2"/>
    <s v="Northern"/>
    <s v="Aroha Rangi"/>
    <s v="Urban"/>
    <s v="Mon-Fri 08:00-18:00"/>
    <x v="2"/>
    <n v="14"/>
    <n v="120"/>
    <s v="Behavioural health"/>
    <s v="Mental Health Clinician"/>
    <s v="Matched"/>
    <n v="23"/>
    <n v="0"/>
    <n v="3"/>
    <n v="1"/>
    <n v="1"/>
    <n v="0"/>
    <n v="1"/>
    <n v="0"/>
    <s v="Matches Standard"/>
    <x v="0"/>
    <n v="2026"/>
    <n v="1"/>
    <s v="Jan"/>
  </r>
  <r>
    <s v="APT-202601-0089"/>
    <d v="2026-01-31T00:00:00"/>
    <d v="2025-12-31T00:00:00"/>
    <s v="P0236"/>
    <s v="WLG"/>
    <s v="MHS"/>
    <s v="CL034"/>
    <x v="2"/>
    <x v="1"/>
    <d v="1899-12-30T13:30:00"/>
    <m/>
    <m/>
    <n v="45"/>
    <n v="120"/>
    <s v="No"/>
    <m/>
    <s v="Care plan review"/>
    <s v="appointment_export_2026_01.csv"/>
    <n v="0"/>
    <n v="0"/>
    <x v="0"/>
    <s v="Central"/>
    <s v="Sophie Martin"/>
    <s v="Urban"/>
    <s v="Mon-Sat 08:00-18:00"/>
    <x v="2"/>
    <n v="14"/>
    <n v="120"/>
    <s v="Behavioural health"/>
    <s v="Mental Health Clinician"/>
    <s v="Matched"/>
    <n v="31"/>
    <n v="0"/>
    <m/>
    <m/>
    <n v="1"/>
    <n v="1"/>
    <n v="1"/>
    <n v="0"/>
    <s v="Matches Standard"/>
    <x v="0"/>
    <n v="2026"/>
    <n v="1"/>
    <s v="Jan"/>
  </r>
  <r>
    <s v="APT-202601-0090"/>
    <d v="2026-01-13T00:00:00"/>
    <d v="2025-12-25T00:00:00"/>
    <s v="P0080"/>
    <s v="AUC"/>
    <s v="MHS"/>
    <s v="CL003"/>
    <x v="1"/>
    <x v="2"/>
    <d v="1899-12-30T12:30:00"/>
    <d v="1899-12-30T12:27:00"/>
    <d v="1899-12-30T13:05:00"/>
    <n v="20"/>
    <n v="120"/>
    <s v="No"/>
    <n v="3"/>
    <s v="New referral"/>
    <s v="appointment_export_2026_01.csv"/>
    <n v="0"/>
    <n v="0"/>
    <x v="2"/>
    <s v="Northern"/>
    <s v="Aroha Rangi"/>
    <s v="Urban"/>
    <s v="Mon-Fri 08:00-18:00"/>
    <x v="2"/>
    <n v="14"/>
    <n v="120"/>
    <s v="Behavioural health"/>
    <s v="Mental Health Clinician"/>
    <s v="Matched"/>
    <n v="19"/>
    <n v="0"/>
    <n v="38"/>
    <n v="0"/>
    <n v="1"/>
    <n v="0"/>
    <n v="1"/>
    <n v="0"/>
    <s v="Matches Standard"/>
    <x v="0"/>
    <n v="2026"/>
    <n v="1"/>
    <s v="Jan"/>
  </r>
  <r>
    <s v="APT-202601-0091"/>
    <d v="2026-01-13T00:00:00"/>
    <d v="2025-12-02T00:00:00"/>
    <s v="P0215"/>
    <s v="PMR"/>
    <s v="DIA"/>
    <s v="CL027"/>
    <x v="1"/>
    <x v="0"/>
    <d v="1899-12-30T10:30:00"/>
    <d v="1899-12-30T10:39:00"/>
    <d v="1899-12-30T10:40:00"/>
    <n v="30"/>
    <n v="80"/>
    <s v="No"/>
    <n v="2"/>
    <s v="New referral"/>
    <s v="appointment_export_2026_01.csv"/>
    <n v="0"/>
    <n v="0"/>
    <x v="3"/>
    <s v="Central"/>
    <s v="Mereana Thompson"/>
    <s v="Regional"/>
    <s v="Mon-Fri 08:30-17:00"/>
    <x v="3"/>
    <n v="10"/>
    <n v="80"/>
    <s v="Long-term conditions"/>
    <s v="Diabetes Nurse"/>
    <s v="Matched"/>
    <n v="42"/>
    <n v="0"/>
    <n v="1"/>
    <n v="1"/>
    <n v="1"/>
    <n v="0"/>
    <n v="1"/>
    <n v="0"/>
    <s v="Matches Standard"/>
    <x v="0"/>
    <n v="2026"/>
    <n v="1"/>
    <s v="Jan"/>
  </r>
  <r>
    <s v="APT-202601-0092"/>
    <d v="2026-01-04T00:00:00"/>
    <d v="2025-12-06T00:00:00"/>
    <s v="P0039"/>
    <s v="AUC"/>
    <s v="MHS"/>
    <s v="CL004"/>
    <x v="0"/>
    <x v="0"/>
    <d v="1899-12-30T12:30:00"/>
    <m/>
    <m/>
    <n v="0"/>
    <n v="120"/>
    <s v="No"/>
    <m/>
    <s v="Follow-up visit"/>
    <s v="appointment_export_2026_01.csv"/>
    <n v="0"/>
    <n v="0"/>
    <x v="2"/>
    <s v="Northern"/>
    <s v="Aroha Rangi"/>
    <s v="Urban"/>
    <s v="Mon-Fri 08:00-18:00"/>
    <x v="2"/>
    <n v="14"/>
    <n v="120"/>
    <s v="Behavioural health"/>
    <s v="Mental Health Clinician"/>
    <s v="Matched"/>
    <n v="29"/>
    <n v="0"/>
    <m/>
    <m/>
    <n v="0"/>
    <m/>
    <n v="1"/>
    <n v="0"/>
    <s v="Matches Standard"/>
    <x v="0"/>
    <n v="2026"/>
    <n v="1"/>
    <s v="Jan"/>
  </r>
  <r>
    <s v="APT-202601-0093"/>
    <d v="2026-01-07T00:00:00"/>
    <d v="2025-12-02T00:00:00"/>
    <s v="P0014"/>
    <s v="PMR"/>
    <s v="MHS"/>
    <s v="CL024"/>
    <x v="0"/>
    <x v="2"/>
    <d v="1899-12-30T08:30:00"/>
    <d v="1899-12-30T08:29:00"/>
    <d v="1899-12-30T08:51:00"/>
    <n v="45"/>
    <n v="120"/>
    <s v="Yes"/>
    <n v="5"/>
    <s v="Patient requested appointment"/>
    <s v="appointment_export_2026_01.csv"/>
    <n v="0"/>
    <n v="0"/>
    <x v="3"/>
    <s v="Central"/>
    <s v="Mereana Thompson"/>
    <s v="Regional"/>
    <s v="Mon-Fri 08:30-17:00"/>
    <x v="2"/>
    <n v="14"/>
    <n v="120"/>
    <s v="Behavioural health"/>
    <s v="Mental Health Clinician"/>
    <s v="Matched"/>
    <n v="36"/>
    <n v="0"/>
    <m/>
    <m/>
    <n v="0"/>
    <m/>
    <n v="1"/>
    <n v="0"/>
    <s v="Matches Standard"/>
    <x v="0"/>
    <n v="2026"/>
    <n v="1"/>
    <s v="Jan"/>
  </r>
  <r>
    <s v="APT-202601-0094"/>
    <d v="2026-01-02T00:00:00"/>
    <d v="2025-11-26T00:00:00"/>
    <s v="P0036"/>
    <s v="PMR"/>
    <s v="DIA"/>
    <s v="CL028"/>
    <x v="1"/>
    <x v="1"/>
    <d v="1899-12-30T13:30:00"/>
    <d v="1899-12-30T13:46:00"/>
    <d v="1899-12-30T14:09:00"/>
    <n v="60"/>
    <n v="80"/>
    <s v="No"/>
    <n v="3"/>
    <s v="Patient requested appointment"/>
    <s v="appointment_export_2026_01.csv"/>
    <n v="0"/>
    <n v="0"/>
    <x v="3"/>
    <s v="Central"/>
    <s v="Mereana Thompson"/>
    <s v="Regional"/>
    <s v="Mon-Fri 08:30-17:00"/>
    <x v="3"/>
    <n v="10"/>
    <n v="80"/>
    <s v="Long-term conditions"/>
    <s v="Diabetes Nurse"/>
    <s v="Matched"/>
    <n v="37"/>
    <n v="0"/>
    <n v="23"/>
    <n v="1"/>
    <n v="1"/>
    <n v="0"/>
    <n v="1"/>
    <n v="0"/>
    <s v="Matches Standard"/>
    <x v="0"/>
    <n v="2026"/>
    <n v="1"/>
    <s v="Jan"/>
  </r>
  <r>
    <s v="APT-202601-0095"/>
    <d v="2026-01-30T00:00:00"/>
    <d v="2025-12-17T00:00:00"/>
    <s v="P0227"/>
    <s v="PMR"/>
    <s v="PHY"/>
    <s v="CL026"/>
    <x v="0"/>
    <x v="3"/>
    <d v="1899-12-30T13:30:00"/>
    <m/>
    <m/>
    <n v="0"/>
    <n v="95"/>
    <s v="No"/>
    <m/>
    <s v="New referral"/>
    <s v="appointment_export_2026_01.csv"/>
    <n v="0"/>
    <n v="0"/>
    <x v="3"/>
    <s v="Central"/>
    <s v="Mereana Thompson"/>
    <s v="Regional"/>
    <s v="Mon-Fri 08:30-17:00"/>
    <x v="0"/>
    <n v="21"/>
    <n v="95"/>
    <s v="Rehabilitation"/>
    <s v="Physiotherapist"/>
    <s v="Matched"/>
    <n v="44"/>
    <n v="0"/>
    <m/>
    <m/>
    <n v="0"/>
    <m/>
    <n v="1"/>
    <n v="0"/>
    <s v="Matches Standard"/>
    <x v="0"/>
    <n v="2026"/>
    <n v="1"/>
    <s v="Jan"/>
  </r>
  <r>
    <s v="APT-202601-0096"/>
    <d v="2026-01-11T00:00:00"/>
    <d v="2025-12-19T00:00:00"/>
    <s v="P0069"/>
    <s v="AUC"/>
    <s v="DIA"/>
    <s v="CL007"/>
    <x v="1"/>
    <x v="2"/>
    <d v="1899-12-30T10:30:00"/>
    <d v="1899-12-30T10:29:00"/>
    <d v="1899-12-30T10:31:00"/>
    <n v="20"/>
    <n v="80"/>
    <s v="Yes"/>
    <n v="5"/>
    <s v="Follow-up visit"/>
    <s v="appointment_export_2026_01.csv"/>
    <n v="0"/>
    <n v="0"/>
    <x v="2"/>
    <s v="Northern"/>
    <s v="Aroha Rangi"/>
    <s v="Urban"/>
    <s v="Mon-Fri 08:00-18:00"/>
    <x v="3"/>
    <n v="10"/>
    <n v="80"/>
    <s v="Long-term conditions"/>
    <s v="Diabetes Nurse"/>
    <s v="Matched"/>
    <n v="23"/>
    <n v="0"/>
    <n v="2"/>
    <n v="1"/>
    <n v="1"/>
    <n v="0"/>
    <n v="1"/>
    <n v="0"/>
    <s v="Matches Standard"/>
    <x v="0"/>
    <n v="2026"/>
    <n v="1"/>
    <s v="Jan"/>
  </r>
  <r>
    <s v="APT-202601-0097"/>
    <m/>
    <d v="2025-11-29T00:00:00"/>
    <s v="P0064"/>
    <s v="WLG"/>
    <s v="PHY"/>
    <s v="CL036"/>
    <x v="1"/>
    <x v="0"/>
    <d v="1899-12-30T14:00:00"/>
    <d v="1899-12-30T13:52:00"/>
    <d v="1899-12-30T14:08:00"/>
    <n v="60"/>
    <n v="95"/>
    <s v="No"/>
    <n v="2"/>
    <s v="Patient requested appointment"/>
    <s v="appointment_export_2026_01.csv"/>
    <n v="0"/>
    <n v="0"/>
    <x v="0"/>
    <s v="Central"/>
    <s v="Sophie Martin"/>
    <s v="Urban"/>
    <s v="Mon-Sat 08:00-18:00"/>
    <x v="0"/>
    <n v="21"/>
    <n v="95"/>
    <s v="Rehabilitation"/>
    <s v="Physiotherapist"/>
    <s v="Matched"/>
    <m/>
    <m/>
    <n v="16"/>
    <n v="1"/>
    <n v="1"/>
    <n v="0"/>
    <n v="1"/>
    <n v="0"/>
    <s v="Matches Standard"/>
    <x v="1"/>
    <m/>
    <m/>
    <m/>
  </r>
  <r>
    <s v="APT-202601-0098"/>
    <d v="2026-01-25T00:00:00"/>
    <d v="2025-12-08T00:00:00"/>
    <s v="P0038"/>
    <s v="PMR"/>
    <s v="GEN"/>
    <s v="CL022"/>
    <x v="2"/>
    <x v="1"/>
    <d v="1899-12-30T12:30:00"/>
    <m/>
    <m/>
    <n v="0"/>
    <n v="65"/>
    <s v="No"/>
    <m/>
    <s v="Routine review"/>
    <s v="appointment_export_2026_01.csv"/>
    <n v="0"/>
    <n v="0"/>
    <x v="3"/>
    <s v="Central"/>
    <s v="Mereana Thompson"/>
    <s v="Regional"/>
    <s v="Mon-Fri 08:30-17:00"/>
    <x v="1"/>
    <n v="7"/>
    <n v="65"/>
    <s v="Primary care"/>
    <s v="Doctor or Nurse Practitioner"/>
    <s v="Matched"/>
    <n v="48"/>
    <n v="0"/>
    <m/>
    <m/>
    <n v="1"/>
    <n v="1"/>
    <n v="1"/>
    <n v="0"/>
    <s v="Matches Standard"/>
    <x v="0"/>
    <n v="2026"/>
    <n v="1"/>
    <s v="Jan"/>
  </r>
  <r>
    <s v="APT-202601-0099"/>
    <d v="2026-01-22T00:00:00"/>
    <d v="2026-01-20T00:00:00"/>
    <s v="P0138"/>
    <s v="PMR"/>
    <s v="PHY"/>
    <s v="CL025"/>
    <x v="1"/>
    <x v="2"/>
    <d v="1899-12-30T09:00:00"/>
    <d v="1899-12-30T08:50:00"/>
    <d v="1899-12-30T09:28:00"/>
    <n v="30"/>
    <n v="95"/>
    <s v="No"/>
    <n v="5"/>
    <s v="Follow-up visit"/>
    <s v="appointment_export_2026_01.csv"/>
    <n v="0"/>
    <n v="0"/>
    <x v="3"/>
    <s v="Central"/>
    <s v="Mereana Thompson"/>
    <s v="Regional"/>
    <s v="Mon-Fri 08:30-17:00"/>
    <x v="0"/>
    <n v="21"/>
    <n v="95"/>
    <s v="Rehabilitation"/>
    <s v="Physiotherapist"/>
    <s v="Matched"/>
    <n v="2"/>
    <n v="1"/>
    <n v="38"/>
    <n v="0"/>
    <n v="1"/>
    <n v="0"/>
    <n v="1"/>
    <n v="0"/>
    <s v="Matches Standard"/>
    <x v="0"/>
    <n v="2026"/>
    <n v="1"/>
    <s v="Jan"/>
  </r>
  <r>
    <s v="APT-202601-0100"/>
    <d v="2026-01-30T00:00:00"/>
    <d v="2026-01-25T00:00:00"/>
    <s v="P0194"/>
    <s v="WLG"/>
    <s v="PHY"/>
    <s v="CL036"/>
    <x v="1"/>
    <x v="1"/>
    <d v="1899-12-30T16:00:00"/>
    <d v="1899-12-30T16:14:00"/>
    <d v="1899-12-30T16:05:00"/>
    <n v="20"/>
    <n v="95"/>
    <s v="No"/>
    <n v="2"/>
    <s v="Care plan review"/>
    <s v="appointment_export_2026_01.csv"/>
    <n v="0"/>
    <n v="0"/>
    <x v="0"/>
    <s v="Central"/>
    <s v="Sophie Martin"/>
    <s v="Urban"/>
    <s v="Mon-Sat 08:00-18:00"/>
    <x v="0"/>
    <n v="21"/>
    <n v="95"/>
    <s v="Rehabilitation"/>
    <s v="Physiotherapist"/>
    <s v="Matched"/>
    <n v="5"/>
    <n v="1"/>
    <m/>
    <m/>
    <n v="1"/>
    <n v="0"/>
    <n v="1"/>
    <n v="0"/>
    <s v="Matches Standard"/>
    <x v="0"/>
    <n v="2026"/>
    <n v="1"/>
    <s v="Jan"/>
  </r>
  <r>
    <s v="APT-202601-0101"/>
    <d v="2026-01-18T00:00:00"/>
    <d v="2025-12-24T00:00:00"/>
    <s v="P0052"/>
    <s v="AUC"/>
    <s v="DIA"/>
    <s v="CL999"/>
    <x v="1"/>
    <x v="0"/>
    <d v="1899-12-30T08:30:00"/>
    <d v="1899-12-30T08:29:00"/>
    <d v="1899-12-30T08:59:00"/>
    <n v="45"/>
    <n v="80"/>
    <s v="No"/>
    <n v="3"/>
    <s v="Routine review"/>
    <s v="appointment_export_2026_01.csv"/>
    <n v="0"/>
    <n v="0"/>
    <x v="2"/>
    <s v="Northern"/>
    <s v="Aroha Rangi"/>
    <s v="Urban"/>
    <s v="Mon-Fri 08:00-18:00"/>
    <x v="3"/>
    <n v="10"/>
    <n v="80"/>
    <s v="Long-term conditions"/>
    <s v="Diabetes Nurse"/>
    <s v="Matched"/>
    <n v="25"/>
    <n v="0"/>
    <n v="30"/>
    <n v="1"/>
    <n v="1"/>
    <n v="0"/>
    <n v="1"/>
    <n v="0"/>
    <s v="Matches Standard"/>
    <x v="0"/>
    <n v="2026"/>
    <n v="1"/>
    <s v="Jan"/>
  </r>
  <r>
    <s v="APT-202601-0102"/>
    <d v="2026-01-23T00:00:00"/>
    <d v="2025-12-06T00:00:00"/>
    <s v="P0020"/>
    <s v="WLG"/>
    <s v="DIA"/>
    <s v="CL038"/>
    <x v="0"/>
    <x v="0"/>
    <d v="1899-12-30T13:30:00"/>
    <m/>
    <m/>
    <n v="0"/>
    <n v="80"/>
    <s v="No"/>
    <m/>
    <s v="Care plan review"/>
    <s v="appointment_export_2026_01.csv"/>
    <n v="0"/>
    <n v="0"/>
    <x v="0"/>
    <s v="Central"/>
    <s v="Sophie Martin"/>
    <s v="Urban"/>
    <s v="Mon-Sat 08:00-18:00"/>
    <x v="3"/>
    <n v="10"/>
    <n v="80"/>
    <s v="Long-term conditions"/>
    <s v="Diabetes Nurse"/>
    <s v="Matched"/>
    <n v="48"/>
    <n v="0"/>
    <m/>
    <m/>
    <n v="0"/>
    <m/>
    <n v="1"/>
    <n v="0"/>
    <s v="Matches Standard"/>
    <x v="0"/>
    <n v="2026"/>
    <n v="1"/>
    <s v="Jan"/>
  </r>
  <r>
    <s v="APT-202601-0103"/>
    <d v="2026-01-22T00:00:00"/>
    <d v="2026-01-17T00:00:00"/>
    <s v="P0029"/>
    <s v="PMR"/>
    <s v="MHS"/>
    <s v="CL024"/>
    <x v="3"/>
    <x v="0"/>
    <d v="1899-12-30T09:00:00"/>
    <m/>
    <m/>
    <n v="0"/>
    <n v="120"/>
    <s v="No"/>
    <m/>
    <s v="Patient requested appointment"/>
    <s v="appointment_export_2026_01.csv"/>
    <n v="0"/>
    <n v="0"/>
    <x v="3"/>
    <s v="Central"/>
    <s v="Mereana Thompson"/>
    <s v="Regional"/>
    <s v="Mon-Fri 08:30-17:00"/>
    <x v="2"/>
    <n v="14"/>
    <n v="120"/>
    <s v="Behavioural health"/>
    <s v="Mental Health Clinician"/>
    <s v="Matched"/>
    <n v="5"/>
    <n v="1"/>
    <m/>
    <m/>
    <n v="0"/>
    <m/>
    <n v="1"/>
    <n v="0"/>
    <s v="Matches Standard"/>
    <x v="0"/>
    <n v="2026"/>
    <n v="1"/>
    <s v="Jan"/>
  </r>
  <r>
    <s v="APT-202601-0104"/>
    <d v="2026-01-27T00:00:00"/>
    <d v="2026-01-10T00:00:00"/>
    <s v="P0197"/>
    <s v="WLG"/>
    <s v="CAR"/>
    <s v="CL040"/>
    <x v="1"/>
    <x v="2"/>
    <d v="1899-12-30T12:30:00"/>
    <d v="1899-12-30T12:29:00"/>
    <d v="1899-12-30T12:52:00"/>
    <n v="30"/>
    <n v="150"/>
    <s v="No"/>
    <n v="4"/>
    <s v="Routine review"/>
    <s v="appointment_export_2026_01.csv"/>
    <n v="0"/>
    <n v="0"/>
    <x v="0"/>
    <s v="Central"/>
    <s v="Sophie Martin"/>
    <s v="Urban"/>
    <s v="Mon-Sat 08:00-18:00"/>
    <x v="4"/>
    <n v="28"/>
    <n v="150"/>
    <s v="Specialist outpatient"/>
    <s v="Cardiology Clinician"/>
    <s v="Matched"/>
    <n v="17"/>
    <n v="1"/>
    <n v="23"/>
    <n v="1"/>
    <n v="1"/>
    <n v="0"/>
    <n v="1"/>
    <n v="0"/>
    <s v="Matches Standard"/>
    <x v="0"/>
    <n v="2026"/>
    <n v="1"/>
    <s v="Jan"/>
  </r>
  <r>
    <s v="APT-202601-0105"/>
    <d v="2026-01-31T00:00:00"/>
    <d v="2025-12-12T00:00:00"/>
    <s v="P0230"/>
    <s v="AUC"/>
    <s v="PHY"/>
    <s v="CL005"/>
    <x v="1"/>
    <x v="1"/>
    <d v="1899-12-30T14:00:00"/>
    <d v="1899-12-30T14:14:00"/>
    <d v="1899-12-30T14:16:00"/>
    <n v="60"/>
    <n v="95"/>
    <s v="No"/>
    <n v="4"/>
    <s v="Follow-up visit"/>
    <s v="appointment_export_2026_01.csv"/>
    <n v="0"/>
    <n v="0"/>
    <x v="2"/>
    <s v="Northern"/>
    <s v="Aroha Rangi"/>
    <s v="Urban"/>
    <s v="Mon-Fri 08:00-18:00"/>
    <x v="0"/>
    <n v="21"/>
    <n v="95"/>
    <s v="Rehabilitation"/>
    <s v="Physiotherapist"/>
    <s v="Matched"/>
    <n v="50"/>
    <n v="0"/>
    <n v="2"/>
    <n v="1"/>
    <n v="1"/>
    <n v="0"/>
    <n v="1"/>
    <n v="0"/>
    <s v="Matches Standard"/>
    <x v="0"/>
    <n v="2026"/>
    <n v="1"/>
    <s v="Jan"/>
  </r>
  <r>
    <s v="APT-202601-0106"/>
    <d v="2026-01-01T00:00:00"/>
    <d v="2025-12-08T00:00:00"/>
    <s v="P0233"/>
    <s v="HAM"/>
    <s v="MHS"/>
    <s v="CL014"/>
    <x v="1"/>
    <x v="3"/>
    <d v="1899-12-30T12:00:00"/>
    <d v="1899-12-30T11:55:00"/>
    <d v="1899-12-30T12:05:00"/>
    <n v="60"/>
    <n v="120"/>
    <s v="No"/>
    <n v="3"/>
    <s v="Follow-up visit"/>
    <s v="appointment_export_2026_01.csv"/>
    <n v="0"/>
    <n v="0"/>
    <x v="1"/>
    <s v="Midland"/>
    <s v="Daniel Wong"/>
    <s v="Urban"/>
    <s v="Mon-Fri 08:00-17:30"/>
    <x v="2"/>
    <n v="14"/>
    <n v="120"/>
    <s v="Behavioural health"/>
    <s v="Mental Health Clinician"/>
    <s v="Matched"/>
    <n v="24"/>
    <n v="0"/>
    <n v="10"/>
    <n v="1"/>
    <n v="1"/>
    <n v="0"/>
    <n v="1"/>
    <n v="0"/>
    <s v="Matches Standard"/>
    <x v="0"/>
    <n v="2026"/>
    <n v="1"/>
    <s v="Jan"/>
  </r>
  <r>
    <s v="APT-202601-0107"/>
    <d v="2026-01-10T00:00:00"/>
    <d v="2025-11-19T00:00:00"/>
    <s v="P0088"/>
    <s v="WLG"/>
    <s v="DIA"/>
    <s v="CL038"/>
    <x v="1"/>
    <x v="1"/>
    <d v="1899-12-30T11:00:00"/>
    <d v="1899-12-30T11:01:00"/>
    <d v="1899-12-30T11:40:00"/>
    <n v="60"/>
    <m/>
    <s v="No"/>
    <n v="2"/>
    <s v="Follow-up visit"/>
    <s v="appointment_export_2026_01.csv"/>
    <n v="0"/>
    <n v="0"/>
    <x v="0"/>
    <s v="Central"/>
    <s v="Sophie Martin"/>
    <s v="Urban"/>
    <s v="Mon-Sat 08:00-18:00"/>
    <x v="3"/>
    <n v="10"/>
    <n v="80"/>
    <s v="Long-term conditions"/>
    <s v="Diabetes Nurse"/>
    <s v="Matched"/>
    <n v="52"/>
    <n v="0"/>
    <n v="39"/>
    <n v="0"/>
    <n v="1"/>
    <n v="0"/>
    <n v="0"/>
    <m/>
    <s v="Missing Actual Fee"/>
    <x v="0"/>
    <n v="2026"/>
    <n v="1"/>
    <s v="Jan"/>
  </r>
  <r>
    <s v="APT-202601-0108"/>
    <d v="2026-01-20T00:00:00"/>
    <d v="2025-12-10T00:00:00"/>
    <s v="P0215"/>
    <s v="PMR"/>
    <s v="GEN"/>
    <s v="CL022"/>
    <x v="1"/>
    <x v="2"/>
    <d v="1899-12-30T08:00:00"/>
    <d v="1899-12-30T07:53:00"/>
    <d v="1899-12-30T08:07:00"/>
    <n v="30"/>
    <n v="65"/>
    <s v="Yes"/>
    <n v="5"/>
    <s v="Routine review"/>
    <s v="appointment_export_2026_01.csv"/>
    <n v="0"/>
    <n v="0"/>
    <x v="3"/>
    <s v="Central"/>
    <s v="Mereana Thompson"/>
    <s v="Regional"/>
    <s v="Mon-Fri 08:30-17:00"/>
    <x v="1"/>
    <n v="7"/>
    <n v="65"/>
    <s v="Primary care"/>
    <s v="Doctor or Nurse Practitioner"/>
    <s v="Matched"/>
    <n v="41"/>
    <n v="0"/>
    <n v="14"/>
    <n v="1"/>
    <n v="1"/>
    <n v="0"/>
    <n v="1"/>
    <n v="0"/>
    <s v="Matches Standard"/>
    <x v="0"/>
    <n v="2026"/>
    <n v="1"/>
    <s v="Jan"/>
  </r>
  <r>
    <s v="APT-202601-0109"/>
    <d v="2026-01-27T00:00:00"/>
    <d v="2025-12-07T00:00:00"/>
    <m/>
    <s v="AUC"/>
    <s v="DIA"/>
    <s v="CL008"/>
    <x v="0"/>
    <x v="0"/>
    <d v="1899-12-30T09:30:00"/>
    <m/>
    <m/>
    <n v="0"/>
    <n v="80"/>
    <s v="No"/>
    <m/>
    <s v="Follow-up visit"/>
    <s v="appointment_export_2026_01.csv"/>
    <n v="1"/>
    <n v="0"/>
    <x v="2"/>
    <s v="Northern"/>
    <s v="Aroha Rangi"/>
    <s v="Urban"/>
    <s v="Mon-Fri 08:00-18:00"/>
    <x v="3"/>
    <n v="10"/>
    <n v="80"/>
    <s v="Long-term conditions"/>
    <s v="Diabetes Nurse"/>
    <s v="Matched"/>
    <n v="51"/>
    <n v="0"/>
    <m/>
    <m/>
    <n v="0"/>
    <m/>
    <n v="1"/>
    <n v="0"/>
    <s v="Matches Standard"/>
    <x v="0"/>
    <n v="2026"/>
    <n v="1"/>
    <s v="Jan"/>
  </r>
  <r>
    <s v="APT-202601-0110"/>
    <d v="2026-01-13T00:00:00"/>
    <d v="2026-01-06T00:00:00"/>
    <s v="P0088"/>
    <s v="PMR"/>
    <s v="PHY"/>
    <s v="CL025"/>
    <x v="1"/>
    <x v="3"/>
    <d v="1899-12-30T09:30:00"/>
    <d v="1899-12-30T09:43:00"/>
    <d v="1899-12-30T10:00:00"/>
    <n v="30"/>
    <n v="95"/>
    <s v="No"/>
    <n v="4"/>
    <s v="Routine review"/>
    <s v="appointment_export_2026_01.csv"/>
    <n v="0"/>
    <n v="0"/>
    <x v="3"/>
    <s v="Central"/>
    <s v="Mereana Thompson"/>
    <s v="Regional"/>
    <s v="Mon-Fri 08:30-17:00"/>
    <x v="0"/>
    <n v="21"/>
    <n v="95"/>
    <s v="Rehabilitation"/>
    <s v="Physiotherapist"/>
    <s v="Matched"/>
    <n v="7"/>
    <n v="1"/>
    <n v="17"/>
    <n v="1"/>
    <n v="1"/>
    <n v="0"/>
    <n v="1"/>
    <n v="0"/>
    <s v="Matches Standard"/>
    <x v="0"/>
    <n v="2026"/>
    <n v="1"/>
    <s v="Jan"/>
  </r>
  <r>
    <s v="APT-202601-0111"/>
    <d v="2026-01-15T00:00:00"/>
    <d v="2025-12-07T00:00:00"/>
    <s v="P0237"/>
    <s v="PMR"/>
    <s v="DIA"/>
    <s v="CL027"/>
    <x v="1"/>
    <x v="2"/>
    <d v="1899-12-30T12:00:00"/>
    <d v="1899-12-30T11:51:00"/>
    <d v="1899-12-30T12:30:00"/>
    <n v="30"/>
    <n v="80"/>
    <s v="No"/>
    <n v="5"/>
    <s v="New referral"/>
    <s v="appointment_export_2026_01.csv"/>
    <n v="0"/>
    <n v="0"/>
    <x v="3"/>
    <s v="Central"/>
    <s v="Mereana Thompson"/>
    <s v="Regional"/>
    <s v="Mon-Fri 08:30-17:00"/>
    <x v="3"/>
    <n v="10"/>
    <n v="80"/>
    <s v="Long-term conditions"/>
    <s v="Diabetes Nurse"/>
    <s v="Matched"/>
    <n v="39"/>
    <n v="0"/>
    <n v="39"/>
    <n v="0"/>
    <n v="1"/>
    <n v="0"/>
    <n v="1"/>
    <n v="0"/>
    <s v="Matches Standard"/>
    <x v="0"/>
    <n v="2026"/>
    <n v="1"/>
    <s v="Jan"/>
  </r>
  <r>
    <s v="APT-202601-0112"/>
    <d v="2026-01-27T00:00:00"/>
    <d v="2026-01-26T00:00:00"/>
    <s v="P0176"/>
    <s v="WLG"/>
    <s v="CAR"/>
    <s v="CL040"/>
    <x v="1"/>
    <x v="0"/>
    <d v="1899-12-30T15:30:00"/>
    <d v="1899-12-30T15:44:00"/>
    <d v="1899-12-30T16:08:00"/>
    <n v="30"/>
    <n v="150"/>
    <s v="Yes"/>
    <n v="4"/>
    <s v="Routine review"/>
    <s v="appointment_export_2026_01.csv"/>
    <n v="0"/>
    <n v="0"/>
    <x v="0"/>
    <s v="Central"/>
    <s v="Sophie Martin"/>
    <s v="Urban"/>
    <s v="Mon-Sat 08:00-18:00"/>
    <x v="4"/>
    <n v="28"/>
    <n v="150"/>
    <s v="Specialist outpatient"/>
    <s v="Cardiology Clinician"/>
    <s v="Matched"/>
    <n v="1"/>
    <n v="1"/>
    <n v="24"/>
    <n v="1"/>
    <n v="1"/>
    <n v="0"/>
    <n v="1"/>
    <n v="0"/>
    <s v="Matches Standard"/>
    <x v="0"/>
    <n v="2026"/>
    <n v="1"/>
    <s v="Jan"/>
  </r>
  <r>
    <s v="APT-202601-0113"/>
    <d v="2026-01-25T00:00:00"/>
    <m/>
    <s v="P0226"/>
    <s v="WLG"/>
    <s v="MHS"/>
    <s v="CL033"/>
    <x v="1"/>
    <x v="1"/>
    <d v="1899-12-30T10:30:00"/>
    <d v="1899-12-30T10:40:00"/>
    <d v="1899-12-30T10:49:00"/>
    <n v="60"/>
    <n v="120"/>
    <s v="No"/>
    <n v="3"/>
    <s v="Follow-up visit"/>
    <s v="appointment_export_2026_01.csv"/>
    <n v="0"/>
    <n v="0"/>
    <x v="0"/>
    <s v="Central"/>
    <s v="Sophie Martin"/>
    <s v="Urban"/>
    <s v="Mon-Sat 08:00-18:00"/>
    <x v="2"/>
    <n v="14"/>
    <n v="120"/>
    <s v="Behavioural health"/>
    <s v="Mental Health Clinician"/>
    <s v="Matched"/>
    <m/>
    <m/>
    <n v="9"/>
    <n v="1"/>
    <n v="1"/>
    <n v="0"/>
    <n v="1"/>
    <n v="0"/>
    <s v="Matches Standard"/>
    <x v="0"/>
    <n v="2026"/>
    <n v="1"/>
    <s v="Jan"/>
  </r>
  <r>
    <s v="APT-202601-0114"/>
    <d v="2026-01-03T00:00:00"/>
    <d v="2025-12-16T00:00:00"/>
    <s v="P0027"/>
    <s v="AUC"/>
    <s v="MHS"/>
    <s v="CL003"/>
    <x v="1"/>
    <x v="3"/>
    <d v="1899-12-30T08:00:00"/>
    <d v="1899-12-30T07:57:00"/>
    <d v="1899-12-30T08:19:00"/>
    <n v="30"/>
    <n v="120"/>
    <s v="Yes"/>
    <n v="3"/>
    <s v="Patient requested appointment"/>
    <s v="appointment_export_2026_01.csv"/>
    <n v="0"/>
    <n v="0"/>
    <x v="2"/>
    <s v="Northern"/>
    <s v="Aroha Rangi"/>
    <s v="Urban"/>
    <s v="Mon-Fri 08:00-18:00"/>
    <x v="2"/>
    <n v="14"/>
    <n v="120"/>
    <s v="Behavioural health"/>
    <s v="Mental Health Clinician"/>
    <s v="Matched"/>
    <n v="18"/>
    <n v="0"/>
    <n v="22"/>
    <n v="1"/>
    <n v="1"/>
    <n v="0"/>
    <n v="1"/>
    <n v="0"/>
    <s v="Matches Standard"/>
    <x v="0"/>
    <n v="2026"/>
    <n v="1"/>
    <s v="Jan"/>
  </r>
  <r>
    <s v="APT-202601-0115"/>
    <d v="2026-01-19T00:00:00"/>
    <d v="2025-12-04T00:00:00"/>
    <s v="P0174"/>
    <s v="WLG"/>
    <s v="DIA"/>
    <s v="CL038"/>
    <x v="2"/>
    <x v="3"/>
    <d v="1899-12-30T15:30:00"/>
    <m/>
    <m/>
    <n v="0"/>
    <n v="80"/>
    <s v="No"/>
    <m/>
    <s v="Routine review"/>
    <s v="appointment_export_2026_01.csv"/>
    <n v="0"/>
    <n v="0"/>
    <x v="0"/>
    <s v="Central"/>
    <s v="Sophie Martin"/>
    <s v="Urban"/>
    <s v="Mon-Sat 08:00-18:00"/>
    <x v="3"/>
    <n v="10"/>
    <n v="80"/>
    <s v="Long-term conditions"/>
    <s v="Diabetes Nurse"/>
    <s v="Matched"/>
    <n v="46"/>
    <n v="0"/>
    <m/>
    <m/>
    <n v="1"/>
    <n v="1"/>
    <n v="1"/>
    <n v="0"/>
    <s v="Matches Standard"/>
    <x v="0"/>
    <n v="2026"/>
    <n v="1"/>
    <s v="Jan"/>
  </r>
  <r>
    <s v="APT-202601-0116"/>
    <d v="2026-01-31T00:00:00"/>
    <d v="2026-01-21T00:00:00"/>
    <s v="P0079"/>
    <s v="PMR"/>
    <s v="CAR"/>
    <s v="CL029"/>
    <x v="2"/>
    <x v="2"/>
    <d v="1899-12-30T12:00:00"/>
    <m/>
    <m/>
    <n v="0"/>
    <n v="150"/>
    <s v="No"/>
    <m/>
    <s v="Follow-up visit"/>
    <s v="appointment_export_2026_01.csv"/>
    <n v="0"/>
    <n v="0"/>
    <x v="3"/>
    <s v="Central"/>
    <s v="Mereana Thompson"/>
    <s v="Regional"/>
    <s v="Mon-Fri 08:30-17:00"/>
    <x v="4"/>
    <n v="28"/>
    <n v="150"/>
    <s v="Specialist outpatient"/>
    <s v="Cardiology Clinician"/>
    <s v="Matched"/>
    <n v="10"/>
    <n v="1"/>
    <m/>
    <m/>
    <n v="1"/>
    <n v="1"/>
    <n v="1"/>
    <n v="0"/>
    <s v="Matches Standard"/>
    <x v="0"/>
    <n v="2026"/>
    <n v="1"/>
    <s v="Jan"/>
  </r>
  <r>
    <s v="APT-202601-0117"/>
    <d v="2026-01-27T00:00:00"/>
    <d v="2026-01-03T00:00:00"/>
    <s v="P0069"/>
    <s v="AUC"/>
    <s v="DIA"/>
    <s v="CL008"/>
    <x v="2"/>
    <x v="1"/>
    <d v="1899-12-30T09:00:00"/>
    <m/>
    <m/>
    <n v="0"/>
    <n v="80"/>
    <s v="No"/>
    <m/>
    <s v="Routine review"/>
    <s v="appointment_export_2026_01.csv"/>
    <n v="0"/>
    <n v="0"/>
    <x v="2"/>
    <s v="Northern"/>
    <s v="Aroha Rangi"/>
    <s v="Urban"/>
    <s v="Mon-Fri 08:00-18:00"/>
    <x v="3"/>
    <n v="10"/>
    <n v="80"/>
    <s v="Long-term conditions"/>
    <s v="Diabetes Nurse"/>
    <s v="Matched"/>
    <n v="24"/>
    <n v="0"/>
    <m/>
    <m/>
    <n v="1"/>
    <n v="1"/>
    <n v="1"/>
    <n v="0"/>
    <s v="Matches Standard"/>
    <x v="0"/>
    <n v="2026"/>
    <n v="1"/>
    <s v="Jan"/>
  </r>
  <r>
    <s v="APT-202601-0118"/>
    <d v="2026-01-28T00:00:00"/>
    <d v="2026-01-17T00:00:00"/>
    <s v="P0116"/>
    <s v="WLG"/>
    <s v="CAR"/>
    <s v="CL040"/>
    <x v="1"/>
    <x v="0"/>
    <d v="1899-12-30T15:00:00"/>
    <d v="1899-12-30T15:13:00"/>
    <d v="1899-12-30T15:15:00"/>
    <n v="60"/>
    <n v="150"/>
    <s v="No"/>
    <n v="5"/>
    <s v="Patient requested appointment"/>
    <s v="appointment_export_2026_01.csv"/>
    <n v="0"/>
    <n v="0"/>
    <x v="0"/>
    <s v="Central"/>
    <s v="Sophie Martin"/>
    <s v="Urban"/>
    <s v="Mon-Sat 08:00-18:00"/>
    <x v="4"/>
    <n v="28"/>
    <n v="150"/>
    <s v="Specialist outpatient"/>
    <s v="Cardiology Clinician"/>
    <s v="Matched"/>
    <n v="11"/>
    <n v="1"/>
    <n v="2"/>
    <n v="1"/>
    <n v="1"/>
    <n v="0"/>
    <n v="1"/>
    <n v="0"/>
    <s v="Matches Standard"/>
    <x v="0"/>
    <n v="2026"/>
    <n v="1"/>
    <s v="Jan"/>
  </r>
  <r>
    <s v="APT-202601-0119"/>
    <d v="2026-01-24T00:00:00"/>
    <d v="2026-01-17T00:00:00"/>
    <s v="P0018"/>
    <s v="WLG"/>
    <s v="DIA"/>
    <s v="CL038"/>
    <x v="1"/>
    <x v="3"/>
    <d v="1899-12-30T11:30:00"/>
    <d v="1899-12-30T11:20:00"/>
    <d v="1899-12-30T11:51:00"/>
    <n v="30"/>
    <n v="80"/>
    <s v="No"/>
    <n v="4"/>
    <s v="Care plan review"/>
    <s v="appointment_export_2026_01.csv"/>
    <n v="0"/>
    <n v="0"/>
    <x v="0"/>
    <s v="Central"/>
    <s v="Sophie Martin"/>
    <s v="Urban"/>
    <s v="Mon-Sat 08:00-18:00"/>
    <x v="3"/>
    <n v="10"/>
    <n v="80"/>
    <s v="Long-term conditions"/>
    <s v="Diabetes Nurse"/>
    <s v="Matched"/>
    <n v="7"/>
    <n v="1"/>
    <n v="31"/>
    <n v="0"/>
    <n v="1"/>
    <n v="0"/>
    <n v="1"/>
    <n v="0"/>
    <s v="Matches Standard"/>
    <x v="0"/>
    <n v="2026"/>
    <n v="1"/>
    <s v="Jan"/>
  </r>
  <r>
    <s v="APT-202601-0120"/>
    <d v="2026-01-02T00:00:00"/>
    <d v="2025-12-04T00:00:00"/>
    <s v="P0011"/>
    <s v="WLG"/>
    <s v="DIA"/>
    <s v="CL038"/>
    <x v="1"/>
    <x v="1"/>
    <d v="1899-12-30T13:00:00"/>
    <d v="1899-12-30T13:10:00"/>
    <d v="1899-12-30T13:00:00"/>
    <n v="20"/>
    <n v="80"/>
    <s v="No"/>
    <n v="5"/>
    <s v="Care plan review"/>
    <s v="appointment_export_2026_01.csv"/>
    <n v="0"/>
    <n v="0"/>
    <x v="0"/>
    <s v="Central"/>
    <s v="Sophie Martin"/>
    <s v="Urban"/>
    <s v="Mon-Sat 08:00-18:00"/>
    <x v="3"/>
    <n v="10"/>
    <n v="80"/>
    <s v="Long-term conditions"/>
    <s v="Diabetes Nurse"/>
    <s v="Matched"/>
    <n v="29"/>
    <n v="0"/>
    <m/>
    <m/>
    <n v="1"/>
    <n v="0"/>
    <n v="1"/>
    <n v="0"/>
    <s v="Matches Standard"/>
    <x v="0"/>
    <n v="2026"/>
    <n v="1"/>
    <s v="Jan"/>
  </r>
  <r>
    <s v="APT-202601-0121"/>
    <d v="2026-01-29T00:00:00"/>
    <d v="2026-01-12T00:00:00"/>
    <s v="P0027"/>
    <s v="WLG"/>
    <s v="DIA"/>
    <s v="CL038"/>
    <x v="1"/>
    <x v="2"/>
    <d v="1899-12-30T09:00:00"/>
    <d v="1899-12-30T09:02:00"/>
    <d v="1899-12-30T09:36:00"/>
    <n v="60"/>
    <n v="80"/>
    <s v="No"/>
    <n v="5"/>
    <s v="Follow-up visit"/>
    <s v="appointment_export_2026_01.csv"/>
    <n v="0"/>
    <n v="0"/>
    <x v="0"/>
    <s v="Central"/>
    <s v="Sophie Martin"/>
    <s v="Urban"/>
    <s v="Mon-Sat 08:00-18:00"/>
    <x v="3"/>
    <n v="10"/>
    <n v="80"/>
    <s v="Long-term conditions"/>
    <s v="Diabetes Nurse"/>
    <s v="Matched"/>
    <n v="17"/>
    <n v="0"/>
    <n v="34"/>
    <n v="0"/>
    <n v="1"/>
    <n v="0"/>
    <n v="1"/>
    <n v="0"/>
    <s v="Matches Standard"/>
    <x v="0"/>
    <n v="2026"/>
    <n v="1"/>
    <s v="Jan"/>
  </r>
  <r>
    <s v="APT-202601-0122"/>
    <d v="2026-01-26T00:00:00"/>
    <d v="2025-12-02T00:00:00"/>
    <s v="P0047"/>
    <s v="PMR"/>
    <s v="GEN"/>
    <s v="CL021"/>
    <x v="1"/>
    <x v="1"/>
    <d v="1899-12-30T11:30:00"/>
    <d v="1899-12-30T11:31:00"/>
    <d v="1899-12-30T11:40:00"/>
    <n v="20"/>
    <n v="65"/>
    <s v="Yes"/>
    <n v="3"/>
    <s v="Follow-up visit"/>
    <s v="appointment_export_2026_01.csv"/>
    <n v="0"/>
    <n v="0"/>
    <x v="3"/>
    <s v="Central"/>
    <s v="Mereana Thompson"/>
    <s v="Regional"/>
    <s v="Mon-Fri 08:30-17:00"/>
    <x v="1"/>
    <n v="7"/>
    <n v="65"/>
    <s v="Primary care"/>
    <s v="Doctor or Nurse Practitioner"/>
    <s v="Matched"/>
    <n v="55"/>
    <n v="0"/>
    <n v="9"/>
    <n v="1"/>
    <n v="1"/>
    <n v="0"/>
    <n v="1"/>
    <n v="0"/>
    <s v="Matches Standard"/>
    <x v="0"/>
    <n v="2026"/>
    <n v="1"/>
    <s v="Jan"/>
  </r>
  <r>
    <s v="APT-202601-0123"/>
    <d v="2026-01-18T00:00:00"/>
    <d v="2025-11-25T00:00:00"/>
    <s v="P0230"/>
    <s v="PMR"/>
    <s v="MHS"/>
    <s v="CL023"/>
    <x v="1"/>
    <x v="3"/>
    <d v="1899-12-30T09:00:00"/>
    <d v="1899-12-30T09:10:00"/>
    <d v="1899-12-30T09:13:00"/>
    <n v="60"/>
    <n v="120"/>
    <s v="Yes"/>
    <n v="5"/>
    <s v="Routine review"/>
    <s v="appointment_export_2026_01.csv"/>
    <n v="0"/>
    <n v="0"/>
    <x v="3"/>
    <s v="Central"/>
    <s v="Mereana Thompson"/>
    <s v="Regional"/>
    <s v="Mon-Fri 08:30-17:00"/>
    <x v="2"/>
    <n v="14"/>
    <n v="120"/>
    <s v="Behavioural health"/>
    <s v="Mental Health Clinician"/>
    <s v="Matched"/>
    <n v="54"/>
    <n v="0"/>
    <n v="3"/>
    <n v="1"/>
    <n v="1"/>
    <n v="0"/>
    <n v="1"/>
    <n v="0"/>
    <s v="Matches Standard"/>
    <x v="0"/>
    <n v="2026"/>
    <n v="1"/>
    <s v="Jan"/>
  </r>
  <r>
    <s v="APT-202601-0124"/>
    <d v="2026-01-20T00:00:00"/>
    <d v="2025-12-20T00:00:00"/>
    <s v="P0133"/>
    <s v="WLG"/>
    <s v="MHS"/>
    <s v="CL034"/>
    <x v="3"/>
    <x v="1"/>
    <d v="1899-12-30T10:30:00"/>
    <d v="1899-12-30T10:27:00"/>
    <d v="1899-12-30T10:33:00"/>
    <n v="30"/>
    <n v="120"/>
    <s v="No"/>
    <n v="4"/>
    <s v="New referral"/>
    <s v="appointment_export_2026_01.csv"/>
    <n v="0"/>
    <n v="0"/>
    <x v="0"/>
    <s v="Central"/>
    <s v="Sophie Martin"/>
    <s v="Urban"/>
    <s v="Mon-Sat 08:00-18:00"/>
    <x v="2"/>
    <n v="14"/>
    <n v="120"/>
    <s v="Behavioural health"/>
    <s v="Mental Health Clinician"/>
    <s v="Matched"/>
    <n v="31"/>
    <n v="0"/>
    <m/>
    <m/>
    <n v="0"/>
    <m/>
    <n v="1"/>
    <n v="0"/>
    <s v="Matches Standard"/>
    <x v="0"/>
    <n v="2026"/>
    <n v="1"/>
    <s v="Jan"/>
  </r>
  <r>
    <s v="APT-202601-0125"/>
    <d v="2026-01-21T00:00:00"/>
    <d v="2025-12-23T00:00:00"/>
    <s v="P0240"/>
    <s v="HAM"/>
    <s v="MHS"/>
    <s v="CL014"/>
    <x v="1"/>
    <x v="2"/>
    <d v="1899-12-30T10:00:00"/>
    <d v="1899-12-30T09:55:00"/>
    <d v="1899-12-30T10:32:00"/>
    <n v="60"/>
    <n v="120"/>
    <s v="No"/>
    <n v="2"/>
    <s v="New referral"/>
    <s v="appointment_export_2026_01.csv"/>
    <n v="0"/>
    <n v="0"/>
    <x v="1"/>
    <s v="Midland"/>
    <s v="Daniel Wong"/>
    <s v="Urban"/>
    <s v="Mon-Fri 08:00-17:30"/>
    <x v="2"/>
    <n v="14"/>
    <n v="120"/>
    <s v="Behavioural health"/>
    <s v="Mental Health Clinician"/>
    <s v="Matched"/>
    <n v="29"/>
    <n v="0"/>
    <n v="37"/>
    <n v="0"/>
    <n v="1"/>
    <n v="0"/>
    <n v="1"/>
    <n v="0"/>
    <s v="Matches Standard"/>
    <x v="0"/>
    <n v="2026"/>
    <n v="1"/>
    <s v="Jan"/>
  </r>
  <r>
    <s v="APT-202601-0126"/>
    <d v="2026-01-29T00:00:00"/>
    <d v="2026-01-14T00:00:00"/>
    <s v="P0232"/>
    <s v="HAM"/>
    <s v="PHY"/>
    <s v="CL015"/>
    <x v="1"/>
    <x v="1"/>
    <d v="1899-12-30T15:30:00"/>
    <d v="1899-12-30T15:46:00"/>
    <d v="1899-12-30T15:58:00"/>
    <n v="20"/>
    <n v="95"/>
    <s v="No"/>
    <n v="2"/>
    <s v="New referral"/>
    <s v="appointment_export_2026_01.csv"/>
    <n v="0"/>
    <n v="0"/>
    <x v="1"/>
    <s v="Midland"/>
    <s v="Daniel Wong"/>
    <s v="Urban"/>
    <s v="Mon-Fri 08:00-17:30"/>
    <x v="0"/>
    <n v="21"/>
    <n v="95"/>
    <s v="Rehabilitation"/>
    <s v="Physiotherapist"/>
    <s v="Matched"/>
    <n v="15"/>
    <n v="1"/>
    <n v="12"/>
    <n v="1"/>
    <n v="1"/>
    <n v="0"/>
    <n v="1"/>
    <n v="0"/>
    <s v="Matches Standard"/>
    <x v="0"/>
    <n v="2026"/>
    <n v="1"/>
    <s v="Jan"/>
  </r>
  <r>
    <s v="APT-202601-0127"/>
    <d v="2026-01-01T00:00:00"/>
    <d v="2025-12-04T00:00:00"/>
    <s v="P0101"/>
    <s v="AUC"/>
    <s v="PHY"/>
    <s v="CL005"/>
    <x v="1"/>
    <x v="1"/>
    <d v="1899-12-30T13:30:00"/>
    <d v="1899-12-30T13:47:00"/>
    <d v="1899-12-30T13:56:00"/>
    <n v="20"/>
    <n v="95"/>
    <s v="No"/>
    <m/>
    <s v="Follow-up visit"/>
    <s v="appointment_export_2026_01.csv"/>
    <n v="0"/>
    <n v="0"/>
    <x v="2"/>
    <s v="Northern"/>
    <s v="Aroha Rangi"/>
    <s v="Urban"/>
    <s v="Mon-Fri 08:00-18:00"/>
    <x v="0"/>
    <n v="21"/>
    <n v="95"/>
    <s v="Rehabilitation"/>
    <s v="Physiotherapist"/>
    <s v="Matched"/>
    <n v="28"/>
    <n v="0"/>
    <n v="9"/>
    <n v="1"/>
    <n v="1"/>
    <n v="0"/>
    <n v="1"/>
    <n v="0"/>
    <s v="Matches Standard"/>
    <x v="0"/>
    <n v="2026"/>
    <n v="1"/>
    <s v="Jan"/>
  </r>
  <r>
    <s v="APT-202601-0128"/>
    <d v="2026-01-01T00:00:00"/>
    <d v="2025-11-11T00:00:00"/>
    <s v="P0240"/>
    <s v="HAM"/>
    <s v="CAR"/>
    <s v="CL019"/>
    <x v="1"/>
    <x v="3"/>
    <d v="1899-12-30T08:00:00"/>
    <d v="1899-12-30T07:58:00"/>
    <d v="1899-12-30T08:10:00"/>
    <n v="30"/>
    <n v="150"/>
    <s v="Yes"/>
    <n v="5"/>
    <s v="Care plan review"/>
    <s v="appointment_export_2026_01.csv"/>
    <n v="0"/>
    <n v="0"/>
    <x v="1"/>
    <s v="Midland"/>
    <s v="Daniel Wong"/>
    <s v="Urban"/>
    <s v="Mon-Fri 08:00-17:30"/>
    <x v="4"/>
    <n v="28"/>
    <n v="150"/>
    <s v="Specialist outpatient"/>
    <s v="Cardiology Clinician"/>
    <s v="Matched"/>
    <n v="51"/>
    <n v="0"/>
    <n v="12"/>
    <n v="1"/>
    <n v="1"/>
    <n v="0"/>
    <n v="1"/>
    <n v="0"/>
    <s v="Matches Standard"/>
    <x v="0"/>
    <n v="2026"/>
    <n v="1"/>
    <s v="Jan"/>
  </r>
  <r>
    <s v="APT-202601-0129"/>
    <d v="2026-01-31T00:00:00"/>
    <d v="2026-01-02T00:00:00"/>
    <s v="P0038"/>
    <s v="AUC"/>
    <s v="DIA"/>
    <s v="CL008"/>
    <x v="1"/>
    <x v="3"/>
    <d v="1899-12-30T10:00:00"/>
    <d v="1899-12-30T10:08:00"/>
    <d v="1899-12-30T10:36:00"/>
    <n v="20"/>
    <n v="80"/>
    <s v="Yes"/>
    <n v="5"/>
    <s v="New referral"/>
    <s v="appointment_export_2026_01.csv"/>
    <n v="0"/>
    <n v="0"/>
    <x v="2"/>
    <s v="Northern"/>
    <s v="Aroha Rangi"/>
    <s v="Urban"/>
    <s v="Mon-Fri 08:00-18:00"/>
    <x v="3"/>
    <n v="10"/>
    <n v="80"/>
    <s v="Long-term conditions"/>
    <s v="Diabetes Nurse"/>
    <s v="Matched"/>
    <n v="29"/>
    <n v="0"/>
    <n v="28"/>
    <n v="1"/>
    <n v="1"/>
    <n v="0"/>
    <n v="1"/>
    <n v="0"/>
    <s v="Matches Standard"/>
    <x v="0"/>
    <n v="2026"/>
    <n v="1"/>
    <s v="Jan"/>
  </r>
  <r>
    <s v="APT-202601-0130"/>
    <d v="2026-01-31T00:00:00"/>
    <d v="2025-12-23T00:00:00"/>
    <s v="P0237"/>
    <s v="WLG"/>
    <s v="GEN"/>
    <s v="CL031"/>
    <x v="1"/>
    <x v="2"/>
    <d v="1899-12-30T12:00:00"/>
    <d v="1899-12-30T12:11:00"/>
    <d v="1899-12-30T12:17:00"/>
    <n v="20"/>
    <n v="65"/>
    <s v="No"/>
    <n v="5"/>
    <s v="Follow-up visit"/>
    <s v="appointment_export_2026_01.csv"/>
    <n v="0"/>
    <n v="0"/>
    <x v="0"/>
    <s v="Central"/>
    <s v="Sophie Martin"/>
    <s v="Urban"/>
    <s v="Mon-Sat 08:00-18:00"/>
    <x v="1"/>
    <n v="7"/>
    <n v="65"/>
    <s v="Primary care"/>
    <s v="Doctor or Nurse Practitioner"/>
    <s v="Matched"/>
    <n v="39"/>
    <n v="0"/>
    <n v="6"/>
    <n v="1"/>
    <n v="1"/>
    <n v="0"/>
    <n v="1"/>
    <n v="0"/>
    <s v="Matches Standard"/>
    <x v="0"/>
    <n v="2026"/>
    <n v="1"/>
    <s v="Jan"/>
  </r>
  <r>
    <s v="APT-202601-0131"/>
    <d v="2026-01-14T00:00:00"/>
    <d v="2025-12-03T00:00:00"/>
    <s v="P9999"/>
    <s v="HAM"/>
    <s v="MHS"/>
    <s v="CL013"/>
    <x v="1"/>
    <x v="0"/>
    <d v="1899-12-30T12:00:00"/>
    <d v="1899-12-30T12:08:00"/>
    <d v="1899-12-30T12:33:00"/>
    <n v="30"/>
    <n v="120"/>
    <s v="No"/>
    <n v="4"/>
    <s v="Patient requested appointment"/>
    <s v="appointment_export_2026_01.csv"/>
    <n v="0"/>
    <n v="0"/>
    <x v="1"/>
    <s v="Midland"/>
    <s v="Daniel Wong"/>
    <s v="Urban"/>
    <s v="Mon-Fri 08:00-17:30"/>
    <x v="2"/>
    <n v="14"/>
    <n v="120"/>
    <s v="Behavioural health"/>
    <s v="Mental Health Clinician"/>
    <s v="Matched"/>
    <n v="42"/>
    <n v="0"/>
    <n v="25"/>
    <n v="1"/>
    <n v="1"/>
    <n v="0"/>
    <n v="1"/>
    <n v="0"/>
    <s v="Matches Standard"/>
    <x v="0"/>
    <n v="2026"/>
    <n v="1"/>
    <s v="Jan"/>
  </r>
  <r>
    <s v="APT-202601-0132"/>
    <d v="2026-01-21T00:00:00"/>
    <d v="2025-12-15T00:00:00"/>
    <s v="P0131"/>
    <s v="AUC"/>
    <s v="PHY"/>
    <s v="CL005"/>
    <x v="1"/>
    <x v="2"/>
    <d v="1899-12-30T10:00:00"/>
    <d v="1899-12-30T10:11:00"/>
    <d v="1899-12-30T10:07:00"/>
    <n v="30"/>
    <n v="95"/>
    <s v="Yes"/>
    <n v="4"/>
    <s v="Care plan review"/>
    <s v="appointment_export_2026_01.csv"/>
    <n v="0"/>
    <n v="0"/>
    <x v="2"/>
    <s v="Northern"/>
    <s v="Aroha Rangi"/>
    <s v="Urban"/>
    <s v="Mon-Fri 08:00-18:00"/>
    <x v="0"/>
    <n v="21"/>
    <n v="95"/>
    <s v="Rehabilitation"/>
    <s v="Physiotherapist"/>
    <s v="Matched"/>
    <n v="37"/>
    <n v="0"/>
    <m/>
    <m/>
    <n v="1"/>
    <n v="0"/>
    <n v="1"/>
    <n v="0"/>
    <s v="Matches Standard"/>
    <x v="0"/>
    <n v="2026"/>
    <n v="1"/>
    <s v="Jan"/>
  </r>
  <r>
    <s v="APT-202601-0133"/>
    <d v="2026-01-31T00:00:00"/>
    <d v="2025-12-28T00:00:00"/>
    <s v="P0021"/>
    <s v="HAM"/>
    <s v="DIA"/>
    <s v="CL018"/>
    <x v="2"/>
    <x v="0"/>
    <d v="1899-12-30T15:00:00"/>
    <m/>
    <m/>
    <n v="0"/>
    <n v="80"/>
    <s v="No"/>
    <m/>
    <s v="Patient requested appointment"/>
    <s v="appointment_export_2026_01.csv"/>
    <n v="0"/>
    <n v="0"/>
    <x v="1"/>
    <s v="Midland"/>
    <s v="Daniel Wong"/>
    <s v="Urban"/>
    <s v="Mon-Fri 08:00-17:30"/>
    <x v="3"/>
    <n v="10"/>
    <n v="80"/>
    <s v="Long-term conditions"/>
    <s v="Diabetes Nurse"/>
    <s v="Matched"/>
    <n v="34"/>
    <n v="0"/>
    <m/>
    <m/>
    <n v="1"/>
    <n v="1"/>
    <n v="1"/>
    <n v="0"/>
    <s v="Matches Standard"/>
    <x v="0"/>
    <n v="2026"/>
    <n v="1"/>
    <s v="Jan"/>
  </r>
  <r>
    <s v="APT-202601-0134"/>
    <d v="2026-01-16T00:00:00"/>
    <d v="2025-11-27T00:00:00"/>
    <s v="P0205"/>
    <s v="PMR"/>
    <s v="GEN"/>
    <s v="CL022"/>
    <x v="1"/>
    <x v="1"/>
    <d v="1899-12-30T12:00:00"/>
    <d v="1899-12-30T11:50:00"/>
    <d v="1899-12-30T12:21:00"/>
    <n v="45"/>
    <n v="65"/>
    <s v="No"/>
    <n v="4"/>
    <s v="Care plan review"/>
    <s v="appointment_export_2026_01.csv"/>
    <n v="0"/>
    <n v="0"/>
    <x v="3"/>
    <s v="Central"/>
    <s v="Mereana Thompson"/>
    <s v="Regional"/>
    <s v="Mon-Fri 08:30-17:00"/>
    <x v="1"/>
    <n v="7"/>
    <n v="65"/>
    <s v="Primary care"/>
    <s v="Doctor or Nurse Practitioner"/>
    <s v="Matched"/>
    <n v="50"/>
    <n v="0"/>
    <n v="31"/>
    <n v="0"/>
    <n v="1"/>
    <n v="0"/>
    <n v="1"/>
    <n v="0"/>
    <s v="Matches Standard"/>
    <x v="0"/>
    <n v="2026"/>
    <n v="1"/>
    <s v="Jan"/>
  </r>
  <r>
    <s v="APT-202601-0135"/>
    <d v="2026-01-27T00:00:00"/>
    <d v="2026-01-10T00:00:00"/>
    <s v="P0015"/>
    <s v="WLG"/>
    <s v="GEN"/>
    <s v="CL032"/>
    <x v="1"/>
    <x v="3"/>
    <d v="1899-12-30T12:30:00"/>
    <d v="1899-12-30T12:24:00"/>
    <d v="1899-12-30T12:37:00"/>
    <n v="45"/>
    <n v="65"/>
    <s v="No"/>
    <n v="5"/>
    <s v="Care plan review"/>
    <s v="appointment_export_2026_01.csv"/>
    <n v="0"/>
    <n v="0"/>
    <x v="0"/>
    <s v="Central"/>
    <s v="Sophie Martin"/>
    <s v="Urban"/>
    <s v="Mon-Sat 08:00-18:00"/>
    <x v="1"/>
    <n v="7"/>
    <n v="65"/>
    <s v="Primary care"/>
    <s v="Doctor or Nurse Practitioner"/>
    <s v="Matched"/>
    <n v="17"/>
    <n v="0"/>
    <n v="13"/>
    <n v="1"/>
    <n v="1"/>
    <n v="0"/>
    <n v="1"/>
    <n v="0"/>
    <s v="Matches Standard"/>
    <x v="0"/>
    <n v="2026"/>
    <n v="1"/>
    <s v="Jan"/>
  </r>
  <r>
    <s v="APT-202601-0136"/>
    <d v="2026-01-02T00:00:00"/>
    <d v="2025-11-12T00:00:00"/>
    <s v="P0151"/>
    <s v="HAM"/>
    <s v="DIA"/>
    <s v="CL018"/>
    <x v="1"/>
    <x v="3"/>
    <d v="1899-12-30T08:00:00"/>
    <d v="1899-12-30T07:50:00"/>
    <d v="1899-12-30T08:21:00"/>
    <n v="30"/>
    <n v="80"/>
    <s v="Yes"/>
    <n v="4"/>
    <s v="Routine review"/>
    <s v="appointment_export_2026_01.csv"/>
    <n v="0"/>
    <n v="0"/>
    <x v="1"/>
    <s v="Midland"/>
    <s v="Daniel Wong"/>
    <s v="Urban"/>
    <s v="Mon-Fri 08:00-17:30"/>
    <x v="3"/>
    <n v="10"/>
    <n v="80"/>
    <s v="Long-term conditions"/>
    <s v="Diabetes Nurse"/>
    <s v="Matched"/>
    <n v="51"/>
    <n v="0"/>
    <n v="31"/>
    <n v="0"/>
    <n v="1"/>
    <n v="0"/>
    <n v="1"/>
    <n v="0"/>
    <s v="Matches Standard"/>
    <x v="0"/>
    <n v="2026"/>
    <n v="1"/>
    <s v="Jan"/>
  </r>
  <r>
    <s v="APT-202601-0137"/>
    <d v="2026-01-28T00:00:00"/>
    <d v="2025-12-08T00:00:00"/>
    <s v="P0084"/>
    <s v="WLG"/>
    <s v="CAR"/>
    <s v="CL040"/>
    <x v="1"/>
    <x v="0"/>
    <d v="1899-12-30T09:30:00"/>
    <d v="1899-12-30T09:44:00"/>
    <d v="1899-12-30T09:50:00"/>
    <m/>
    <n v="150"/>
    <s v="No"/>
    <n v="5"/>
    <s v="Follow-up visit"/>
    <s v="appointment_export_2026_01.csv"/>
    <n v="0"/>
    <n v="0"/>
    <x v="0"/>
    <s v="Central"/>
    <s v="Sophie Martin"/>
    <s v="Urban"/>
    <s v="Mon-Sat 08:00-18:00"/>
    <x v="4"/>
    <n v="28"/>
    <n v="150"/>
    <s v="Specialist outpatient"/>
    <s v="Cardiology Clinician"/>
    <s v="Matched"/>
    <n v="51"/>
    <n v="0"/>
    <n v="6"/>
    <n v="1"/>
    <n v="1"/>
    <n v="0"/>
    <n v="1"/>
    <n v="0"/>
    <s v="Matches Standard"/>
    <x v="0"/>
    <n v="2026"/>
    <n v="1"/>
    <s v="Jan"/>
  </r>
  <r>
    <s v="APT-202601-0138"/>
    <d v="2026-01-16T00:00:00"/>
    <d v="2025-12-25T00:00:00"/>
    <s v="P0094"/>
    <s v="AUC"/>
    <s v="DIA"/>
    <s v="CL008"/>
    <x v="1"/>
    <x v="1"/>
    <d v="1899-12-30T09:30:00"/>
    <d v="1899-12-30T09:34:00"/>
    <d v="1899-12-30T09:54:00"/>
    <n v="30"/>
    <n v="80"/>
    <s v="No"/>
    <n v="4"/>
    <s v="Patient requested appointment"/>
    <s v="appointment_export_2026_01.csv"/>
    <n v="0"/>
    <n v="0"/>
    <x v="2"/>
    <s v="Northern"/>
    <s v="Aroha Rangi"/>
    <s v="Urban"/>
    <s v="Mon-Fri 08:00-18:00"/>
    <x v="3"/>
    <n v="10"/>
    <n v="80"/>
    <s v="Long-term conditions"/>
    <s v="Diabetes Nurse"/>
    <s v="Matched"/>
    <n v="22"/>
    <n v="0"/>
    <n v="20"/>
    <n v="1"/>
    <n v="1"/>
    <n v="0"/>
    <n v="1"/>
    <n v="0"/>
    <s v="Matches Standard"/>
    <x v="0"/>
    <n v="2026"/>
    <n v="1"/>
    <s v="Jan"/>
  </r>
  <r>
    <s v="APT-202601-0140"/>
    <d v="2026-01-01T00:00:00"/>
    <d v="2025-11-13T00:00:00"/>
    <s v="P0005"/>
    <s v="HAM"/>
    <s v="GEN"/>
    <s v="CL011"/>
    <x v="2"/>
    <x v="1"/>
    <d v="1899-12-30T16:00:00"/>
    <m/>
    <m/>
    <n v="0"/>
    <n v="65"/>
    <s v="No"/>
    <m/>
    <s v="Patient requested appointment"/>
    <s v="appointment_export_2026_01.csv"/>
    <n v="0"/>
    <n v="0"/>
    <x v="1"/>
    <s v="Midland"/>
    <s v="Daniel Wong"/>
    <s v="Urban"/>
    <s v="Mon-Fri 08:00-17:30"/>
    <x v="1"/>
    <n v="7"/>
    <n v="65"/>
    <s v="Primary care"/>
    <s v="Doctor or Nurse Practitioner"/>
    <s v="Matched"/>
    <n v="49"/>
    <n v="0"/>
    <m/>
    <m/>
    <n v="1"/>
    <n v="1"/>
    <n v="1"/>
    <n v="0"/>
    <s v="Matches Standard"/>
    <x v="0"/>
    <n v="2026"/>
    <n v="1"/>
    <s v="Jan"/>
  </r>
  <r>
    <s v="APT-202601-0141"/>
    <d v="2026-01-24T00:00:00"/>
    <d v="2025-12-26T00:00:00"/>
    <s v="P0183"/>
    <s v="WLG"/>
    <s v="MHS"/>
    <s v="CL033"/>
    <x v="2"/>
    <x v="0"/>
    <d v="1899-12-30T16:00:00"/>
    <m/>
    <m/>
    <n v="0"/>
    <n v="120"/>
    <s v="No"/>
    <m/>
    <s v="Follow-up visit"/>
    <s v="appointment_export_2026_01.csv"/>
    <n v="0"/>
    <n v="0"/>
    <x v="0"/>
    <s v="Central"/>
    <s v="Sophie Martin"/>
    <s v="Urban"/>
    <s v="Mon-Sat 08:00-18:00"/>
    <x v="2"/>
    <n v="14"/>
    <n v="120"/>
    <s v="Behavioural health"/>
    <s v="Mental Health Clinician"/>
    <s v="Matched"/>
    <n v="29"/>
    <n v="0"/>
    <m/>
    <m/>
    <n v="1"/>
    <n v="1"/>
    <n v="1"/>
    <n v="0"/>
    <s v="Matches Standard"/>
    <x v="0"/>
    <n v="2026"/>
    <n v="1"/>
    <s v="Jan"/>
  </r>
  <r>
    <s v="APT-202601-0142"/>
    <d v="2026-01-12T00:00:00"/>
    <d v="2025-11-28T00:00:00"/>
    <s v="P0049"/>
    <s v="AUC"/>
    <s v="DIA"/>
    <s v="CL007"/>
    <x v="1"/>
    <x v="2"/>
    <d v="1899-12-30T09:00:00"/>
    <d v="1899-12-30T09:06:00"/>
    <d v="1899-12-30T09:12:00"/>
    <n v="30"/>
    <n v="80"/>
    <s v="No"/>
    <n v="5"/>
    <s v="Follow-up visit"/>
    <s v="appointment_export_2026_01.csv"/>
    <n v="0"/>
    <n v="0"/>
    <x v="2"/>
    <s v="Northern"/>
    <s v="Aroha Rangi"/>
    <s v="Urban"/>
    <s v="Mon-Fri 08:00-18:00"/>
    <x v="3"/>
    <n v="10"/>
    <n v="80"/>
    <s v="Long-term conditions"/>
    <s v="Diabetes Nurse"/>
    <s v="Matched"/>
    <n v="45"/>
    <n v="0"/>
    <n v="6"/>
    <n v="1"/>
    <n v="1"/>
    <n v="0"/>
    <n v="1"/>
    <n v="0"/>
    <s v="Matches Standard"/>
    <x v="0"/>
    <n v="2026"/>
    <n v="1"/>
    <s v="Jan"/>
  </r>
  <r>
    <s v="APT-202601-0143"/>
    <d v="2026-01-31T00:00:00"/>
    <d v="2025-12-15T00:00:00"/>
    <s v="P0001"/>
    <s v="PMR"/>
    <s v="GEN"/>
    <s v="CL021"/>
    <x v="3"/>
    <x v="0"/>
    <d v="1899-12-30T11:00:00"/>
    <m/>
    <m/>
    <n v="0"/>
    <n v="65"/>
    <s v="Yes"/>
    <m/>
    <s v="Routine review"/>
    <s v="appointment_export_2026_01.csv"/>
    <n v="0"/>
    <n v="0"/>
    <x v="3"/>
    <s v="Central"/>
    <s v="Mereana Thompson"/>
    <s v="Regional"/>
    <s v="Mon-Fri 08:30-17:00"/>
    <x v="1"/>
    <n v="7"/>
    <n v="65"/>
    <s v="Primary care"/>
    <s v="Doctor or Nurse Practitioner"/>
    <s v="Matched"/>
    <n v="47"/>
    <n v="0"/>
    <m/>
    <m/>
    <n v="0"/>
    <m/>
    <n v="1"/>
    <n v="0"/>
    <s v="Matches Standard"/>
    <x v="0"/>
    <n v="2026"/>
    <n v="1"/>
    <s v="Jan"/>
  </r>
  <r>
    <s v="APT-202601-0144"/>
    <d v="2026-01-21T00:00:00"/>
    <d v="2026-01-15T00:00:00"/>
    <s v="P0105"/>
    <s v="HAM"/>
    <s v="PHY"/>
    <s v="CL015"/>
    <x v="1"/>
    <x v="2"/>
    <d v="1899-12-30T13:30:00"/>
    <d v="1899-12-30T13:20:00"/>
    <d v="1899-12-30T14:03:00"/>
    <n v="20"/>
    <n v="95"/>
    <s v="No"/>
    <n v="4"/>
    <s v="Routine review"/>
    <s v="appointment_export_2026_01.csv"/>
    <n v="0"/>
    <n v="0"/>
    <x v="1"/>
    <s v="Midland"/>
    <s v="Daniel Wong"/>
    <s v="Urban"/>
    <s v="Mon-Fri 08:00-17:30"/>
    <x v="0"/>
    <n v="21"/>
    <n v="95"/>
    <s v="Rehabilitation"/>
    <s v="Physiotherapist"/>
    <s v="Matched"/>
    <n v="6"/>
    <n v="1"/>
    <n v="43"/>
    <n v="0"/>
    <n v="1"/>
    <n v="0"/>
    <n v="1"/>
    <n v="0"/>
    <s v="Matches Standard"/>
    <x v="0"/>
    <n v="2026"/>
    <n v="1"/>
    <s v="Jan"/>
  </r>
  <r>
    <s v="APT-202601-0145"/>
    <d v="2026-01-02T00:00:00"/>
    <d v="2025-12-31T00:00:00"/>
    <s v="P0142"/>
    <s v="PMR"/>
    <s v="GEN"/>
    <s v="CL021"/>
    <x v="1"/>
    <x v="2"/>
    <d v="1899-12-30T12:00:00"/>
    <d v="1899-12-30T12:17:00"/>
    <d v="1899-12-30T12:25:00"/>
    <n v="30"/>
    <n v="65"/>
    <s v="No"/>
    <n v="2"/>
    <s v="Follow-up visit"/>
    <s v="appointment_export_2026_01.csv"/>
    <n v="0"/>
    <n v="0"/>
    <x v="3"/>
    <s v="Central"/>
    <s v="Mereana Thompson"/>
    <s v="Regional"/>
    <s v="Mon-Fri 08:30-17:00"/>
    <x v="1"/>
    <n v="7"/>
    <n v="65"/>
    <s v="Primary care"/>
    <s v="Doctor or Nurse Practitioner"/>
    <s v="Matched"/>
    <n v="2"/>
    <n v="1"/>
    <n v="8"/>
    <n v="1"/>
    <n v="1"/>
    <n v="0"/>
    <n v="1"/>
    <n v="0"/>
    <s v="Matches Standard"/>
    <x v="0"/>
    <n v="2026"/>
    <n v="1"/>
    <s v="Jan"/>
  </r>
  <r>
    <s v="APT-202601-0146"/>
    <d v="2026-01-17T00:00:00"/>
    <d v="2025-12-18T00:00:00"/>
    <s v="P0021"/>
    <s v="AUC"/>
    <s v="GEN"/>
    <s v="CL002"/>
    <x v="1"/>
    <x v="3"/>
    <d v="1899-12-30T15:30:00"/>
    <d v="1899-12-30T15:46:00"/>
    <d v="1899-12-30T15:33:00"/>
    <n v="45"/>
    <n v="65"/>
    <s v="No"/>
    <n v="4"/>
    <s v="Care plan review"/>
    <s v="appointment_export_2026_01.csv"/>
    <n v="0"/>
    <n v="0"/>
    <x v="2"/>
    <s v="Northern"/>
    <s v="Aroha Rangi"/>
    <s v="Urban"/>
    <s v="Mon-Fri 08:00-18:00"/>
    <x v="1"/>
    <n v="7"/>
    <n v="65"/>
    <s v="Primary care"/>
    <s v="Doctor or Nurse Practitioner"/>
    <s v="Matched"/>
    <n v="30"/>
    <n v="0"/>
    <m/>
    <m/>
    <n v="1"/>
    <n v="0"/>
    <n v="1"/>
    <n v="0"/>
    <s v="Matches Standard"/>
    <x v="0"/>
    <n v="2026"/>
    <n v="1"/>
    <s v="Jan"/>
  </r>
  <r>
    <s v="APT-202601-0147"/>
    <d v="2026-01-04T00:00:00"/>
    <d v="2025-12-30T00:00:00"/>
    <s v="P0182"/>
    <s v="WLG"/>
    <s v="PHY"/>
    <s v="CL035"/>
    <x v="2"/>
    <x v="3"/>
    <d v="1899-12-30T13:00:00"/>
    <m/>
    <m/>
    <n v="0"/>
    <n v="95"/>
    <s v="Yes"/>
    <m/>
    <s v="Routine review"/>
    <s v="appointment_export_2026_01.csv"/>
    <n v="0"/>
    <n v="0"/>
    <x v="0"/>
    <s v="Central"/>
    <s v="Sophie Martin"/>
    <s v="Urban"/>
    <s v="Mon-Sat 08:00-18:00"/>
    <x v="0"/>
    <n v="21"/>
    <n v="95"/>
    <s v="Rehabilitation"/>
    <s v="Physiotherapist"/>
    <s v="Matched"/>
    <n v="5"/>
    <n v="1"/>
    <m/>
    <m/>
    <n v="1"/>
    <n v="1"/>
    <n v="1"/>
    <n v="0"/>
    <s v="Matches Standard"/>
    <x v="0"/>
    <n v="2026"/>
    <n v="1"/>
    <s v="Jan"/>
  </r>
  <r>
    <s v="APT-202601-0148"/>
    <d v="2026-01-19T00:00:00"/>
    <d v="2026-01-14T00:00:00"/>
    <s v="P0067"/>
    <s v="HAM"/>
    <s v="MHS"/>
    <s v="CL013"/>
    <x v="3"/>
    <x v="0"/>
    <d v="1899-12-30T10:00:00"/>
    <m/>
    <m/>
    <n v="0"/>
    <n v="120"/>
    <s v="No"/>
    <m/>
    <s v="Follow-up visit"/>
    <s v="appointment_export_2026_01.csv"/>
    <n v="0"/>
    <n v="0"/>
    <x v="1"/>
    <s v="Midland"/>
    <s v="Daniel Wong"/>
    <s v="Urban"/>
    <s v="Mon-Fri 08:00-17:30"/>
    <x v="2"/>
    <n v="14"/>
    <n v="120"/>
    <s v="Behavioural health"/>
    <s v="Mental Health Clinician"/>
    <s v="Matched"/>
    <n v="5"/>
    <n v="1"/>
    <m/>
    <m/>
    <n v="0"/>
    <m/>
    <n v="1"/>
    <n v="0"/>
    <s v="Matches Standard"/>
    <x v="0"/>
    <n v="2026"/>
    <n v="1"/>
    <s v="Jan"/>
  </r>
  <r>
    <s v="APT-202601-0149"/>
    <d v="2026-01-30T00:00:00"/>
    <d v="2026-01-03T00:00:00"/>
    <s v="P0232"/>
    <s v="AUC"/>
    <s v="MHS"/>
    <s v="CL004"/>
    <x v="1"/>
    <x v="2"/>
    <d v="1899-12-30T08:30:00"/>
    <d v="1899-12-30T08:25:00"/>
    <d v="1899-12-30T08:43:00"/>
    <n v="60"/>
    <m/>
    <s v="No"/>
    <n v="5"/>
    <s v="Follow-up visit"/>
    <s v="appointment_export_2026_01.csv"/>
    <n v="0"/>
    <n v="0"/>
    <x v="2"/>
    <s v="Northern"/>
    <s v="Aroha Rangi"/>
    <s v="Urban"/>
    <s v="Mon-Fri 08:00-18:00"/>
    <x v="2"/>
    <n v="14"/>
    <n v="120"/>
    <s v="Behavioural health"/>
    <s v="Mental Health Clinician"/>
    <s v="Matched"/>
    <n v="27"/>
    <n v="0"/>
    <n v="18"/>
    <n v="1"/>
    <n v="1"/>
    <n v="0"/>
    <n v="0"/>
    <m/>
    <s v="Missing Actual Fee"/>
    <x v="0"/>
    <n v="2026"/>
    <n v="1"/>
    <s v="Jan"/>
  </r>
  <r>
    <s v="APT-202601-0150"/>
    <d v="2026-01-16T00:00:00"/>
    <d v="2025-12-04T00:00:00"/>
    <s v="P0198"/>
    <s v="PMR"/>
    <s v="PHY"/>
    <s v="CL025"/>
    <x v="1"/>
    <x v="2"/>
    <d v="1899-12-30T15:30:00"/>
    <d v="1899-12-30T15:28:00"/>
    <d v="1899-12-30T15:30:00"/>
    <n v="45"/>
    <n v="95"/>
    <s v="Yes"/>
    <n v="5"/>
    <s v="Routine review"/>
    <s v="appointment_export_2026_01.csv"/>
    <n v="0"/>
    <n v="0"/>
    <x v="3"/>
    <s v="Central"/>
    <s v="Mereana Thompson"/>
    <s v="Regional"/>
    <s v="Mon-Fri 08:30-17:00"/>
    <x v="0"/>
    <n v="21"/>
    <n v="95"/>
    <s v="Rehabilitation"/>
    <s v="Physiotherapist"/>
    <s v="Matched"/>
    <n v="43"/>
    <n v="0"/>
    <n v="2"/>
    <n v="1"/>
    <n v="1"/>
    <n v="0"/>
    <n v="1"/>
    <n v="0"/>
    <s v="Matches Standard"/>
    <x v="0"/>
    <n v="2026"/>
    <n v="1"/>
    <s v="Jan"/>
  </r>
  <r>
    <s v="APT-202601-0151"/>
    <d v="2026-01-12T00:00:00"/>
    <d v="2025-12-29T00:00:00"/>
    <s v="P0020"/>
    <s v="PMR"/>
    <s v="GEN"/>
    <s v="CL021"/>
    <x v="2"/>
    <x v="2"/>
    <d v="1899-12-30T10:30:00"/>
    <m/>
    <m/>
    <n v="0"/>
    <n v="65"/>
    <s v="No"/>
    <m/>
    <s v="Patient requested appointment"/>
    <s v="appointment_export_2026_01.csv"/>
    <n v="0"/>
    <n v="0"/>
    <x v="3"/>
    <s v="Central"/>
    <s v="Mereana Thompson"/>
    <s v="Regional"/>
    <s v="Mon-Fri 08:30-17:00"/>
    <x v="1"/>
    <n v="7"/>
    <n v="65"/>
    <s v="Primary care"/>
    <s v="Doctor or Nurse Practitioner"/>
    <s v="Matched"/>
    <n v="14"/>
    <n v="0"/>
    <m/>
    <m/>
    <n v="1"/>
    <n v="1"/>
    <n v="1"/>
    <n v="0"/>
    <s v="Matches Standard"/>
    <x v="0"/>
    <n v="2026"/>
    <n v="1"/>
    <s v="Jan"/>
  </r>
  <r>
    <s v="APT-202601-0152"/>
    <d v="2026-01-26T00:00:00"/>
    <d v="2025-12-05T00:00:00"/>
    <s v="P0186"/>
    <s v="AUC"/>
    <s v="PHY"/>
    <s v="CL005"/>
    <x v="1"/>
    <x v="1"/>
    <d v="1899-12-30T10:00:00"/>
    <d v="1899-12-30T10:06:00"/>
    <d v="1899-12-30T10:35:00"/>
    <n v="60"/>
    <n v="95"/>
    <s v="No"/>
    <n v="4"/>
    <s v="New referral"/>
    <s v="appointment_export_2026_01.csv"/>
    <n v="0"/>
    <n v="0"/>
    <x v="2"/>
    <s v="Northern"/>
    <s v="Aroha Rangi"/>
    <s v="Urban"/>
    <s v="Mon-Fri 08:00-18:00"/>
    <x v="0"/>
    <n v="21"/>
    <n v="95"/>
    <s v="Rehabilitation"/>
    <s v="Physiotherapist"/>
    <s v="Matched"/>
    <n v="52"/>
    <n v="0"/>
    <n v="29"/>
    <n v="1"/>
    <n v="1"/>
    <n v="0"/>
    <n v="1"/>
    <n v="0"/>
    <s v="Matches Standard"/>
    <x v="0"/>
    <n v="2026"/>
    <n v="1"/>
    <s v="Jan"/>
  </r>
  <r>
    <s v="APT-202601-0153"/>
    <d v="2026-01-14T00:00:00"/>
    <d v="2025-12-29T00:00:00"/>
    <s v="P0171"/>
    <s v="AUC"/>
    <s v="MHS"/>
    <s v="CL003"/>
    <x v="1"/>
    <x v="1"/>
    <d v="1899-12-30T09:30:00"/>
    <d v="1899-12-30T09:21:00"/>
    <d v="1899-12-30T10:00:00"/>
    <n v="60"/>
    <n v="120"/>
    <s v="Yes"/>
    <n v="4"/>
    <s v="Follow-up visit"/>
    <s v="appointment_export_2026_01.csv"/>
    <n v="0"/>
    <n v="0"/>
    <x v="2"/>
    <s v="Northern"/>
    <s v="Aroha Rangi"/>
    <s v="Urban"/>
    <s v="Mon-Fri 08:00-18:00"/>
    <x v="2"/>
    <n v="14"/>
    <n v="120"/>
    <s v="Behavioural health"/>
    <s v="Mental Health Clinician"/>
    <s v="Matched"/>
    <n v="16"/>
    <n v="0"/>
    <n v="39"/>
    <n v="0"/>
    <n v="1"/>
    <n v="0"/>
    <n v="1"/>
    <n v="0"/>
    <s v="Matches Standard"/>
    <x v="0"/>
    <n v="2026"/>
    <n v="1"/>
    <s v="Jan"/>
  </r>
  <r>
    <s v="APT-202601-0154"/>
    <d v="2026-01-17T00:00:00"/>
    <d v="2025-12-22T00:00:00"/>
    <s v="P0199"/>
    <s v="HAM"/>
    <s v="GEN"/>
    <s v="CL011"/>
    <x v="2"/>
    <x v="2"/>
    <d v="1899-12-30T08:30:00"/>
    <m/>
    <m/>
    <n v="0"/>
    <n v="65"/>
    <s v="No"/>
    <m/>
    <s v="Care plan review"/>
    <s v="appointment_export_2026_01.csv"/>
    <n v="0"/>
    <n v="0"/>
    <x v="1"/>
    <s v="Midland"/>
    <s v="Daniel Wong"/>
    <s v="Urban"/>
    <s v="Mon-Fri 08:00-17:30"/>
    <x v="1"/>
    <n v="7"/>
    <n v="65"/>
    <s v="Primary care"/>
    <s v="Doctor or Nurse Practitioner"/>
    <s v="Matched"/>
    <n v="26"/>
    <n v="0"/>
    <m/>
    <m/>
    <n v="1"/>
    <n v="1"/>
    <n v="1"/>
    <n v="0"/>
    <s v="Matches Standard"/>
    <x v="0"/>
    <n v="2026"/>
    <n v="1"/>
    <s v="Jan"/>
  </r>
  <r>
    <s v="APT-202601-0155"/>
    <d v="2026-01-28T00:00:00"/>
    <d v="2025-12-25T00:00:00"/>
    <s v="P0148"/>
    <s v="PMR"/>
    <s v="CAR"/>
    <s v="CL029"/>
    <x v="1"/>
    <x v="2"/>
    <d v="1899-12-30T14:00:00"/>
    <d v="1899-12-30T14:02:00"/>
    <d v="1899-12-30T14:03:00"/>
    <n v="60"/>
    <n v="150"/>
    <s v="Yes"/>
    <n v="5"/>
    <s v="Routine review"/>
    <s v="appointment_export_2026_01.csv"/>
    <n v="0"/>
    <n v="0"/>
    <x v="3"/>
    <s v="Central"/>
    <s v="Mereana Thompson"/>
    <s v="Regional"/>
    <s v="Mon-Fri 08:30-17:00"/>
    <x v="4"/>
    <n v="28"/>
    <n v="150"/>
    <s v="Specialist outpatient"/>
    <s v="Cardiology Clinician"/>
    <s v="Matched"/>
    <n v="34"/>
    <n v="0"/>
    <n v="1"/>
    <n v="1"/>
    <n v="1"/>
    <n v="0"/>
    <n v="1"/>
    <n v="0"/>
    <s v="Matches Standard"/>
    <x v="0"/>
    <n v="2026"/>
    <n v="1"/>
    <s v="Jan"/>
  </r>
  <r>
    <s v="APT-202601-0156"/>
    <d v="2026-01-26T00:00:00"/>
    <d v="2026-01-14T00:00:00"/>
    <s v="P0213"/>
    <s v="WLG"/>
    <s v="PHY"/>
    <s v="CL036"/>
    <x v="1"/>
    <x v="3"/>
    <d v="1899-12-30T08:30:00"/>
    <d v="1899-12-30T08:20:00"/>
    <d v="1899-12-30T09:01:00"/>
    <n v="30"/>
    <n v="95"/>
    <s v="No"/>
    <n v="5"/>
    <s v="Follow-up visit"/>
    <s v="appointment_export_2026_01.csv"/>
    <n v="0"/>
    <n v="0"/>
    <x v="0"/>
    <s v="Central"/>
    <s v="Sophie Martin"/>
    <s v="Urban"/>
    <s v="Mon-Sat 08:00-18:00"/>
    <x v="0"/>
    <n v="21"/>
    <n v="95"/>
    <s v="Rehabilitation"/>
    <s v="Physiotherapist"/>
    <s v="Matched"/>
    <n v="12"/>
    <n v="1"/>
    <n v="41"/>
    <n v="0"/>
    <n v="1"/>
    <n v="0"/>
    <n v="1"/>
    <n v="0"/>
    <s v="Matches Standard"/>
    <x v="0"/>
    <n v="2026"/>
    <n v="1"/>
    <s v="Jan"/>
  </r>
  <r>
    <s v="APT-202601-0157"/>
    <d v="2026-01-20T00:00:00"/>
    <d v="2026-01-11T00:00:00"/>
    <s v="P0156"/>
    <s v="WLG"/>
    <s v="CAR"/>
    <s v="CL039"/>
    <x v="1"/>
    <x v="3"/>
    <d v="1899-12-30T13:00:00"/>
    <d v="1899-12-30T13:01:00"/>
    <d v="1899-12-30T13:31:00"/>
    <n v="45"/>
    <n v="150"/>
    <s v="No"/>
    <n v="5"/>
    <s v="Routine review"/>
    <s v="appointment_export_2026_01.csv"/>
    <n v="0"/>
    <n v="0"/>
    <x v="0"/>
    <s v="Central"/>
    <s v="Sophie Martin"/>
    <s v="Urban"/>
    <s v="Mon-Sat 08:00-18:00"/>
    <x v="4"/>
    <n v="28"/>
    <n v="150"/>
    <s v="Specialist outpatient"/>
    <s v="Cardiology Clinician"/>
    <s v="Matched"/>
    <n v="9"/>
    <n v="1"/>
    <n v="30"/>
    <n v="1"/>
    <n v="1"/>
    <n v="0"/>
    <n v="1"/>
    <n v="0"/>
    <s v="Matches Standard"/>
    <x v="0"/>
    <n v="2026"/>
    <n v="1"/>
    <s v="Jan"/>
  </r>
  <r>
    <s v="APT-202601-0158"/>
    <d v="2026-01-21T00:00:00"/>
    <d v="2026-01-17T00:00:00"/>
    <s v="P0088"/>
    <s v="PMR"/>
    <m/>
    <s v="CL029"/>
    <x v="1"/>
    <x v="0"/>
    <d v="1899-12-30T15:30:00"/>
    <d v="1899-12-30T15:44:00"/>
    <d v="1899-12-30T16:04:00"/>
    <n v="45"/>
    <n v="150"/>
    <s v="Yes"/>
    <n v="4"/>
    <s v="Follow-up visit"/>
    <s v="appointment_export_2026_01.csv"/>
    <n v="0"/>
    <n v="1"/>
    <x v="3"/>
    <s v="Central"/>
    <s v="Mereana Thompson"/>
    <s v="Regional"/>
    <s v="Mon-Fri 08:30-17:00"/>
    <x v="5"/>
    <m/>
    <m/>
    <m/>
    <m/>
    <s v="Missing Service Code"/>
    <n v="4"/>
    <m/>
    <n v="20"/>
    <n v="1"/>
    <n v="1"/>
    <n v="0"/>
    <n v="1"/>
    <m/>
    <s v="Missing Standard Fee"/>
    <x v="0"/>
    <n v="2026"/>
    <n v="1"/>
    <s v="Jan"/>
  </r>
  <r>
    <s v="APT-202601-0159"/>
    <d v="2026-01-23T00:00:00"/>
    <d v="2026-01-04T00:00:00"/>
    <s v="P0208"/>
    <s v="AUC"/>
    <s v="PHY"/>
    <s v="CL006"/>
    <x v="1"/>
    <x v="1"/>
    <d v="1899-12-30T09:30:00"/>
    <d v="1899-12-30T09:24:00"/>
    <d v="1899-12-30T09:44:00"/>
    <n v="20"/>
    <n v="95"/>
    <s v="No"/>
    <n v="3"/>
    <s v="Routine review"/>
    <s v="appointment_export_2026_01.csv"/>
    <n v="0"/>
    <n v="0"/>
    <x v="2"/>
    <s v="Northern"/>
    <s v="Aroha Rangi"/>
    <s v="Urban"/>
    <s v="Mon-Fri 08:00-18:00"/>
    <x v="0"/>
    <n v="21"/>
    <n v="95"/>
    <s v="Rehabilitation"/>
    <s v="Physiotherapist"/>
    <s v="Matched"/>
    <n v="19"/>
    <n v="1"/>
    <n v="20"/>
    <n v="1"/>
    <n v="1"/>
    <n v="0"/>
    <n v="1"/>
    <n v="0"/>
    <s v="Matches Standard"/>
    <x v="0"/>
    <n v="2026"/>
    <n v="1"/>
    <s v="Jan"/>
  </r>
  <r>
    <s v="APT-202601-0160"/>
    <d v="2026-01-25T00:00:00"/>
    <d v="2025-12-27T00:00:00"/>
    <s v="P0179"/>
    <s v="HAM"/>
    <s v="MHS"/>
    <s v="CL014"/>
    <x v="1"/>
    <x v="3"/>
    <d v="1899-12-30T15:30:00"/>
    <d v="1899-12-30T15:26:00"/>
    <d v="1899-12-30T16:05:00"/>
    <n v="30"/>
    <n v="120"/>
    <s v="No"/>
    <n v="2"/>
    <s v="New referral"/>
    <s v="appointment_export_2026_01.csv"/>
    <n v="0"/>
    <n v="0"/>
    <x v="1"/>
    <s v="Midland"/>
    <s v="Daniel Wong"/>
    <s v="Urban"/>
    <s v="Mon-Fri 08:00-17:30"/>
    <x v="2"/>
    <n v="14"/>
    <n v="120"/>
    <s v="Behavioural health"/>
    <s v="Mental Health Clinician"/>
    <s v="Matched"/>
    <n v="29"/>
    <n v="0"/>
    <n v="39"/>
    <n v="0"/>
    <n v="1"/>
    <n v="0"/>
    <n v="1"/>
    <n v="0"/>
    <s v="Matches Standard"/>
    <x v="0"/>
    <n v="2026"/>
    <n v="1"/>
    <s v="Jan"/>
  </r>
  <r>
    <s v="APT-202602-0001"/>
    <d v="2026-02-16T00:00:00"/>
    <d v="2026-01-09T00:00:00"/>
    <s v="P0056"/>
    <s v="HAM"/>
    <s v="PHY"/>
    <s v="CL015"/>
    <x v="2"/>
    <x v="2"/>
    <d v="1899-12-30T14:30:00"/>
    <m/>
    <m/>
    <n v="0"/>
    <n v="95"/>
    <s v="No"/>
    <m/>
    <s v="Follow-up visit"/>
    <s v="appointment_export_2026_02.csv"/>
    <n v="0"/>
    <n v="0"/>
    <x v="1"/>
    <s v="Midland"/>
    <s v="Daniel Wong"/>
    <s v="Urban"/>
    <s v="Mon-Fri 08:00-17:30"/>
    <x v="0"/>
    <n v="21"/>
    <n v="95"/>
    <s v="Rehabilitation"/>
    <s v="Physiotherapist"/>
    <s v="Matched"/>
    <n v="38"/>
    <n v="0"/>
    <m/>
    <m/>
    <n v="1"/>
    <n v="1"/>
    <n v="1"/>
    <n v="0"/>
    <s v="Matches Standard"/>
    <x v="2"/>
    <n v="2026"/>
    <n v="2"/>
    <s v="Feb"/>
  </r>
  <r>
    <s v="APT-202602-0002"/>
    <d v="2026-02-12T00:00:00"/>
    <d v="2026-02-08T00:00:00"/>
    <s v="P0056"/>
    <s v="WLG"/>
    <s v="MHS"/>
    <s v="CL033"/>
    <x v="1"/>
    <x v="2"/>
    <d v="1899-12-30T11:00:00"/>
    <d v="1899-12-30T11:06:00"/>
    <d v="1899-12-30T11:27:00"/>
    <n v="60"/>
    <n v="120"/>
    <s v="No"/>
    <n v="5"/>
    <s v="Care plan review"/>
    <s v="appointment_export_2026_02.csv"/>
    <n v="0"/>
    <n v="0"/>
    <x v="0"/>
    <s v="Central"/>
    <s v="Sophie Martin"/>
    <s v="Urban"/>
    <s v="Mon-Sat 08:00-18:00"/>
    <x v="2"/>
    <n v="14"/>
    <n v="120"/>
    <s v="Behavioural health"/>
    <s v="Mental Health Clinician"/>
    <s v="Matched"/>
    <n v="4"/>
    <n v="1"/>
    <n v="21"/>
    <n v="1"/>
    <n v="1"/>
    <n v="0"/>
    <n v="1"/>
    <n v="0"/>
    <s v="Matches Standard"/>
    <x v="2"/>
    <n v="2026"/>
    <n v="2"/>
    <s v="Feb"/>
  </r>
  <r>
    <s v="APT-202602-0003"/>
    <d v="2026-02-27T00:00:00"/>
    <d v="2026-02-18T00:00:00"/>
    <s v="P0136"/>
    <s v="AUC"/>
    <s v="MHS"/>
    <s v="CL004"/>
    <x v="1"/>
    <x v="0"/>
    <d v="1899-12-30T13:30:00"/>
    <d v="1899-12-30T13:21:00"/>
    <d v="1899-12-30T13:32:00"/>
    <n v="45"/>
    <n v="120"/>
    <s v="Yes"/>
    <n v="4"/>
    <s v="Patient requested appointment"/>
    <s v="appointment_export_2026_02.csv"/>
    <n v="0"/>
    <n v="0"/>
    <x v="2"/>
    <s v="Northern"/>
    <s v="Aroha Rangi"/>
    <s v="Urban"/>
    <s v="Mon-Fri 08:00-18:00"/>
    <x v="2"/>
    <n v="14"/>
    <n v="120"/>
    <s v="Behavioural health"/>
    <s v="Mental Health Clinician"/>
    <s v="Matched"/>
    <n v="9"/>
    <n v="1"/>
    <n v="11"/>
    <n v="1"/>
    <n v="1"/>
    <n v="0"/>
    <n v="1"/>
    <n v="0"/>
    <s v="Matches Standard"/>
    <x v="2"/>
    <n v="2026"/>
    <n v="2"/>
    <s v="Feb"/>
  </r>
  <r>
    <s v="APT-202602-0004"/>
    <d v="2026-02-24T00:00:00"/>
    <d v="2026-01-20T00:00:00"/>
    <s v="P0096"/>
    <s v="HAM"/>
    <s v="GEN"/>
    <s v="CL012"/>
    <x v="1"/>
    <x v="0"/>
    <d v="1899-12-30T15:00:00"/>
    <d v="1899-12-30T15:03:00"/>
    <d v="1899-12-30T15:19:00"/>
    <n v="30"/>
    <n v="65"/>
    <s v="No"/>
    <n v="2"/>
    <s v="Care plan review"/>
    <s v="appointment_export_2026_02.csv"/>
    <n v="0"/>
    <n v="0"/>
    <x v="1"/>
    <s v="Midland"/>
    <s v="Daniel Wong"/>
    <s v="Urban"/>
    <s v="Mon-Fri 08:00-17:30"/>
    <x v="1"/>
    <n v="7"/>
    <n v="65"/>
    <s v="Primary care"/>
    <s v="Doctor or Nurse Practitioner"/>
    <s v="Matched"/>
    <n v="35"/>
    <n v="0"/>
    <n v="16"/>
    <n v="1"/>
    <n v="1"/>
    <n v="0"/>
    <n v="1"/>
    <n v="0"/>
    <s v="Matches Standard"/>
    <x v="2"/>
    <n v="2026"/>
    <n v="2"/>
    <s v="Feb"/>
  </r>
  <r>
    <s v="APT-202602-0005"/>
    <d v="2026-02-23T00:00:00"/>
    <d v="2026-02-14T00:00:00"/>
    <s v="P0116"/>
    <s v="AUC"/>
    <s v="PHY"/>
    <s v="CL005"/>
    <x v="3"/>
    <x v="0"/>
    <d v="1899-12-30T09:00:00"/>
    <m/>
    <m/>
    <n v="0"/>
    <n v="95"/>
    <s v="No"/>
    <m/>
    <s v="Patient requested appointment"/>
    <s v="appointment_export_2026_02.csv"/>
    <n v="0"/>
    <n v="0"/>
    <x v="2"/>
    <s v="Northern"/>
    <s v="Aroha Rangi"/>
    <s v="Urban"/>
    <s v="Mon-Fri 08:00-18:00"/>
    <x v="0"/>
    <n v="21"/>
    <n v="95"/>
    <s v="Rehabilitation"/>
    <s v="Physiotherapist"/>
    <s v="Matched"/>
    <n v="9"/>
    <n v="1"/>
    <m/>
    <m/>
    <n v="0"/>
    <m/>
    <n v="1"/>
    <n v="0"/>
    <s v="Matches Standard"/>
    <x v="2"/>
    <n v="2026"/>
    <n v="2"/>
    <s v="Feb"/>
  </r>
  <r>
    <s v="APT-202602-0006"/>
    <d v="2026-02-23T00:00:00"/>
    <d v="2026-02-08T00:00:00"/>
    <s v="P0220"/>
    <s v="PMR"/>
    <s v="MHS"/>
    <s v="CL024"/>
    <x v="1"/>
    <x v="0"/>
    <d v="1899-12-30T12:30:00"/>
    <d v="1899-12-30T12:40:00"/>
    <d v="1899-12-30T12:58:00"/>
    <n v="20"/>
    <n v="120"/>
    <s v="No"/>
    <n v="5"/>
    <s v="Patient requested appointment"/>
    <s v="appointment_export_2026_02.csv"/>
    <n v="0"/>
    <n v="0"/>
    <x v="3"/>
    <s v="Central"/>
    <s v="Mereana Thompson"/>
    <s v="Regional"/>
    <s v="Mon-Fri 08:30-17:00"/>
    <x v="2"/>
    <n v="14"/>
    <n v="120"/>
    <s v="Behavioural health"/>
    <s v="Mental Health Clinician"/>
    <s v="Matched"/>
    <n v="15"/>
    <n v="0"/>
    <n v="18"/>
    <n v="1"/>
    <n v="1"/>
    <n v="0"/>
    <n v="1"/>
    <n v="0"/>
    <s v="Matches Standard"/>
    <x v="2"/>
    <n v="2026"/>
    <n v="2"/>
    <s v="Feb"/>
  </r>
  <r>
    <s v="APT-202602-0007"/>
    <d v="2026-02-14T00:00:00"/>
    <d v="2026-02-05T00:00:00"/>
    <s v="P0061"/>
    <s v="AUC"/>
    <s v="PHY"/>
    <s v="CL006"/>
    <x v="1"/>
    <x v="1"/>
    <d v="1899-12-30T11:30:00"/>
    <d v="1899-12-30T11:31:00"/>
    <d v="1899-12-30T12:04:00"/>
    <n v="30"/>
    <n v="95"/>
    <s v="Yes"/>
    <n v="2"/>
    <s v="Patient requested appointment"/>
    <s v="appointment_export_2026_02.csv"/>
    <n v="0"/>
    <n v="0"/>
    <x v="2"/>
    <s v="Northern"/>
    <s v="Aroha Rangi"/>
    <s v="Urban"/>
    <s v="Mon-Fri 08:00-18:00"/>
    <x v="0"/>
    <n v="21"/>
    <n v="95"/>
    <s v="Rehabilitation"/>
    <s v="Physiotherapist"/>
    <s v="Matched"/>
    <n v="9"/>
    <n v="1"/>
    <n v="33"/>
    <n v="0"/>
    <n v="1"/>
    <n v="0"/>
    <n v="1"/>
    <n v="0"/>
    <s v="Matches Standard"/>
    <x v="2"/>
    <n v="2026"/>
    <n v="2"/>
    <s v="Feb"/>
  </r>
  <r>
    <s v="APT-202602-0008"/>
    <d v="2026-02-22T00:00:00"/>
    <d v="2026-02-03T00:00:00"/>
    <s v="P0011"/>
    <s v="AUC"/>
    <s v="DIA"/>
    <s v="CL008"/>
    <x v="1"/>
    <x v="3"/>
    <d v="1899-12-30T10:00:00"/>
    <d v="1899-12-30T10:06:00"/>
    <d v="1899-12-30T10:15:00"/>
    <n v="20"/>
    <n v="80"/>
    <s v="No"/>
    <n v="5"/>
    <s v="Routine review"/>
    <s v="appointment_export_2026_02.csv"/>
    <n v="0"/>
    <n v="0"/>
    <x v="2"/>
    <s v="Northern"/>
    <s v="Aroha Rangi"/>
    <s v="Urban"/>
    <s v="Mon-Fri 08:00-18:00"/>
    <x v="3"/>
    <n v="10"/>
    <n v="80"/>
    <s v="Long-term conditions"/>
    <s v="Diabetes Nurse"/>
    <s v="Matched"/>
    <n v="19"/>
    <n v="0"/>
    <n v="9"/>
    <n v="1"/>
    <n v="1"/>
    <n v="0"/>
    <n v="1"/>
    <n v="0"/>
    <s v="Matches Standard"/>
    <x v="2"/>
    <n v="2026"/>
    <n v="2"/>
    <s v="Feb"/>
  </r>
  <r>
    <s v="APT-202602-0009"/>
    <d v="2026-02-03T00:00:00"/>
    <d v="2025-12-10T00:00:00"/>
    <s v="P0057"/>
    <s v="HAM"/>
    <s v="GEN"/>
    <s v="CL011"/>
    <x v="1"/>
    <x v="1"/>
    <d v="1899-12-30T08:30:00"/>
    <d v="1899-12-30T08:44:00"/>
    <d v="1899-12-30T08:41:00"/>
    <n v="20"/>
    <n v="65"/>
    <s v="No"/>
    <n v="4"/>
    <s v="Care plan review"/>
    <s v="appointment_export_2026_02.csv"/>
    <n v="0"/>
    <n v="0"/>
    <x v="1"/>
    <s v="Midland"/>
    <s v="Daniel Wong"/>
    <s v="Urban"/>
    <s v="Mon-Fri 08:00-17:30"/>
    <x v="1"/>
    <n v="7"/>
    <n v="65"/>
    <s v="Primary care"/>
    <s v="Doctor or Nurse Practitioner"/>
    <s v="Matched"/>
    <n v="55"/>
    <n v="0"/>
    <m/>
    <m/>
    <n v="1"/>
    <n v="0"/>
    <n v="1"/>
    <n v="0"/>
    <s v="Matches Standard"/>
    <x v="2"/>
    <n v="2026"/>
    <n v="2"/>
    <s v="Feb"/>
  </r>
  <r>
    <s v="APT-202602-0010"/>
    <d v="2026-02-08T00:00:00"/>
    <d v="2026-01-02T00:00:00"/>
    <s v="P0082"/>
    <s v="HAM"/>
    <s v="MHS"/>
    <s v="CL013"/>
    <x v="1"/>
    <x v="3"/>
    <d v="1899-12-30T15:00:00"/>
    <d v="1899-12-30T15:10:00"/>
    <d v="1899-12-30T15:25:00"/>
    <n v="45"/>
    <n v="120"/>
    <s v="No"/>
    <n v="5"/>
    <s v="New referral"/>
    <s v="appointment_export_2026_02.csv"/>
    <n v="0"/>
    <n v="0"/>
    <x v="1"/>
    <s v="Midland"/>
    <s v="Daniel Wong"/>
    <s v="Urban"/>
    <s v="Mon-Fri 08:00-17:30"/>
    <x v="2"/>
    <n v="14"/>
    <n v="120"/>
    <s v="Behavioural health"/>
    <s v="Mental Health Clinician"/>
    <s v="Matched"/>
    <n v="37"/>
    <n v="0"/>
    <n v="15"/>
    <n v="1"/>
    <n v="1"/>
    <n v="0"/>
    <n v="1"/>
    <n v="0"/>
    <s v="Matches Standard"/>
    <x v="2"/>
    <n v="2026"/>
    <n v="2"/>
    <s v="Feb"/>
  </r>
  <r>
    <s v="APT-202602-0011"/>
    <d v="2026-02-09T00:00:00"/>
    <d v="2025-12-21T00:00:00"/>
    <s v="P0180"/>
    <s v="PMR"/>
    <s v="GEN"/>
    <s v="CL022"/>
    <x v="1"/>
    <x v="0"/>
    <d v="1899-12-30T09:30:00"/>
    <d v="1899-12-30T09:21:00"/>
    <d v="1899-12-30T09:44:00"/>
    <n v="45"/>
    <n v="65"/>
    <s v="No"/>
    <n v="4"/>
    <s v="New referral"/>
    <s v="appointment_export_2026_02.csv"/>
    <n v="0"/>
    <n v="0"/>
    <x v="3"/>
    <s v="Central"/>
    <s v="Mereana Thompson"/>
    <s v="Regional"/>
    <s v="Mon-Fri 08:30-17:00"/>
    <x v="1"/>
    <n v="7"/>
    <n v="65"/>
    <s v="Primary care"/>
    <s v="Doctor or Nurse Practitioner"/>
    <s v="Matched"/>
    <n v="50"/>
    <n v="0"/>
    <n v="23"/>
    <n v="1"/>
    <n v="1"/>
    <n v="0"/>
    <n v="1"/>
    <n v="0"/>
    <s v="Matches Standard"/>
    <x v="2"/>
    <n v="2026"/>
    <n v="2"/>
    <s v="Feb"/>
  </r>
  <r>
    <s v="APT-202602-0012"/>
    <d v="2026-02-10T00:00:00"/>
    <d v="2025-12-23T00:00:00"/>
    <s v="P0176"/>
    <s v="HAM"/>
    <s v="MHS"/>
    <s v="CL013"/>
    <x v="1"/>
    <x v="2"/>
    <d v="1899-12-30T13:00:00"/>
    <d v="1899-12-30T13:11:00"/>
    <d v="1899-12-30T13:32:00"/>
    <n v="30"/>
    <n v="120"/>
    <s v="No"/>
    <n v="4"/>
    <s v="Care plan review"/>
    <s v="appointment_export_2026_02.csv"/>
    <n v="0"/>
    <n v="0"/>
    <x v="1"/>
    <s v="Midland"/>
    <s v="Daniel Wong"/>
    <s v="Urban"/>
    <s v="Mon-Fri 08:00-17:30"/>
    <x v="2"/>
    <n v="14"/>
    <n v="120"/>
    <s v="Behavioural health"/>
    <s v="Mental Health Clinician"/>
    <s v="Matched"/>
    <n v="49"/>
    <n v="0"/>
    <n v="21"/>
    <n v="1"/>
    <n v="1"/>
    <n v="0"/>
    <n v="1"/>
    <n v="0"/>
    <s v="Matches Standard"/>
    <x v="2"/>
    <n v="2026"/>
    <n v="2"/>
    <s v="Feb"/>
  </r>
  <r>
    <s v="APT-202602-0013"/>
    <d v="2026-02-26T00:00:00"/>
    <d v="2026-02-02T00:00:00"/>
    <s v="P0239"/>
    <s v="WLG"/>
    <s v="DIA"/>
    <s v="CL038"/>
    <x v="1"/>
    <x v="2"/>
    <d v="1899-12-30T09:00:00"/>
    <d v="1899-12-30T09:07:00"/>
    <d v="1899-12-30T09:03:00"/>
    <n v="30"/>
    <n v="80"/>
    <s v="No"/>
    <n v="2"/>
    <s v="Follow-up visit"/>
    <s v="appointment_export_2026_02.csv"/>
    <n v="0"/>
    <n v="0"/>
    <x v="0"/>
    <s v="Central"/>
    <s v="Sophie Martin"/>
    <s v="Urban"/>
    <s v="Mon-Sat 08:00-18:00"/>
    <x v="3"/>
    <n v="10"/>
    <n v="80"/>
    <s v="Long-term conditions"/>
    <s v="Diabetes Nurse"/>
    <s v="Matched"/>
    <n v="24"/>
    <n v="0"/>
    <m/>
    <m/>
    <n v="1"/>
    <n v="0"/>
    <n v="1"/>
    <n v="0"/>
    <s v="Matches Standard"/>
    <x v="2"/>
    <n v="2026"/>
    <n v="2"/>
    <s v="Feb"/>
  </r>
  <r>
    <s v="APT-202602-0014"/>
    <d v="2026-02-04T00:00:00"/>
    <d v="2026-01-17T00:00:00"/>
    <s v="P0100"/>
    <s v="AUC"/>
    <s v="DIA"/>
    <s v="CL008"/>
    <x v="1"/>
    <x v="3"/>
    <d v="1899-12-30T08:30:00"/>
    <d v="1899-12-30T08:20:00"/>
    <d v="1899-12-30T08:38:00"/>
    <n v="30"/>
    <n v="80"/>
    <s v="No"/>
    <n v="3"/>
    <s v="Patient requested appointment"/>
    <s v="appointment_export_2026_02.csv"/>
    <n v="0"/>
    <n v="0"/>
    <x v="2"/>
    <s v="Northern"/>
    <s v="Aroha Rangi"/>
    <s v="Urban"/>
    <s v="Mon-Fri 08:00-18:00"/>
    <x v="3"/>
    <n v="10"/>
    <n v="80"/>
    <s v="Long-term conditions"/>
    <s v="Diabetes Nurse"/>
    <s v="Matched"/>
    <n v="18"/>
    <n v="0"/>
    <n v="18"/>
    <n v="1"/>
    <n v="1"/>
    <n v="0"/>
    <n v="1"/>
    <n v="0"/>
    <s v="Matches Standard"/>
    <x v="2"/>
    <n v="2026"/>
    <n v="2"/>
    <s v="Feb"/>
  </r>
  <r>
    <s v="APT-202602-0015"/>
    <d v="2026-02-11T00:00:00"/>
    <d v="2026-01-07T00:00:00"/>
    <s v="P0050"/>
    <s v="PMR"/>
    <s v="PHY"/>
    <s v="CL026"/>
    <x v="1"/>
    <x v="0"/>
    <d v="1899-12-30T09:00:00"/>
    <d v="1899-12-30T09:12:00"/>
    <d v="1899-12-30T09:04:00"/>
    <n v="45"/>
    <n v="95"/>
    <s v="No"/>
    <n v="4"/>
    <s v="New referral"/>
    <s v="appointment_export_2026_02.csv"/>
    <n v="0"/>
    <n v="0"/>
    <x v="3"/>
    <s v="Central"/>
    <s v="Mereana Thompson"/>
    <s v="Regional"/>
    <s v="Mon-Fri 08:30-17:00"/>
    <x v="0"/>
    <n v="21"/>
    <n v="95"/>
    <s v="Rehabilitation"/>
    <s v="Physiotherapist"/>
    <s v="Matched"/>
    <n v="35"/>
    <n v="0"/>
    <m/>
    <m/>
    <n v="1"/>
    <n v="0"/>
    <n v="1"/>
    <n v="0"/>
    <s v="Matches Standard"/>
    <x v="2"/>
    <n v="2026"/>
    <n v="2"/>
    <s v="Feb"/>
  </r>
  <r>
    <s v="APT-202602-0016"/>
    <d v="2026-02-08T00:00:00"/>
    <d v="2025-12-27T00:00:00"/>
    <s v="P0032"/>
    <s v="HAM"/>
    <s v="PHY"/>
    <s v="CL016"/>
    <x v="2"/>
    <x v="1"/>
    <d v="1899-12-30T08:00:00"/>
    <m/>
    <m/>
    <n v="0"/>
    <n v="95"/>
    <s v="No"/>
    <m/>
    <s v="Follow-up visit"/>
    <s v="appointment_export_2026_02.csv"/>
    <n v="0"/>
    <n v="0"/>
    <x v="1"/>
    <s v="Midland"/>
    <s v="Daniel Wong"/>
    <s v="Urban"/>
    <s v="Mon-Fri 08:00-17:30"/>
    <x v="0"/>
    <n v="21"/>
    <n v="95"/>
    <s v="Rehabilitation"/>
    <s v="Physiotherapist"/>
    <s v="Matched"/>
    <n v="43"/>
    <n v="0"/>
    <m/>
    <m/>
    <n v="1"/>
    <n v="1"/>
    <n v="1"/>
    <n v="0"/>
    <s v="Matches Standard"/>
    <x v="2"/>
    <n v="2026"/>
    <n v="2"/>
    <s v="Feb"/>
  </r>
  <r>
    <s v="APT-202602-0017"/>
    <d v="2026-02-11T00:00:00"/>
    <d v="2025-12-27T00:00:00"/>
    <s v="P0100"/>
    <s v="HAM"/>
    <s v="DIA"/>
    <s v="CL017"/>
    <x v="1"/>
    <x v="1"/>
    <d v="1899-12-30T16:00:00"/>
    <d v="1899-12-30T16:05:00"/>
    <d v="1899-12-30T16:09:00"/>
    <n v="60"/>
    <n v="80"/>
    <s v="Yes"/>
    <n v="4"/>
    <s v="Care plan review"/>
    <s v="appointment_export_2026_02.csv"/>
    <n v="0"/>
    <n v="0"/>
    <x v="1"/>
    <s v="Midland"/>
    <s v="Daniel Wong"/>
    <s v="Urban"/>
    <s v="Mon-Fri 08:00-17:30"/>
    <x v="3"/>
    <n v="10"/>
    <n v="80"/>
    <s v="Long-term conditions"/>
    <s v="Diabetes Nurse"/>
    <s v="Matched"/>
    <n v="46"/>
    <n v="0"/>
    <n v="4"/>
    <n v="1"/>
    <n v="1"/>
    <n v="0"/>
    <n v="1"/>
    <n v="0"/>
    <s v="Matches Standard"/>
    <x v="2"/>
    <n v="2026"/>
    <n v="2"/>
    <s v="Feb"/>
  </r>
  <r>
    <s v="APT-202602-0018"/>
    <d v="2026-02-17T00:00:00"/>
    <d v="2026-01-03T00:00:00"/>
    <s v="P0240"/>
    <s v="HAM"/>
    <s v="CAR"/>
    <s v="CL020"/>
    <x v="0"/>
    <x v="2"/>
    <d v="1899-12-30T16:00:00"/>
    <m/>
    <m/>
    <n v="0"/>
    <n v="150"/>
    <s v="Yes"/>
    <m/>
    <s v="Follow-up visit"/>
    <s v="appointment_export_2026_02.csv"/>
    <n v="0"/>
    <n v="0"/>
    <x v="1"/>
    <s v="Midland"/>
    <s v="Daniel Wong"/>
    <s v="Urban"/>
    <s v="Mon-Fri 08:00-17:30"/>
    <x v="4"/>
    <n v="28"/>
    <n v="150"/>
    <s v="Specialist outpatient"/>
    <s v="Cardiology Clinician"/>
    <s v="Matched"/>
    <n v="45"/>
    <n v="0"/>
    <m/>
    <m/>
    <n v="0"/>
    <m/>
    <n v="1"/>
    <n v="0"/>
    <s v="Matches Standard"/>
    <x v="2"/>
    <n v="2026"/>
    <n v="2"/>
    <s v="Feb"/>
  </r>
  <r>
    <s v="APT-202602-0019"/>
    <d v="2026-02-14T00:00:00"/>
    <d v="2025-12-23T00:00:00"/>
    <s v="P0076"/>
    <s v="PMR"/>
    <s v="DIA"/>
    <s v="CL027"/>
    <x v="2"/>
    <x v="0"/>
    <d v="1899-12-30T16:00:00"/>
    <m/>
    <m/>
    <n v="0"/>
    <n v="80"/>
    <s v="Yes"/>
    <m/>
    <s v="Care plan review"/>
    <s v="appointment_export_2026_02.csv"/>
    <n v="0"/>
    <n v="0"/>
    <x v="3"/>
    <s v="Central"/>
    <s v="Mereana Thompson"/>
    <s v="Regional"/>
    <s v="Mon-Fri 08:30-17:00"/>
    <x v="3"/>
    <n v="10"/>
    <n v="80"/>
    <s v="Long-term conditions"/>
    <s v="Diabetes Nurse"/>
    <s v="Matched"/>
    <n v="53"/>
    <n v="0"/>
    <m/>
    <m/>
    <n v="1"/>
    <n v="1"/>
    <n v="1"/>
    <n v="0"/>
    <s v="Matches Standard"/>
    <x v="2"/>
    <n v="2026"/>
    <n v="2"/>
    <s v="Feb"/>
  </r>
  <r>
    <s v="APT-202602-0020"/>
    <d v="2026-02-08T00:00:00"/>
    <d v="2026-02-07T00:00:00"/>
    <s v="P0066"/>
    <s v="AUC"/>
    <s v="CAR"/>
    <s v="CL010"/>
    <x v="3"/>
    <x v="1"/>
    <d v="1899-12-30T11:30:00"/>
    <m/>
    <m/>
    <n v="0"/>
    <n v="150"/>
    <s v="No"/>
    <m/>
    <s v="Patient requested appointment"/>
    <s v="appointment_export_2026_02.csv"/>
    <n v="0"/>
    <n v="0"/>
    <x v="2"/>
    <s v="Northern"/>
    <s v="Aroha Rangi"/>
    <s v="Urban"/>
    <s v="Mon-Fri 08:00-18:00"/>
    <x v="4"/>
    <n v="28"/>
    <n v="150"/>
    <s v="Specialist outpatient"/>
    <s v="Cardiology Clinician"/>
    <s v="Matched"/>
    <n v="1"/>
    <n v="1"/>
    <m/>
    <m/>
    <n v="0"/>
    <m/>
    <n v="1"/>
    <n v="0"/>
    <s v="Matches Standard"/>
    <x v="2"/>
    <n v="2026"/>
    <n v="2"/>
    <s v="Feb"/>
  </r>
  <r>
    <s v="APT-202602-0021"/>
    <d v="2026-02-14T00:00:00"/>
    <d v="2026-02-01T00:00:00"/>
    <s v="P0234"/>
    <s v="WLG"/>
    <s v="DIA"/>
    <s v="CL037"/>
    <x v="2"/>
    <x v="2"/>
    <d v="1899-12-30T16:00:00"/>
    <m/>
    <m/>
    <n v="0"/>
    <n v="80"/>
    <s v="Yes"/>
    <m/>
    <s v="New referral"/>
    <s v="appointment_export_2026_02.csv"/>
    <n v="0"/>
    <n v="0"/>
    <x v="0"/>
    <s v="Central"/>
    <s v="Sophie Martin"/>
    <s v="Urban"/>
    <s v="Mon-Sat 08:00-18:00"/>
    <x v="3"/>
    <n v="10"/>
    <n v="80"/>
    <s v="Long-term conditions"/>
    <s v="Diabetes Nurse"/>
    <s v="Matched"/>
    <n v="13"/>
    <n v="0"/>
    <m/>
    <m/>
    <n v="1"/>
    <n v="1"/>
    <n v="1"/>
    <n v="0"/>
    <s v="Matches Standard"/>
    <x v="2"/>
    <n v="2026"/>
    <n v="2"/>
    <s v="Feb"/>
  </r>
  <r>
    <s v="APT-202602-0022"/>
    <d v="2026-02-06T00:00:00"/>
    <d v="2026-01-07T00:00:00"/>
    <s v="P0188"/>
    <s v="AUC"/>
    <s v="PHY"/>
    <s v="CL006"/>
    <x v="2"/>
    <x v="3"/>
    <d v="1899-12-30T12:00:00"/>
    <m/>
    <m/>
    <n v="0"/>
    <n v="95"/>
    <s v="Yes"/>
    <m/>
    <s v="Routine review"/>
    <s v="appointment_export_2026_02.csv"/>
    <n v="0"/>
    <n v="0"/>
    <x v="2"/>
    <s v="Northern"/>
    <s v="Aroha Rangi"/>
    <s v="Urban"/>
    <s v="Mon-Fri 08:00-18:00"/>
    <x v="0"/>
    <n v="21"/>
    <n v="95"/>
    <s v="Rehabilitation"/>
    <s v="Physiotherapist"/>
    <s v="Matched"/>
    <n v="30"/>
    <n v="0"/>
    <m/>
    <m/>
    <n v="1"/>
    <n v="1"/>
    <n v="1"/>
    <n v="0"/>
    <s v="Matches Standard"/>
    <x v="2"/>
    <n v="2026"/>
    <n v="2"/>
    <s v="Feb"/>
  </r>
  <r>
    <s v="APT-202602-0023"/>
    <d v="2026-02-10T00:00:00"/>
    <d v="2026-02-08T00:00:00"/>
    <s v="P0155"/>
    <s v="WLG"/>
    <s v="MHS"/>
    <s v="CL033"/>
    <x v="1"/>
    <x v="3"/>
    <d v="1899-12-30T12:00:00"/>
    <d v="1899-12-30T12:10:00"/>
    <d v="1899-12-30T12:17:00"/>
    <n v="60"/>
    <n v="120"/>
    <s v="No"/>
    <n v="5"/>
    <s v="Patient requested appointment"/>
    <s v="appointment_export_2026_02.csv"/>
    <n v="0"/>
    <n v="0"/>
    <x v="0"/>
    <s v="Central"/>
    <s v="Sophie Martin"/>
    <s v="Urban"/>
    <s v="Mon-Sat 08:00-18:00"/>
    <x v="2"/>
    <n v="14"/>
    <n v="120"/>
    <s v="Behavioural health"/>
    <s v="Mental Health Clinician"/>
    <s v="Matched"/>
    <n v="2"/>
    <n v="1"/>
    <n v="7"/>
    <n v="1"/>
    <n v="1"/>
    <n v="0"/>
    <n v="1"/>
    <n v="0"/>
    <s v="Matches Standard"/>
    <x v="2"/>
    <n v="2026"/>
    <n v="2"/>
    <s v="Feb"/>
  </r>
  <r>
    <s v="APT-202602-0024"/>
    <d v="2026-02-18T00:00:00"/>
    <d v="2026-01-07T00:00:00"/>
    <s v="P0126"/>
    <s v="HAM"/>
    <s v="DIA"/>
    <s v="CL018"/>
    <x v="0"/>
    <x v="0"/>
    <d v="1899-12-30T14:30:00"/>
    <m/>
    <m/>
    <n v="0"/>
    <n v="80"/>
    <s v="No"/>
    <m/>
    <s v="Care plan review"/>
    <s v="appointment_export_2026_02.csv"/>
    <n v="0"/>
    <n v="0"/>
    <x v="1"/>
    <s v="Midland"/>
    <s v="Daniel Wong"/>
    <s v="Urban"/>
    <s v="Mon-Fri 08:00-17:30"/>
    <x v="3"/>
    <n v="10"/>
    <n v="80"/>
    <s v="Long-term conditions"/>
    <s v="Diabetes Nurse"/>
    <s v="Matched"/>
    <n v="42"/>
    <n v="0"/>
    <m/>
    <m/>
    <n v="0"/>
    <m/>
    <n v="1"/>
    <n v="0"/>
    <s v="Matches Standard"/>
    <x v="2"/>
    <n v="2026"/>
    <n v="2"/>
    <s v="Feb"/>
  </r>
  <r>
    <s v="APT-202602-0025"/>
    <d v="2026-02-10T00:00:00"/>
    <d v="2025-12-26T00:00:00"/>
    <s v="P0162"/>
    <s v="HAM"/>
    <s v="GEN"/>
    <s v="CL012"/>
    <x v="1"/>
    <x v="2"/>
    <d v="1899-12-30T09:00:00"/>
    <d v="1899-12-30T08:59:00"/>
    <d v="1899-12-30T09:22:00"/>
    <n v="30"/>
    <n v="65"/>
    <s v="No"/>
    <n v="3"/>
    <s v="Patient requested appointment"/>
    <s v="appointment_export_2026_02.csv"/>
    <n v="0"/>
    <n v="0"/>
    <x v="1"/>
    <s v="Midland"/>
    <s v="Daniel Wong"/>
    <s v="Urban"/>
    <s v="Mon-Fri 08:00-17:30"/>
    <x v="1"/>
    <n v="7"/>
    <n v="65"/>
    <s v="Primary care"/>
    <s v="Doctor or Nurse Practitioner"/>
    <s v="Matched"/>
    <n v="46"/>
    <n v="0"/>
    <n v="23"/>
    <n v="1"/>
    <n v="1"/>
    <n v="0"/>
    <n v="1"/>
    <n v="0"/>
    <s v="Matches Standard"/>
    <x v="2"/>
    <n v="2026"/>
    <n v="2"/>
    <s v="Feb"/>
  </r>
  <r>
    <s v="APT-202602-0026"/>
    <d v="2026-02-06T00:00:00"/>
    <d v="2026-01-08T00:00:00"/>
    <s v="P0187"/>
    <s v="AUC"/>
    <s v="CAR"/>
    <s v="CL009"/>
    <x v="1"/>
    <x v="2"/>
    <d v="1899-12-30T15:00:00"/>
    <d v="1899-12-30T15:07:00"/>
    <d v="1899-12-30T15:38:00"/>
    <n v="20"/>
    <n v="150"/>
    <s v="Yes"/>
    <n v="4"/>
    <s v="Patient requested appointment"/>
    <s v="appointment_export_2026_02.csv"/>
    <n v="0"/>
    <n v="0"/>
    <x v="2"/>
    <s v="Northern"/>
    <s v="Aroha Rangi"/>
    <s v="Urban"/>
    <s v="Mon-Fri 08:00-18:00"/>
    <x v="4"/>
    <n v="28"/>
    <n v="150"/>
    <s v="Specialist outpatient"/>
    <s v="Cardiology Clinician"/>
    <s v="Matched"/>
    <n v="29"/>
    <n v="0"/>
    <n v="31"/>
    <n v="0"/>
    <n v="1"/>
    <n v="0"/>
    <n v="1"/>
    <n v="0"/>
    <s v="Matches Standard"/>
    <x v="2"/>
    <n v="2026"/>
    <n v="2"/>
    <s v="Feb"/>
  </r>
  <r>
    <s v="APT-202602-0027"/>
    <d v="2026-02-20T00:00:00"/>
    <d v="2026-01-05T00:00:00"/>
    <s v="P0171"/>
    <s v="PMR"/>
    <s v="MHS"/>
    <s v="CL024"/>
    <x v="1"/>
    <x v="1"/>
    <d v="1899-12-30T14:30:00"/>
    <d v="1899-12-30T14:29:00"/>
    <d v="1899-12-30T14:32:00"/>
    <n v="30"/>
    <n v="120"/>
    <s v="Yes"/>
    <n v="4"/>
    <s v="Patient requested appointment"/>
    <s v="appointment_export_2026_02.csv"/>
    <n v="0"/>
    <n v="0"/>
    <x v="3"/>
    <s v="Central"/>
    <s v="Mereana Thompson"/>
    <s v="Regional"/>
    <s v="Mon-Fri 08:30-17:00"/>
    <x v="2"/>
    <n v="14"/>
    <n v="120"/>
    <s v="Behavioural health"/>
    <s v="Mental Health Clinician"/>
    <s v="Matched"/>
    <n v="46"/>
    <n v="0"/>
    <n v="3"/>
    <n v="1"/>
    <n v="1"/>
    <n v="0"/>
    <n v="1"/>
    <n v="0"/>
    <s v="Matches Standard"/>
    <x v="2"/>
    <n v="2026"/>
    <n v="2"/>
    <s v="Feb"/>
  </r>
  <r>
    <s v="APT-202602-0028"/>
    <d v="2026-02-09T00:00:00"/>
    <d v="2026-01-04T00:00:00"/>
    <s v="P0135"/>
    <s v="HAM"/>
    <s v="CAR"/>
    <s v="CL020"/>
    <x v="1"/>
    <x v="0"/>
    <d v="1899-12-30T15:30:00"/>
    <d v="1899-12-30T15:33:00"/>
    <d v="1899-12-30T15:54:00"/>
    <n v="30"/>
    <n v="150"/>
    <s v="No"/>
    <n v="4"/>
    <s v="Routine review"/>
    <s v="appointment_export_2026_02.csv"/>
    <n v="0"/>
    <n v="0"/>
    <x v="1"/>
    <s v="Midland"/>
    <s v="Daniel Wong"/>
    <s v="Urban"/>
    <s v="Mon-Fri 08:00-17:30"/>
    <x v="4"/>
    <n v="28"/>
    <n v="150"/>
    <s v="Specialist outpatient"/>
    <s v="Cardiology Clinician"/>
    <s v="Matched"/>
    <n v="36"/>
    <n v="0"/>
    <n v="21"/>
    <n v="1"/>
    <n v="1"/>
    <n v="0"/>
    <n v="1"/>
    <n v="0"/>
    <s v="Matches Standard"/>
    <x v="2"/>
    <n v="2026"/>
    <n v="2"/>
    <s v="Feb"/>
  </r>
  <r>
    <s v="APT-202602-0029"/>
    <d v="2026-02-26T00:00:00"/>
    <d v="2026-02-13T00:00:00"/>
    <s v="P0144"/>
    <s v="WLG"/>
    <s v="DIA"/>
    <s v="CL038"/>
    <x v="1"/>
    <x v="2"/>
    <d v="1899-12-30T12:00:00"/>
    <d v="1899-12-30T12:18:00"/>
    <d v="1899-12-30T12:09:00"/>
    <n v="30"/>
    <n v="80"/>
    <s v="Yes"/>
    <n v="5"/>
    <s v="Routine review"/>
    <s v="appointment_export_2026_02.csv"/>
    <n v="0"/>
    <n v="0"/>
    <x v="0"/>
    <s v="Central"/>
    <s v="Sophie Martin"/>
    <s v="Urban"/>
    <s v="Mon-Sat 08:00-18:00"/>
    <x v="3"/>
    <n v="10"/>
    <n v="80"/>
    <s v="Long-term conditions"/>
    <s v="Diabetes Nurse"/>
    <s v="Matched"/>
    <n v="13"/>
    <n v="0"/>
    <m/>
    <m/>
    <n v="1"/>
    <n v="0"/>
    <n v="1"/>
    <n v="0"/>
    <s v="Matches Standard"/>
    <x v="2"/>
    <n v="2026"/>
    <n v="2"/>
    <s v="Feb"/>
  </r>
  <r>
    <s v="APT-202602-0030"/>
    <d v="2026-02-11T00:00:00"/>
    <d v="2026-01-29T00:00:00"/>
    <s v="P0079"/>
    <s v="WLG"/>
    <s v="DIA"/>
    <s v="CL037"/>
    <x v="0"/>
    <x v="1"/>
    <d v="1899-12-30T12:00:00"/>
    <m/>
    <m/>
    <n v="0"/>
    <n v="80"/>
    <s v="No"/>
    <m/>
    <s v="New referral"/>
    <s v="appointment_export_2026_02.csv"/>
    <n v="0"/>
    <n v="0"/>
    <x v="0"/>
    <s v="Central"/>
    <s v="Sophie Martin"/>
    <s v="Urban"/>
    <s v="Mon-Sat 08:00-18:00"/>
    <x v="3"/>
    <n v="10"/>
    <n v="80"/>
    <s v="Long-term conditions"/>
    <s v="Diabetes Nurse"/>
    <s v="Matched"/>
    <n v="13"/>
    <n v="0"/>
    <m/>
    <m/>
    <n v="0"/>
    <m/>
    <n v="1"/>
    <n v="0"/>
    <s v="Matches Standard"/>
    <x v="2"/>
    <n v="2026"/>
    <n v="2"/>
    <s v="Feb"/>
  </r>
  <r>
    <s v="APT-202602-0031"/>
    <d v="2026-02-22T00:00:00"/>
    <d v="2025-12-31T00:00:00"/>
    <s v="P0005"/>
    <s v="WLG"/>
    <s v="CAR"/>
    <s v="CL040"/>
    <x v="3"/>
    <x v="0"/>
    <d v="1899-12-30T12:00:00"/>
    <d v="1899-12-30T12:07:00"/>
    <d v="1899-12-30T12:05:00"/>
    <n v="60"/>
    <n v="150"/>
    <s v="No"/>
    <n v="4"/>
    <s v="Follow-up visit"/>
    <s v="appointment_export_2026_02.csv"/>
    <n v="0"/>
    <n v="0"/>
    <x v="0"/>
    <s v="Central"/>
    <s v="Sophie Martin"/>
    <s v="Urban"/>
    <s v="Mon-Sat 08:00-18:00"/>
    <x v="4"/>
    <n v="28"/>
    <n v="150"/>
    <s v="Specialist outpatient"/>
    <s v="Cardiology Clinician"/>
    <s v="Matched"/>
    <n v="53"/>
    <n v="0"/>
    <m/>
    <m/>
    <n v="0"/>
    <m/>
    <n v="1"/>
    <n v="0"/>
    <s v="Matches Standard"/>
    <x v="2"/>
    <n v="2026"/>
    <n v="2"/>
    <s v="Feb"/>
  </r>
  <r>
    <s v="APT-202602-0032"/>
    <d v="2026-02-24T00:00:00"/>
    <d v="2026-02-02T00:00:00"/>
    <s v="P0036"/>
    <s v="WLG"/>
    <s v="MHS"/>
    <s v="CL033"/>
    <x v="2"/>
    <x v="2"/>
    <d v="1899-12-30T11:30:00"/>
    <m/>
    <m/>
    <n v="0"/>
    <n v="120"/>
    <s v="Yes"/>
    <m/>
    <s v="Routine review"/>
    <s v="appointment_export_2026_02.csv"/>
    <n v="0"/>
    <n v="0"/>
    <x v="0"/>
    <s v="Central"/>
    <s v="Sophie Martin"/>
    <s v="Urban"/>
    <s v="Mon-Sat 08:00-18:00"/>
    <x v="2"/>
    <n v="14"/>
    <n v="120"/>
    <s v="Behavioural health"/>
    <s v="Mental Health Clinician"/>
    <s v="Matched"/>
    <n v="22"/>
    <n v="0"/>
    <m/>
    <m/>
    <n v="1"/>
    <n v="1"/>
    <n v="1"/>
    <n v="0"/>
    <s v="Matches Standard"/>
    <x v="2"/>
    <n v="2026"/>
    <n v="2"/>
    <s v="Feb"/>
  </r>
  <r>
    <s v="APT-202602-0033"/>
    <d v="2026-02-02T00:00:00"/>
    <d v="2026-01-31T00:00:00"/>
    <s v="P0007"/>
    <s v="HAM"/>
    <s v="DIA"/>
    <s v="CL018"/>
    <x v="2"/>
    <x v="2"/>
    <d v="1899-12-30T14:00:00"/>
    <m/>
    <m/>
    <n v="0"/>
    <n v="80"/>
    <s v="No"/>
    <m/>
    <s v="Follow-up visit"/>
    <s v="appointment_export_2026_02.csv"/>
    <n v="0"/>
    <n v="0"/>
    <x v="1"/>
    <s v="Midland"/>
    <s v="Daniel Wong"/>
    <s v="Urban"/>
    <s v="Mon-Fri 08:00-17:30"/>
    <x v="3"/>
    <n v="10"/>
    <n v="80"/>
    <s v="Long-term conditions"/>
    <s v="Diabetes Nurse"/>
    <s v="Matched"/>
    <n v="2"/>
    <n v="1"/>
    <m/>
    <m/>
    <n v="1"/>
    <n v="1"/>
    <n v="1"/>
    <n v="0"/>
    <s v="Matches Standard"/>
    <x v="2"/>
    <n v="2026"/>
    <n v="2"/>
    <s v="Feb"/>
  </r>
  <r>
    <s v="APT-202602-0034"/>
    <d v="2026-02-14T00:00:00"/>
    <d v="2026-01-21T00:00:00"/>
    <s v="P0113"/>
    <s v="WLG"/>
    <s v="DIA"/>
    <s v="CL038"/>
    <x v="1"/>
    <x v="0"/>
    <d v="1899-12-30T10:30:00"/>
    <d v="1899-12-30T10:20:00"/>
    <d v="1899-12-30T11:09:00"/>
    <n v="30"/>
    <n v="80"/>
    <s v="No"/>
    <n v="3"/>
    <s v="Follow-up visit"/>
    <s v="appointment_export_2026_02.csv"/>
    <n v="0"/>
    <n v="0"/>
    <x v="0"/>
    <s v="Central"/>
    <s v="Sophie Martin"/>
    <s v="Urban"/>
    <s v="Mon-Sat 08:00-18:00"/>
    <x v="3"/>
    <n v="10"/>
    <n v="80"/>
    <s v="Long-term conditions"/>
    <s v="Diabetes Nurse"/>
    <s v="Matched"/>
    <n v="24"/>
    <n v="0"/>
    <n v="49"/>
    <n v="0"/>
    <n v="1"/>
    <n v="0"/>
    <n v="1"/>
    <n v="0"/>
    <s v="Matches Standard"/>
    <x v="2"/>
    <n v="2026"/>
    <n v="2"/>
    <s v="Feb"/>
  </r>
  <r>
    <s v="APT-202602-0035"/>
    <d v="2026-02-15T00:00:00"/>
    <d v="2026-02-02T00:00:00"/>
    <s v="P0127"/>
    <s v="AUC"/>
    <s v="DIA"/>
    <s v="CL008"/>
    <x v="0"/>
    <x v="0"/>
    <d v="1899-12-30T13:30:00"/>
    <m/>
    <m/>
    <n v="0"/>
    <n v="80"/>
    <s v="No"/>
    <m/>
    <s v="New referral"/>
    <s v="appointment_export_2026_02.csv"/>
    <n v="0"/>
    <n v="0"/>
    <x v="2"/>
    <s v="Northern"/>
    <s v="Aroha Rangi"/>
    <s v="Urban"/>
    <s v="Mon-Fri 08:00-18:00"/>
    <x v="3"/>
    <n v="10"/>
    <n v="80"/>
    <s v="Long-term conditions"/>
    <s v="Diabetes Nurse"/>
    <s v="Matched"/>
    <n v="13"/>
    <n v="0"/>
    <m/>
    <m/>
    <n v="0"/>
    <m/>
    <n v="1"/>
    <n v="0"/>
    <s v="Matches Standard"/>
    <x v="2"/>
    <n v="2026"/>
    <n v="2"/>
    <s v="Feb"/>
  </r>
  <r>
    <s v="APT-202602-0036"/>
    <d v="2026-02-14T00:00:00"/>
    <d v="2026-02-06T00:00:00"/>
    <s v="P0112"/>
    <s v="PMR"/>
    <s v="CAR"/>
    <s v="CL029"/>
    <x v="1"/>
    <x v="1"/>
    <d v="1899-12-30T08:00:00"/>
    <d v="1899-12-30T08:13:00"/>
    <d v="1899-12-30T08:36:00"/>
    <n v="20"/>
    <n v="150"/>
    <s v="No"/>
    <n v="5"/>
    <s v="Care plan review"/>
    <s v="appointment_export_2026_02.csv"/>
    <n v="0"/>
    <n v="0"/>
    <x v="3"/>
    <s v="Central"/>
    <s v="Mereana Thompson"/>
    <s v="Regional"/>
    <s v="Mon-Fri 08:30-17:00"/>
    <x v="4"/>
    <n v="28"/>
    <n v="150"/>
    <s v="Specialist outpatient"/>
    <s v="Cardiology Clinician"/>
    <s v="Matched"/>
    <n v="8"/>
    <n v="1"/>
    <n v="23"/>
    <n v="1"/>
    <n v="1"/>
    <n v="0"/>
    <n v="1"/>
    <n v="0"/>
    <s v="Matches Standard"/>
    <x v="2"/>
    <n v="2026"/>
    <n v="2"/>
    <s v="Feb"/>
  </r>
  <r>
    <s v="APT-202602-0037"/>
    <d v="2026-02-11T00:00:00"/>
    <d v="2026-01-31T00:00:00"/>
    <s v="P0217"/>
    <s v="AUC"/>
    <s v="PHY"/>
    <s v="CL005"/>
    <x v="1"/>
    <x v="0"/>
    <d v="1899-12-30T16:00:00"/>
    <d v="1899-12-30T16:12:00"/>
    <d v="1899-12-30T16:32:00"/>
    <n v="60"/>
    <n v="95"/>
    <s v="Yes"/>
    <n v="4"/>
    <s v="Patient requested appointment"/>
    <s v="appointment_export_2026_02.csv"/>
    <n v="0"/>
    <n v="0"/>
    <x v="2"/>
    <s v="Northern"/>
    <s v="Aroha Rangi"/>
    <s v="Urban"/>
    <s v="Mon-Fri 08:00-18:00"/>
    <x v="0"/>
    <n v="21"/>
    <n v="95"/>
    <s v="Rehabilitation"/>
    <s v="Physiotherapist"/>
    <s v="Matched"/>
    <n v="11"/>
    <n v="1"/>
    <n v="20"/>
    <n v="1"/>
    <n v="1"/>
    <n v="0"/>
    <n v="1"/>
    <n v="0"/>
    <s v="Matches Standard"/>
    <x v="2"/>
    <n v="2026"/>
    <n v="2"/>
    <s v="Feb"/>
  </r>
  <r>
    <s v="APT-202602-0038"/>
    <d v="2026-02-13T00:00:00"/>
    <d v="2026-01-03T00:00:00"/>
    <s v="P0175"/>
    <s v="PMR"/>
    <s v="MHS"/>
    <s v="CL023"/>
    <x v="0"/>
    <x v="3"/>
    <d v="1899-12-30T12:00:00"/>
    <m/>
    <m/>
    <n v="0"/>
    <n v="120"/>
    <s v="No"/>
    <m/>
    <s v="Follow-up visit"/>
    <s v="appointment_export_2026_02.csv"/>
    <n v="0"/>
    <n v="0"/>
    <x v="3"/>
    <s v="Central"/>
    <s v="Mereana Thompson"/>
    <s v="Regional"/>
    <s v="Mon-Fri 08:30-17:00"/>
    <x v="2"/>
    <n v="14"/>
    <n v="120"/>
    <s v="Behavioural health"/>
    <s v="Mental Health Clinician"/>
    <s v="Matched"/>
    <n v="41"/>
    <n v="0"/>
    <m/>
    <m/>
    <n v="0"/>
    <m/>
    <n v="1"/>
    <n v="0"/>
    <s v="Matches Standard"/>
    <x v="2"/>
    <n v="2026"/>
    <n v="2"/>
    <s v="Feb"/>
  </r>
  <r>
    <s v="APT-202602-0039"/>
    <d v="2026-02-28T00:00:00"/>
    <d v="2026-01-20T00:00:00"/>
    <s v="P0135"/>
    <s v="HAM"/>
    <s v="MHS"/>
    <s v="CL014"/>
    <x v="1"/>
    <x v="2"/>
    <d v="1899-12-30T11:30:00"/>
    <d v="1899-12-30T11:38:00"/>
    <d v="1899-12-30T11:41:00"/>
    <n v="45"/>
    <n v="120"/>
    <s v="No"/>
    <n v="5"/>
    <s v="New referral"/>
    <s v="appointment_export_2026_02.csv"/>
    <n v="0"/>
    <n v="0"/>
    <x v="1"/>
    <s v="Midland"/>
    <s v="Daniel Wong"/>
    <s v="Urban"/>
    <s v="Mon-Fri 08:00-17:30"/>
    <x v="2"/>
    <n v="14"/>
    <n v="120"/>
    <s v="Behavioural health"/>
    <s v="Mental Health Clinician"/>
    <s v="Matched"/>
    <n v="39"/>
    <n v="0"/>
    <n v="3"/>
    <n v="1"/>
    <n v="1"/>
    <n v="0"/>
    <n v="1"/>
    <n v="0"/>
    <s v="Matches Standard"/>
    <x v="2"/>
    <n v="2026"/>
    <n v="2"/>
    <s v="Feb"/>
  </r>
  <r>
    <s v="APT-202602-0040"/>
    <d v="2026-02-18T00:00:00"/>
    <d v="2026-01-26T00:00:00"/>
    <s v="P0100"/>
    <s v="WLG"/>
    <s v="DIA"/>
    <s v="CL038"/>
    <x v="1"/>
    <x v="2"/>
    <d v="1899-12-30T13:30:00"/>
    <d v="1899-12-30T13:36:00"/>
    <d v="1899-12-30T13:51:00"/>
    <n v="60"/>
    <n v="80"/>
    <s v="No"/>
    <n v="5"/>
    <s v="Routine review"/>
    <s v="appointment_export_2026_02.csv"/>
    <n v="0"/>
    <n v="0"/>
    <x v="0"/>
    <s v="Central"/>
    <s v="Sophie Martin"/>
    <s v="Urban"/>
    <s v="Mon-Sat 08:00-18:00"/>
    <x v="3"/>
    <n v="10"/>
    <n v="80"/>
    <s v="Long-term conditions"/>
    <s v="Diabetes Nurse"/>
    <s v="Matched"/>
    <n v="23"/>
    <n v="0"/>
    <n v="15"/>
    <n v="1"/>
    <n v="1"/>
    <n v="0"/>
    <n v="1"/>
    <n v="0"/>
    <s v="Matches Standard"/>
    <x v="2"/>
    <n v="2026"/>
    <n v="2"/>
    <s v="Feb"/>
  </r>
  <r>
    <s v="APT-202602-0041"/>
    <d v="2026-02-26T00:00:00"/>
    <d v="2026-02-16T00:00:00"/>
    <s v="P0141"/>
    <s v="AUC"/>
    <s v="CAR"/>
    <s v="CL009"/>
    <x v="1"/>
    <x v="3"/>
    <d v="1899-12-30T11:00:00"/>
    <d v="1899-12-30T11:03:00"/>
    <d v="1899-12-30T11:33:00"/>
    <n v="30"/>
    <n v="150"/>
    <s v="Yes"/>
    <n v="2"/>
    <s v="Care plan review"/>
    <s v="appointment_export_2026_02.csv"/>
    <n v="0"/>
    <n v="0"/>
    <x v="2"/>
    <s v="Northern"/>
    <s v="Aroha Rangi"/>
    <s v="Urban"/>
    <s v="Mon-Fri 08:00-18:00"/>
    <x v="4"/>
    <n v="28"/>
    <n v="150"/>
    <s v="Specialist outpatient"/>
    <s v="Cardiology Clinician"/>
    <s v="Matched"/>
    <n v="10"/>
    <n v="1"/>
    <n v="30"/>
    <n v="1"/>
    <n v="1"/>
    <n v="0"/>
    <n v="1"/>
    <n v="0"/>
    <s v="Matches Standard"/>
    <x v="2"/>
    <n v="2026"/>
    <n v="2"/>
    <s v="Feb"/>
  </r>
  <r>
    <s v="APT-202602-0042"/>
    <d v="2026-02-27T00:00:00"/>
    <d v="2026-02-02T00:00:00"/>
    <s v="P0170"/>
    <s v="AUC"/>
    <s v="PHY"/>
    <s v="CL005"/>
    <x v="0"/>
    <x v="3"/>
    <d v="1899-12-30T10:00:00"/>
    <m/>
    <m/>
    <n v="0"/>
    <n v="95"/>
    <s v="Yes"/>
    <m/>
    <s v="New referral"/>
    <s v="appointment_export_2026_02.csv"/>
    <n v="0"/>
    <n v="0"/>
    <x v="2"/>
    <s v="Northern"/>
    <s v="Aroha Rangi"/>
    <s v="Urban"/>
    <s v="Mon-Fri 08:00-18:00"/>
    <x v="0"/>
    <n v="21"/>
    <n v="95"/>
    <s v="Rehabilitation"/>
    <s v="Physiotherapist"/>
    <s v="Matched"/>
    <n v="25"/>
    <n v="0"/>
    <m/>
    <m/>
    <n v="0"/>
    <m/>
    <n v="1"/>
    <n v="0"/>
    <s v="Matches Standard"/>
    <x v="2"/>
    <n v="2026"/>
    <n v="2"/>
    <s v="Feb"/>
  </r>
  <r>
    <s v="APT-202602-0043"/>
    <d v="2026-02-04T00:00:00"/>
    <d v="2026-02-03T00:00:00"/>
    <s v="P0129"/>
    <s v="AUC"/>
    <s v="CAR"/>
    <s v="CL009"/>
    <x v="1"/>
    <x v="3"/>
    <d v="1899-12-30T11:30:00"/>
    <d v="1899-12-30T11:36:00"/>
    <d v="1899-12-30T11:34:00"/>
    <n v="45"/>
    <n v="150"/>
    <s v="No"/>
    <n v="5"/>
    <s v="Routine review"/>
    <s v="appointment_export_2026_02.csv"/>
    <n v="0"/>
    <n v="0"/>
    <x v="2"/>
    <s v="Northern"/>
    <s v="Aroha Rangi"/>
    <s v="Urban"/>
    <s v="Mon-Fri 08:00-18:00"/>
    <x v="4"/>
    <n v="28"/>
    <n v="150"/>
    <s v="Specialist outpatient"/>
    <s v="Cardiology Clinician"/>
    <s v="Matched"/>
    <n v="1"/>
    <n v="1"/>
    <m/>
    <m/>
    <n v="1"/>
    <n v="0"/>
    <n v="1"/>
    <n v="0"/>
    <s v="Matches Standard"/>
    <x v="2"/>
    <n v="2026"/>
    <n v="2"/>
    <s v="Feb"/>
  </r>
  <r>
    <s v="APT-202602-0044"/>
    <d v="2026-02-05T00:00:00"/>
    <d v="2026-02-03T00:00:00"/>
    <s v="P0125"/>
    <s v="PMR"/>
    <s v="CAR"/>
    <s v="CL029"/>
    <x v="1"/>
    <x v="1"/>
    <d v="1899-12-30T12:30:00"/>
    <d v="1899-12-30T12:48:00"/>
    <d v="1899-12-30T12:57:00"/>
    <n v="45"/>
    <n v="150"/>
    <s v="No"/>
    <n v="4"/>
    <s v="Patient requested appointment"/>
    <s v="appointment_export_2026_02.csv"/>
    <n v="0"/>
    <n v="0"/>
    <x v="3"/>
    <s v="Central"/>
    <s v="Mereana Thompson"/>
    <s v="Regional"/>
    <s v="Mon-Fri 08:30-17:00"/>
    <x v="4"/>
    <n v="28"/>
    <n v="150"/>
    <s v="Specialist outpatient"/>
    <s v="Cardiology Clinician"/>
    <s v="Matched"/>
    <n v="2"/>
    <n v="1"/>
    <n v="9"/>
    <n v="1"/>
    <n v="1"/>
    <n v="0"/>
    <n v="1"/>
    <n v="0"/>
    <s v="Matches Standard"/>
    <x v="2"/>
    <n v="2026"/>
    <n v="2"/>
    <s v="Feb"/>
  </r>
  <r>
    <s v="APT-202602-0045"/>
    <d v="2026-02-27T00:00:00"/>
    <d v="2026-02-07T00:00:00"/>
    <s v="P0131"/>
    <s v="AUC"/>
    <s v="DIA"/>
    <s v="CL008"/>
    <x v="1"/>
    <x v="3"/>
    <d v="1899-12-30T11:00:00"/>
    <d v="1899-12-30T11:00:00"/>
    <d v="1899-12-30T11:29:00"/>
    <n v="30"/>
    <n v="80"/>
    <s v="No"/>
    <n v="4"/>
    <s v="Routine review"/>
    <s v="appointment_export_2026_02.csv"/>
    <n v="0"/>
    <n v="0"/>
    <x v="2"/>
    <s v="Northern"/>
    <s v="Aroha Rangi"/>
    <s v="Urban"/>
    <s v="Mon-Fri 08:00-18:00"/>
    <x v="3"/>
    <n v="10"/>
    <n v="80"/>
    <s v="Long-term conditions"/>
    <s v="Diabetes Nurse"/>
    <s v="Matched"/>
    <n v="20"/>
    <n v="0"/>
    <n v="29"/>
    <n v="1"/>
    <n v="1"/>
    <n v="0"/>
    <n v="1"/>
    <n v="0"/>
    <s v="Matches Standard"/>
    <x v="2"/>
    <n v="2026"/>
    <n v="2"/>
    <s v="Feb"/>
  </r>
  <r>
    <s v="APT-202602-0046"/>
    <d v="2026-02-28T00:00:00"/>
    <d v="2026-01-27T00:00:00"/>
    <s v="P0063"/>
    <s v="HAM"/>
    <s v="DIA"/>
    <s v="CL018"/>
    <x v="1"/>
    <x v="0"/>
    <d v="1899-12-30T12:30:00"/>
    <d v="1899-12-30T12:41:00"/>
    <d v="1899-12-30T13:01:00"/>
    <n v="30"/>
    <n v="80"/>
    <s v="No"/>
    <n v="5"/>
    <s v="Care plan review"/>
    <s v="appointment_export_2026_02.csv"/>
    <n v="0"/>
    <n v="0"/>
    <x v="1"/>
    <s v="Midland"/>
    <s v="Daniel Wong"/>
    <s v="Urban"/>
    <s v="Mon-Fri 08:00-17:30"/>
    <x v="3"/>
    <n v="10"/>
    <n v="80"/>
    <s v="Long-term conditions"/>
    <s v="Diabetes Nurse"/>
    <s v="Matched"/>
    <n v="32"/>
    <n v="0"/>
    <n v="20"/>
    <n v="1"/>
    <n v="1"/>
    <n v="0"/>
    <n v="1"/>
    <n v="0"/>
    <s v="Matches Standard"/>
    <x v="2"/>
    <n v="2026"/>
    <n v="2"/>
    <s v="Feb"/>
  </r>
  <r>
    <s v="APT-202602-0047"/>
    <d v="2026-02-28T00:00:00"/>
    <d v="2026-01-06T00:00:00"/>
    <s v="P0203"/>
    <s v="PMR"/>
    <s v="MHS"/>
    <s v="CL023"/>
    <x v="1"/>
    <x v="2"/>
    <d v="1899-12-30T12:30:00"/>
    <d v="1899-12-30T12:41:00"/>
    <d v="1899-12-30T12:30:00"/>
    <n v="30"/>
    <n v="120"/>
    <s v="No"/>
    <n v="4"/>
    <s v="Routine review"/>
    <s v="appointment_export_2026_02.csv"/>
    <n v="0"/>
    <n v="0"/>
    <x v="3"/>
    <s v="Central"/>
    <s v="Mereana Thompson"/>
    <s v="Regional"/>
    <s v="Mon-Fri 08:30-17:00"/>
    <x v="2"/>
    <n v="14"/>
    <n v="120"/>
    <s v="Behavioural health"/>
    <s v="Mental Health Clinician"/>
    <s v="Matched"/>
    <n v="53"/>
    <n v="0"/>
    <m/>
    <m/>
    <n v="1"/>
    <n v="0"/>
    <n v="1"/>
    <n v="0"/>
    <s v="Matches Standard"/>
    <x v="2"/>
    <n v="2026"/>
    <n v="2"/>
    <s v="Feb"/>
  </r>
  <r>
    <s v="APT-202602-0048"/>
    <d v="2026-02-07T00:00:00"/>
    <d v="2026-01-29T00:00:00"/>
    <s v="P0094"/>
    <s v="HAM"/>
    <s v="GEN"/>
    <s v="CL012"/>
    <x v="1"/>
    <x v="3"/>
    <d v="1899-12-30T10:30:00"/>
    <d v="1899-12-30T10:37:00"/>
    <d v="1899-12-30T10:41:00"/>
    <n v="20"/>
    <n v="65"/>
    <s v="Yes"/>
    <n v="3"/>
    <s v="New referral"/>
    <s v="appointment_export_2026_02.csv"/>
    <n v="0"/>
    <n v="0"/>
    <x v="1"/>
    <s v="Midland"/>
    <s v="Daniel Wong"/>
    <s v="Urban"/>
    <s v="Mon-Fri 08:00-17:30"/>
    <x v="1"/>
    <n v="7"/>
    <n v="65"/>
    <s v="Primary care"/>
    <s v="Doctor or Nurse Practitioner"/>
    <s v="Matched"/>
    <n v="9"/>
    <n v="0"/>
    <n v="4"/>
    <n v="1"/>
    <n v="1"/>
    <n v="0"/>
    <n v="1"/>
    <n v="0"/>
    <s v="Matches Standard"/>
    <x v="2"/>
    <n v="2026"/>
    <n v="2"/>
    <s v="Feb"/>
  </r>
  <r>
    <s v="APT-202602-0049"/>
    <d v="2026-02-19T00:00:00"/>
    <d v="2026-01-12T00:00:00"/>
    <s v="P0102"/>
    <s v="WLG"/>
    <s v="GEN"/>
    <s v="CL031"/>
    <x v="2"/>
    <x v="3"/>
    <d v="1899-12-30T08:30:00"/>
    <m/>
    <m/>
    <n v="0"/>
    <n v="65"/>
    <s v="No"/>
    <m/>
    <s v="Routine review"/>
    <s v="appointment_export_2026_02.csv"/>
    <n v="0"/>
    <n v="0"/>
    <x v="0"/>
    <s v="Central"/>
    <s v="Sophie Martin"/>
    <s v="Urban"/>
    <s v="Mon-Sat 08:00-18:00"/>
    <x v="1"/>
    <n v="7"/>
    <n v="65"/>
    <s v="Primary care"/>
    <s v="Doctor or Nurse Practitioner"/>
    <s v="Matched"/>
    <n v="38"/>
    <n v="0"/>
    <m/>
    <m/>
    <n v="1"/>
    <n v="1"/>
    <n v="1"/>
    <n v="0"/>
    <s v="Matches Standard"/>
    <x v="2"/>
    <n v="2026"/>
    <n v="2"/>
    <s v="Feb"/>
  </r>
  <r>
    <s v="APT-202602-0050"/>
    <d v="2026-02-02T00:00:00"/>
    <d v="2026-01-11T00:00:00"/>
    <s v="P0082"/>
    <s v="PMR"/>
    <s v="CAR"/>
    <s v="CL030"/>
    <x v="1"/>
    <x v="0"/>
    <d v="1899-12-30T13:00:00"/>
    <d v="1899-12-30T12:59:00"/>
    <d v="1899-12-30T13:10:00"/>
    <n v="60"/>
    <n v="150"/>
    <s v="No"/>
    <n v="5"/>
    <s v="Follow-up visit"/>
    <s v="appointment_export_2026_02.csv"/>
    <n v="0"/>
    <n v="0"/>
    <x v="3"/>
    <s v="Central"/>
    <s v="Mereana Thompson"/>
    <s v="Regional"/>
    <s v="Mon-Fri 08:30-17:00"/>
    <x v="4"/>
    <n v="28"/>
    <n v="150"/>
    <s v="Specialist outpatient"/>
    <s v="Cardiology Clinician"/>
    <s v="Matched"/>
    <n v="22"/>
    <n v="1"/>
    <n v="11"/>
    <n v="1"/>
    <n v="1"/>
    <n v="0"/>
    <n v="1"/>
    <n v="0"/>
    <s v="Matches Standard"/>
    <x v="2"/>
    <n v="2026"/>
    <n v="2"/>
    <s v="Feb"/>
  </r>
  <r>
    <s v="APT-202602-0051"/>
    <d v="2026-02-03T00:00:00"/>
    <d v="2026-01-03T00:00:00"/>
    <s v="P0036"/>
    <s v="AUC"/>
    <s v="GEN"/>
    <s v="CL001"/>
    <x v="1"/>
    <x v="3"/>
    <d v="1899-12-30T09:00:00"/>
    <d v="1899-12-30T08:51:00"/>
    <d v="1899-12-30T09:00:00"/>
    <n v="30"/>
    <n v="65"/>
    <s v="No"/>
    <n v="2"/>
    <s v="Patient requested appointment"/>
    <s v="appointment_export_2026_02.csv"/>
    <n v="0"/>
    <n v="0"/>
    <x v="2"/>
    <s v="Northern"/>
    <s v="Aroha Rangi"/>
    <s v="Urban"/>
    <s v="Mon-Fri 08:00-18:00"/>
    <x v="1"/>
    <n v="7"/>
    <n v="65"/>
    <s v="Primary care"/>
    <s v="Doctor or Nurse Practitioner"/>
    <s v="Matched"/>
    <n v="31"/>
    <n v="0"/>
    <n v="9"/>
    <n v="1"/>
    <n v="1"/>
    <n v="0"/>
    <n v="1"/>
    <n v="0"/>
    <s v="Matches Standard"/>
    <x v="2"/>
    <n v="2026"/>
    <n v="2"/>
    <s v="Feb"/>
  </r>
  <r>
    <s v="APT-202602-0052"/>
    <d v="2026-02-17T00:00:00"/>
    <d v="2026-02-14T00:00:00"/>
    <s v="P0108"/>
    <s v="PMR"/>
    <s v="CAR"/>
    <s v="CL030"/>
    <x v="1"/>
    <x v="0"/>
    <d v="1899-12-30T10:30:00"/>
    <d v="1899-12-30T10:26:00"/>
    <d v="1899-12-30T10:59:00"/>
    <n v="30"/>
    <n v="150"/>
    <s v="Yes"/>
    <n v="3"/>
    <s v="Routine review"/>
    <s v="appointment_export_2026_02.csv"/>
    <n v="0"/>
    <n v="0"/>
    <x v="3"/>
    <s v="Central"/>
    <s v="Mereana Thompson"/>
    <s v="Regional"/>
    <s v="Mon-Fri 08:30-17:00"/>
    <x v="4"/>
    <n v="28"/>
    <n v="150"/>
    <s v="Specialist outpatient"/>
    <s v="Cardiology Clinician"/>
    <s v="Matched"/>
    <n v="3"/>
    <n v="1"/>
    <n v="33"/>
    <n v="0"/>
    <n v="1"/>
    <n v="0"/>
    <n v="1"/>
    <n v="0"/>
    <s v="Matches Standard"/>
    <x v="2"/>
    <n v="2026"/>
    <n v="2"/>
    <s v="Feb"/>
  </r>
  <r>
    <s v="APT-202602-0053"/>
    <d v="2026-02-17T00:00:00"/>
    <d v="2026-02-02T00:00:00"/>
    <s v="P0063"/>
    <s v="WLG"/>
    <s v="DIA"/>
    <s v="CL037"/>
    <x v="2"/>
    <x v="2"/>
    <d v="1899-12-30T09:00:00"/>
    <m/>
    <m/>
    <n v="0"/>
    <n v="80"/>
    <s v="No"/>
    <m/>
    <s v="New referral"/>
    <s v="appointment_export_2026_02.csv"/>
    <n v="0"/>
    <n v="0"/>
    <x v="0"/>
    <s v="Central"/>
    <s v="Sophie Martin"/>
    <s v="Urban"/>
    <s v="Mon-Sat 08:00-18:00"/>
    <x v="3"/>
    <n v="10"/>
    <n v="80"/>
    <s v="Long-term conditions"/>
    <s v="Diabetes Nurse"/>
    <s v="Matched"/>
    <n v="15"/>
    <n v="0"/>
    <m/>
    <m/>
    <n v="1"/>
    <n v="1"/>
    <n v="1"/>
    <n v="0"/>
    <s v="Matches Standard"/>
    <x v="2"/>
    <n v="2026"/>
    <n v="2"/>
    <s v="Feb"/>
  </r>
  <r>
    <s v="APT-202602-0054"/>
    <d v="2026-02-05T00:00:00"/>
    <d v="2026-01-01T00:00:00"/>
    <s v="P0165"/>
    <s v="AUC"/>
    <s v="MHS"/>
    <s v="CL004"/>
    <x v="1"/>
    <x v="0"/>
    <d v="1899-12-30T12:00:00"/>
    <d v="1899-12-30T12:07:00"/>
    <d v="1899-12-30T12:38:00"/>
    <n v="60"/>
    <n v="120"/>
    <s v="Yes"/>
    <n v="5"/>
    <s v="Care plan review"/>
    <s v="appointment_export_2026_02.csv"/>
    <n v="0"/>
    <n v="0"/>
    <x v="2"/>
    <s v="Northern"/>
    <s v="Aroha Rangi"/>
    <s v="Urban"/>
    <s v="Mon-Fri 08:00-18:00"/>
    <x v="2"/>
    <n v="14"/>
    <n v="120"/>
    <s v="Behavioural health"/>
    <s v="Mental Health Clinician"/>
    <s v="Matched"/>
    <n v="35"/>
    <n v="0"/>
    <n v="31"/>
    <n v="0"/>
    <n v="1"/>
    <n v="0"/>
    <n v="1"/>
    <n v="0"/>
    <s v="Matches Standard"/>
    <x v="2"/>
    <n v="2026"/>
    <n v="2"/>
    <s v="Feb"/>
  </r>
  <r>
    <s v="APT-202602-0055"/>
    <d v="2026-02-28T00:00:00"/>
    <d v="2026-01-24T00:00:00"/>
    <s v="P0151"/>
    <s v="HAM"/>
    <s v="PHY"/>
    <s v="CL015"/>
    <x v="1"/>
    <x v="2"/>
    <d v="1899-12-30T15:00:00"/>
    <d v="1899-12-30T15:07:00"/>
    <d v="1899-12-30T15:23:00"/>
    <n v="60"/>
    <n v="95"/>
    <s v="No"/>
    <n v="2"/>
    <s v="Follow-up visit"/>
    <s v="appointment_export_2026_02.csv"/>
    <n v="0"/>
    <n v="0"/>
    <x v="1"/>
    <s v="Midland"/>
    <s v="Daniel Wong"/>
    <s v="Urban"/>
    <s v="Mon-Fri 08:00-17:30"/>
    <x v="0"/>
    <n v="21"/>
    <n v="95"/>
    <s v="Rehabilitation"/>
    <s v="Physiotherapist"/>
    <s v="Matched"/>
    <n v="35"/>
    <n v="0"/>
    <n v="16"/>
    <n v="1"/>
    <n v="1"/>
    <n v="0"/>
    <n v="1"/>
    <n v="0"/>
    <s v="Matches Standard"/>
    <x v="2"/>
    <n v="2026"/>
    <n v="2"/>
    <s v="Feb"/>
  </r>
  <r>
    <s v="APT-202602-0056"/>
    <d v="2026-02-26T00:00:00"/>
    <d v="2026-02-12T00:00:00"/>
    <s v="P0119"/>
    <s v="PMR"/>
    <s v="PHY"/>
    <s v="CL026"/>
    <x v="1"/>
    <x v="3"/>
    <d v="1899-12-30T16:00:00"/>
    <d v="1899-12-30T15:53:00"/>
    <d v="1899-12-30T16:18:00"/>
    <n v="60"/>
    <n v="95"/>
    <s v="Yes"/>
    <n v="3"/>
    <s v="Routine review"/>
    <s v="appointment_export_2026_02.csv"/>
    <n v="0"/>
    <n v="0"/>
    <x v="3"/>
    <s v="Central"/>
    <s v="Mereana Thompson"/>
    <s v="Regional"/>
    <s v="Mon-Fri 08:30-17:00"/>
    <x v="0"/>
    <n v="21"/>
    <n v="95"/>
    <s v="Rehabilitation"/>
    <s v="Physiotherapist"/>
    <s v="Matched"/>
    <n v="14"/>
    <n v="1"/>
    <n v="25"/>
    <n v="1"/>
    <n v="1"/>
    <n v="0"/>
    <n v="1"/>
    <n v="0"/>
    <s v="Matches Standard"/>
    <x v="2"/>
    <n v="2026"/>
    <n v="2"/>
    <s v="Feb"/>
  </r>
  <r>
    <s v="APT-202602-0057"/>
    <d v="2026-02-05T00:00:00"/>
    <d v="2026-01-20T00:00:00"/>
    <s v="P0036"/>
    <s v="WLG"/>
    <s v="PHY"/>
    <s v="CL035"/>
    <x v="0"/>
    <x v="3"/>
    <d v="1899-12-30T10:30:00"/>
    <m/>
    <m/>
    <n v="0"/>
    <n v="95"/>
    <s v="No"/>
    <m/>
    <s v="Patient requested appointment"/>
    <s v="appointment_export_2026_02.csv"/>
    <n v="0"/>
    <n v="0"/>
    <x v="0"/>
    <s v="Central"/>
    <s v="Sophie Martin"/>
    <s v="Urban"/>
    <s v="Mon-Sat 08:00-18:00"/>
    <x v="0"/>
    <n v="21"/>
    <n v="95"/>
    <s v="Rehabilitation"/>
    <s v="Physiotherapist"/>
    <s v="Matched"/>
    <n v="16"/>
    <n v="1"/>
    <m/>
    <m/>
    <n v="0"/>
    <m/>
    <n v="1"/>
    <n v="0"/>
    <s v="Matches Standard"/>
    <x v="2"/>
    <n v="2026"/>
    <n v="2"/>
    <s v="Feb"/>
  </r>
  <r>
    <s v="APT-202602-0058"/>
    <d v="2026-02-11T00:00:00"/>
    <d v="2025-12-21T00:00:00"/>
    <s v="P0166"/>
    <s v="AUC"/>
    <s v="CAR"/>
    <s v="CL010"/>
    <x v="0"/>
    <x v="2"/>
    <d v="1899-12-30T10:00:00"/>
    <m/>
    <m/>
    <n v="0"/>
    <n v="150"/>
    <s v="No"/>
    <m/>
    <s v="Routine review"/>
    <s v="appointment_export_2026_02.csv"/>
    <n v="0"/>
    <n v="0"/>
    <x v="2"/>
    <s v="Northern"/>
    <s v="Aroha Rangi"/>
    <s v="Urban"/>
    <s v="Mon-Fri 08:00-18:00"/>
    <x v="4"/>
    <n v="28"/>
    <n v="150"/>
    <s v="Specialist outpatient"/>
    <s v="Cardiology Clinician"/>
    <s v="Matched"/>
    <n v="52"/>
    <n v="0"/>
    <m/>
    <m/>
    <n v="0"/>
    <m/>
    <n v="1"/>
    <n v="0"/>
    <s v="Matches Standard"/>
    <x v="2"/>
    <n v="2026"/>
    <n v="2"/>
    <s v="Feb"/>
  </r>
  <r>
    <s v="APT-202602-0059"/>
    <d v="2026-02-17T00:00:00"/>
    <d v="2025-12-26T00:00:00"/>
    <s v="P0113"/>
    <s v="WLG"/>
    <s v="PHY"/>
    <s v="CL036"/>
    <x v="1"/>
    <x v="0"/>
    <d v="1899-12-30T13:30:00"/>
    <d v="1899-12-30T13:35:00"/>
    <d v="1899-12-30T13:58:00"/>
    <n v="20"/>
    <n v="95"/>
    <s v="Yes"/>
    <n v="4"/>
    <s v="New referral"/>
    <s v="appointment_export_2026_02.csv"/>
    <n v="0"/>
    <n v="0"/>
    <x v="0"/>
    <s v="Central"/>
    <s v="Sophie Martin"/>
    <s v="Urban"/>
    <s v="Mon-Sat 08:00-18:00"/>
    <x v="0"/>
    <n v="21"/>
    <n v="95"/>
    <s v="Rehabilitation"/>
    <s v="Physiotherapist"/>
    <s v="Matched"/>
    <n v="53"/>
    <n v="0"/>
    <n v="23"/>
    <n v="1"/>
    <n v="1"/>
    <n v="0"/>
    <n v="1"/>
    <n v="0"/>
    <s v="Matches Standard"/>
    <x v="2"/>
    <n v="2026"/>
    <n v="2"/>
    <s v="Feb"/>
  </r>
  <r>
    <s v="APT-202602-0060"/>
    <d v="2026-02-03T00:00:00"/>
    <d v="2026-01-20T00:00:00"/>
    <s v="P0025"/>
    <s v="PMR"/>
    <s v="PHY"/>
    <s v="CL025"/>
    <x v="1"/>
    <x v="1"/>
    <d v="1899-12-30T13:00:00"/>
    <d v="1899-12-30T13:16:00"/>
    <d v="1899-12-30T13:21:00"/>
    <n v="30"/>
    <n v="95"/>
    <s v="No"/>
    <n v="3"/>
    <s v="Care plan review"/>
    <s v="appointment_export_2026_02.csv"/>
    <n v="0"/>
    <n v="0"/>
    <x v="3"/>
    <s v="Central"/>
    <s v="Mereana Thompson"/>
    <s v="Regional"/>
    <s v="Mon-Fri 08:30-17:00"/>
    <x v="0"/>
    <n v="21"/>
    <n v="95"/>
    <s v="Rehabilitation"/>
    <s v="Physiotherapist"/>
    <s v="Matched"/>
    <n v="14"/>
    <n v="1"/>
    <n v="5"/>
    <n v="1"/>
    <n v="1"/>
    <n v="0"/>
    <n v="1"/>
    <n v="0"/>
    <s v="Matches Standard"/>
    <x v="2"/>
    <n v="2026"/>
    <n v="2"/>
    <s v="Feb"/>
  </r>
  <r>
    <s v="APT-202602-0061"/>
    <d v="2026-02-20T00:00:00"/>
    <d v="2026-01-17T00:00:00"/>
    <s v="P0239"/>
    <s v="HAM"/>
    <s v="MHS"/>
    <s v="CL014"/>
    <x v="1"/>
    <x v="3"/>
    <d v="1899-12-30T13:30:00"/>
    <d v="1899-12-30T13:37:00"/>
    <d v="1899-12-30T13:37:00"/>
    <n v="30"/>
    <n v="120"/>
    <s v="No"/>
    <n v="5"/>
    <s v="Patient requested appointment"/>
    <s v="appointment_export_2026_02.csv"/>
    <n v="0"/>
    <n v="0"/>
    <x v="1"/>
    <s v="Midland"/>
    <s v="Daniel Wong"/>
    <s v="Urban"/>
    <s v="Mon-Fri 08:00-17:30"/>
    <x v="2"/>
    <n v="14"/>
    <n v="120"/>
    <s v="Behavioural health"/>
    <s v="Mental Health Clinician"/>
    <s v="Matched"/>
    <n v="34"/>
    <n v="0"/>
    <n v="0"/>
    <n v="1"/>
    <n v="1"/>
    <n v="0"/>
    <n v="1"/>
    <n v="0"/>
    <s v="Matches Standard"/>
    <x v="2"/>
    <n v="2026"/>
    <n v="2"/>
    <s v="Feb"/>
  </r>
  <r>
    <s v="APT-202602-0062"/>
    <d v="2026-02-16T00:00:00"/>
    <d v="2026-01-05T00:00:00"/>
    <s v="P0124"/>
    <s v="AUC"/>
    <s v="PHY"/>
    <s v="CL006"/>
    <x v="0"/>
    <x v="1"/>
    <d v="1899-12-30T10:30:00"/>
    <d v="1899-12-30T10:20:00"/>
    <d v="1899-12-30T10:43:00"/>
    <n v="60"/>
    <n v="95"/>
    <s v="No"/>
    <n v="2"/>
    <s v="Patient requested appointment"/>
    <s v="appointment_export_2026_02.csv"/>
    <n v="0"/>
    <n v="0"/>
    <x v="2"/>
    <s v="Northern"/>
    <s v="Aroha Rangi"/>
    <s v="Urban"/>
    <s v="Mon-Fri 08:00-18:00"/>
    <x v="0"/>
    <n v="21"/>
    <n v="95"/>
    <s v="Rehabilitation"/>
    <s v="Physiotherapist"/>
    <s v="Matched"/>
    <n v="42"/>
    <n v="0"/>
    <m/>
    <m/>
    <n v="0"/>
    <m/>
    <n v="1"/>
    <n v="0"/>
    <s v="Matches Standard"/>
    <x v="2"/>
    <n v="2026"/>
    <n v="2"/>
    <s v="Feb"/>
  </r>
  <r>
    <s v="APT-202602-0063"/>
    <d v="2026-02-27T00:00:00"/>
    <d v="2026-01-21T00:00:00"/>
    <s v="P0096"/>
    <s v="PMR"/>
    <s v="DIA"/>
    <s v="CL028"/>
    <x v="1"/>
    <x v="1"/>
    <d v="1899-12-30T10:30:00"/>
    <d v="1899-12-30T10:39:00"/>
    <d v="1899-12-30T11:03:00"/>
    <n v="30"/>
    <n v="80"/>
    <s v="No"/>
    <n v="5"/>
    <s v="New referral"/>
    <s v="appointment_export_2026_02.csv"/>
    <n v="0"/>
    <n v="0"/>
    <x v="3"/>
    <s v="Central"/>
    <s v="Mereana Thompson"/>
    <s v="Regional"/>
    <s v="Mon-Fri 08:30-17:00"/>
    <x v="3"/>
    <n v="10"/>
    <n v="80"/>
    <s v="Long-term conditions"/>
    <s v="Diabetes Nurse"/>
    <s v="Matched"/>
    <n v="37"/>
    <n v="0"/>
    <n v="24"/>
    <n v="1"/>
    <n v="1"/>
    <n v="0"/>
    <n v="1"/>
    <n v="0"/>
    <s v="Matches Standard"/>
    <x v="2"/>
    <n v="2026"/>
    <n v="2"/>
    <s v="Feb"/>
  </r>
  <r>
    <s v="APT-202602-0064"/>
    <d v="2026-02-04T00:00:00"/>
    <d v="2026-01-10T00:00:00"/>
    <s v="P0208"/>
    <s v="HAM"/>
    <s v="CAR"/>
    <s v="CL019"/>
    <x v="1"/>
    <x v="1"/>
    <d v="1899-12-30T10:00:00"/>
    <d v="1899-12-30T09:54:00"/>
    <d v="1899-12-30T10:02:00"/>
    <n v="20"/>
    <n v="150"/>
    <s v="Yes"/>
    <n v="4"/>
    <s v="Routine review"/>
    <s v="appointment_export_2026_02.csv"/>
    <n v="0"/>
    <n v="0"/>
    <x v="1"/>
    <s v="Midland"/>
    <s v="Daniel Wong"/>
    <s v="Urban"/>
    <s v="Mon-Fri 08:00-17:30"/>
    <x v="4"/>
    <n v="28"/>
    <n v="150"/>
    <s v="Specialist outpatient"/>
    <s v="Cardiology Clinician"/>
    <s v="Matched"/>
    <n v="25"/>
    <n v="1"/>
    <n v="8"/>
    <n v="1"/>
    <n v="1"/>
    <n v="0"/>
    <n v="1"/>
    <n v="0"/>
    <s v="Matches Standard"/>
    <x v="2"/>
    <n v="2026"/>
    <n v="2"/>
    <s v="Feb"/>
  </r>
  <r>
    <s v="APT-202602-0065"/>
    <d v="2026-02-05T00:00:00"/>
    <d v="2026-01-29T00:00:00"/>
    <s v="P0143"/>
    <s v="WLG"/>
    <s v="DIA"/>
    <s v="CL037"/>
    <x v="1"/>
    <x v="0"/>
    <d v="1899-12-30T14:00:00"/>
    <d v="1899-12-30T14:14:00"/>
    <d v="1899-12-30T14:04:00"/>
    <n v="30"/>
    <n v="80"/>
    <s v="Yes"/>
    <n v="4"/>
    <s v="Care plan review"/>
    <s v="appointment_export_2026_02.csv"/>
    <n v="0"/>
    <n v="0"/>
    <x v="0"/>
    <s v="Central"/>
    <s v="Sophie Martin"/>
    <s v="Urban"/>
    <s v="Mon-Sat 08:00-18:00"/>
    <x v="3"/>
    <n v="10"/>
    <n v="80"/>
    <s v="Long-term conditions"/>
    <s v="Diabetes Nurse"/>
    <s v="Matched"/>
    <n v="7"/>
    <n v="1"/>
    <m/>
    <m/>
    <n v="1"/>
    <n v="0"/>
    <n v="1"/>
    <n v="0"/>
    <s v="Matches Standard"/>
    <x v="2"/>
    <n v="2026"/>
    <n v="2"/>
    <s v="Feb"/>
  </r>
  <r>
    <s v="APT-202602-0066"/>
    <d v="2026-02-04T00:00:00"/>
    <d v="2026-01-25T00:00:00"/>
    <s v="P0149"/>
    <s v="AUC"/>
    <s v="GEN"/>
    <s v="CL002"/>
    <x v="1"/>
    <x v="3"/>
    <d v="1899-12-30T16:00:00"/>
    <d v="1899-12-30T16:07:00"/>
    <d v="1899-12-30T16:38:00"/>
    <n v="20"/>
    <n v="65"/>
    <s v="No"/>
    <n v="2"/>
    <s v="Follow-up visit"/>
    <s v="appointment_export_2026_02.csv"/>
    <n v="0"/>
    <n v="0"/>
    <x v="2"/>
    <s v="Northern"/>
    <s v="Aroha Rangi"/>
    <s v="Urban"/>
    <s v="Mon-Fri 08:00-18:00"/>
    <x v="1"/>
    <n v="7"/>
    <n v="65"/>
    <s v="Primary care"/>
    <s v="Doctor or Nurse Practitioner"/>
    <s v="Matched"/>
    <n v="10"/>
    <n v="0"/>
    <n v="31"/>
    <n v="0"/>
    <n v="1"/>
    <n v="0"/>
    <n v="1"/>
    <n v="0"/>
    <s v="Matches Standard"/>
    <x v="2"/>
    <n v="2026"/>
    <n v="2"/>
    <s v="Feb"/>
  </r>
  <r>
    <s v="APT-202602-0067"/>
    <d v="2026-02-10T00:00:00"/>
    <d v="2025-12-24T00:00:00"/>
    <s v="P0061"/>
    <s v="WLG"/>
    <s v="CAR"/>
    <s v="CL040"/>
    <x v="1"/>
    <x v="2"/>
    <d v="1899-12-30T14:00:00"/>
    <d v="1899-12-30T13:51:00"/>
    <d v="1899-12-30T14:26:00"/>
    <n v="45"/>
    <n v="150"/>
    <s v="No"/>
    <n v="3"/>
    <s v="Patient requested appointment"/>
    <s v="appointment_export_2026_02.csv"/>
    <n v="0"/>
    <n v="0"/>
    <x v="0"/>
    <s v="Central"/>
    <s v="Sophie Martin"/>
    <s v="Urban"/>
    <s v="Mon-Sat 08:00-18:00"/>
    <x v="4"/>
    <n v="28"/>
    <n v="150"/>
    <s v="Specialist outpatient"/>
    <s v="Cardiology Clinician"/>
    <s v="Matched"/>
    <n v="48"/>
    <n v="0"/>
    <n v="35"/>
    <n v="0"/>
    <n v="1"/>
    <n v="0"/>
    <n v="1"/>
    <n v="0"/>
    <s v="Matches Standard"/>
    <x v="2"/>
    <n v="2026"/>
    <n v="2"/>
    <s v="Feb"/>
  </r>
  <r>
    <s v="APT-202602-0068"/>
    <d v="2026-02-23T00:00:00"/>
    <d v="2026-02-16T00:00:00"/>
    <s v="P0060"/>
    <s v="PMR"/>
    <s v="GEN"/>
    <s v="CL022"/>
    <x v="1"/>
    <x v="2"/>
    <d v="1899-12-30T14:00:00"/>
    <d v="1899-12-30T14:15:00"/>
    <d v="1899-12-30T14:31:00"/>
    <n v="20"/>
    <n v="65"/>
    <s v="No"/>
    <n v="2"/>
    <s v="Routine review"/>
    <s v="appointment_export_2026_02.csv"/>
    <n v="0"/>
    <n v="0"/>
    <x v="3"/>
    <s v="Central"/>
    <s v="Mereana Thompson"/>
    <s v="Regional"/>
    <s v="Mon-Fri 08:30-17:00"/>
    <x v="1"/>
    <n v="7"/>
    <n v="65"/>
    <s v="Primary care"/>
    <s v="Doctor or Nurse Practitioner"/>
    <s v="Matched"/>
    <n v="7"/>
    <n v="1"/>
    <n v="16"/>
    <n v="1"/>
    <n v="1"/>
    <n v="0"/>
    <n v="1"/>
    <n v="0"/>
    <s v="Matches Standard"/>
    <x v="2"/>
    <n v="2026"/>
    <n v="2"/>
    <s v="Feb"/>
  </r>
  <r>
    <s v="APT-202602-0069"/>
    <d v="2026-02-19T00:00:00"/>
    <d v="2026-01-24T00:00:00"/>
    <s v="P0235"/>
    <s v="WLG"/>
    <s v="GEN"/>
    <s v="CL032"/>
    <x v="1"/>
    <x v="3"/>
    <d v="1899-12-30T10:00:00"/>
    <d v="1899-12-30T10:15:00"/>
    <d v="1899-12-30T10:10:00"/>
    <n v="20"/>
    <n v="65"/>
    <s v="No"/>
    <n v="5"/>
    <s v="Routine review"/>
    <s v="appointment_export_2026_02.csv"/>
    <n v="0"/>
    <n v="0"/>
    <x v="0"/>
    <s v="Central"/>
    <s v="Sophie Martin"/>
    <s v="Urban"/>
    <s v="Mon-Sat 08:00-18:00"/>
    <x v="1"/>
    <n v="7"/>
    <n v="65"/>
    <s v="Primary care"/>
    <s v="Doctor or Nurse Practitioner"/>
    <s v="Matched"/>
    <n v="26"/>
    <n v="0"/>
    <m/>
    <m/>
    <n v="1"/>
    <n v="0"/>
    <n v="1"/>
    <n v="0"/>
    <s v="Matches Standard"/>
    <x v="2"/>
    <n v="2026"/>
    <n v="2"/>
    <s v="Feb"/>
  </r>
  <r>
    <s v="APT-202602-0070"/>
    <d v="2026-02-27T00:00:00"/>
    <d v="2026-02-12T00:00:00"/>
    <s v="P0087"/>
    <s v="HAM"/>
    <s v="DIA"/>
    <s v="CL017"/>
    <x v="1"/>
    <x v="0"/>
    <d v="1899-12-30T15:00:00"/>
    <d v="1899-12-30T15:08:00"/>
    <d v="1899-12-30T15:30:00"/>
    <n v="45"/>
    <n v="80"/>
    <s v="No"/>
    <n v="5"/>
    <s v="Patient requested appointment"/>
    <s v="appointment_export_2026_02.csv"/>
    <n v="0"/>
    <n v="0"/>
    <x v="1"/>
    <s v="Midland"/>
    <s v="Daniel Wong"/>
    <s v="Urban"/>
    <s v="Mon-Fri 08:00-17:30"/>
    <x v="3"/>
    <n v="10"/>
    <n v="80"/>
    <s v="Long-term conditions"/>
    <s v="Diabetes Nurse"/>
    <s v="Matched"/>
    <n v="15"/>
    <n v="0"/>
    <n v="22"/>
    <n v="1"/>
    <n v="1"/>
    <n v="0"/>
    <n v="1"/>
    <n v="0"/>
    <s v="Matches Standard"/>
    <x v="2"/>
    <n v="2026"/>
    <n v="2"/>
    <s v="Feb"/>
  </r>
  <r>
    <s v="APT-202602-0071"/>
    <d v="2026-02-14T00:00:00"/>
    <d v="2026-01-26T00:00:00"/>
    <s v="P0109"/>
    <s v="PMR"/>
    <s v="PHY"/>
    <s v="CL026"/>
    <x v="1"/>
    <x v="3"/>
    <d v="1899-12-30T08:30:00"/>
    <d v="1899-12-30T08:43:00"/>
    <d v="1899-12-30T08:48:00"/>
    <n v="20"/>
    <n v="95"/>
    <s v="No"/>
    <n v="4"/>
    <s v="Patient requested appointment"/>
    <s v="appointment_export_2026_02.csv"/>
    <n v="0"/>
    <n v="0"/>
    <x v="3"/>
    <s v="Central"/>
    <s v="Mereana Thompson"/>
    <s v="Regional"/>
    <s v="Mon-Fri 08:30-17:00"/>
    <x v="0"/>
    <n v="21"/>
    <n v="95"/>
    <s v="Rehabilitation"/>
    <s v="Physiotherapist"/>
    <s v="Matched"/>
    <n v="19"/>
    <n v="1"/>
    <n v="5"/>
    <n v="1"/>
    <n v="1"/>
    <n v="0"/>
    <n v="1"/>
    <n v="0"/>
    <s v="Matches Standard"/>
    <x v="2"/>
    <n v="2026"/>
    <n v="2"/>
    <s v="Feb"/>
  </r>
  <r>
    <s v="APT-202602-0072"/>
    <d v="2026-02-01T00:00:00"/>
    <d v="2026-01-13T00:00:00"/>
    <s v="P0124"/>
    <s v="HAM"/>
    <s v="MHS"/>
    <s v="CL014"/>
    <x v="2"/>
    <x v="2"/>
    <d v="1899-12-30T15:00:00"/>
    <m/>
    <m/>
    <n v="0"/>
    <n v="120"/>
    <s v="Yes"/>
    <m/>
    <s v="Patient requested appointment"/>
    <s v="appointment_export_2026_02.csv"/>
    <n v="0"/>
    <n v="0"/>
    <x v="1"/>
    <s v="Midland"/>
    <s v="Daniel Wong"/>
    <s v="Urban"/>
    <s v="Mon-Fri 08:00-17:30"/>
    <x v="2"/>
    <n v="14"/>
    <n v="120"/>
    <s v="Behavioural health"/>
    <s v="Mental Health Clinician"/>
    <s v="Matched"/>
    <n v="19"/>
    <n v="0"/>
    <m/>
    <m/>
    <n v="1"/>
    <n v="1"/>
    <n v="1"/>
    <n v="0"/>
    <s v="Matches Standard"/>
    <x v="2"/>
    <n v="2026"/>
    <n v="2"/>
    <s v="Feb"/>
  </r>
  <r>
    <s v="APT-202602-0073"/>
    <d v="2026-02-09T00:00:00"/>
    <d v="2026-01-21T00:00:00"/>
    <s v="P0150"/>
    <s v="HAM"/>
    <s v="PHY"/>
    <s v="CL016"/>
    <x v="1"/>
    <x v="3"/>
    <d v="1899-12-30T13:00:00"/>
    <d v="1899-12-30T12:54:00"/>
    <d v="1899-12-30T13:18:00"/>
    <n v="30"/>
    <n v="95"/>
    <s v="No"/>
    <n v="4"/>
    <s v="Care plan review"/>
    <s v="appointment_export_2026_02.csv"/>
    <n v="0"/>
    <n v="0"/>
    <x v="1"/>
    <s v="Midland"/>
    <s v="Daniel Wong"/>
    <s v="Urban"/>
    <s v="Mon-Fri 08:00-17:30"/>
    <x v="0"/>
    <n v="21"/>
    <n v="95"/>
    <s v="Rehabilitation"/>
    <s v="Physiotherapist"/>
    <s v="Matched"/>
    <n v="19"/>
    <n v="1"/>
    <n v="24"/>
    <n v="1"/>
    <n v="1"/>
    <n v="0"/>
    <n v="1"/>
    <n v="0"/>
    <s v="Matches Standard"/>
    <x v="2"/>
    <n v="2026"/>
    <n v="2"/>
    <s v="Feb"/>
  </r>
  <r>
    <s v="APT-202602-0074"/>
    <d v="2026-02-09T00:00:00"/>
    <d v="2025-12-22T00:00:00"/>
    <s v="P0021"/>
    <s v="AUC"/>
    <s v="DIA"/>
    <s v="CL007"/>
    <x v="3"/>
    <x v="0"/>
    <d v="1899-12-30T14:00:00"/>
    <m/>
    <m/>
    <n v="0"/>
    <n v="80"/>
    <s v="Yes"/>
    <m/>
    <s v="Care plan review"/>
    <s v="appointment_export_2026_02.csv"/>
    <n v="0"/>
    <n v="0"/>
    <x v="2"/>
    <s v="Northern"/>
    <s v="Aroha Rangi"/>
    <s v="Urban"/>
    <s v="Mon-Fri 08:00-18:00"/>
    <x v="3"/>
    <n v="10"/>
    <n v="80"/>
    <s v="Long-term conditions"/>
    <s v="Diabetes Nurse"/>
    <s v="Matched"/>
    <n v="49"/>
    <n v="0"/>
    <m/>
    <m/>
    <n v="0"/>
    <m/>
    <n v="1"/>
    <n v="0"/>
    <s v="Matches Standard"/>
    <x v="2"/>
    <n v="2026"/>
    <n v="2"/>
    <s v="Feb"/>
  </r>
  <r>
    <s v="APT-202602-0075"/>
    <d v="2026-02-21T00:00:00"/>
    <d v="2026-02-06T00:00:00"/>
    <s v="P0117"/>
    <s v="HAM"/>
    <s v="PHY"/>
    <s v="CL016"/>
    <x v="1"/>
    <x v="0"/>
    <d v="1899-12-30T15:30:00"/>
    <d v="1899-12-30T15:41:00"/>
    <d v="1899-12-30T15:39:00"/>
    <n v="30"/>
    <n v="95"/>
    <s v="No"/>
    <n v="2"/>
    <s v="Patient requested appointment"/>
    <s v="appointment_export_2026_02.csv"/>
    <n v="0"/>
    <n v="0"/>
    <x v="1"/>
    <s v="Midland"/>
    <s v="Daniel Wong"/>
    <s v="Urban"/>
    <s v="Mon-Fri 08:00-17:30"/>
    <x v="0"/>
    <n v="21"/>
    <n v="95"/>
    <s v="Rehabilitation"/>
    <s v="Physiotherapist"/>
    <s v="Matched"/>
    <n v="15"/>
    <n v="1"/>
    <m/>
    <m/>
    <n v="1"/>
    <n v="0"/>
    <n v="1"/>
    <n v="0"/>
    <s v="Matches Standard"/>
    <x v="2"/>
    <n v="2026"/>
    <n v="2"/>
    <s v="Feb"/>
  </r>
  <r>
    <s v="APT-202602-0076"/>
    <d v="2026-02-18T00:00:00"/>
    <d v="2026-01-02T00:00:00"/>
    <s v="P0071"/>
    <s v="WLG"/>
    <s v="MHS"/>
    <s v="CL033"/>
    <x v="0"/>
    <x v="0"/>
    <d v="1899-12-30T15:30:00"/>
    <m/>
    <m/>
    <n v="0"/>
    <n v="120"/>
    <s v="No"/>
    <m/>
    <s v="Routine review"/>
    <s v="appointment_export_2026_02.csv"/>
    <n v="0"/>
    <n v="0"/>
    <x v="0"/>
    <s v="Central"/>
    <s v="Sophie Martin"/>
    <s v="Urban"/>
    <s v="Mon-Sat 08:00-18:00"/>
    <x v="2"/>
    <n v="14"/>
    <n v="120"/>
    <s v="Behavioural health"/>
    <s v="Mental Health Clinician"/>
    <s v="Matched"/>
    <n v="47"/>
    <n v="0"/>
    <m/>
    <m/>
    <n v="0"/>
    <m/>
    <n v="1"/>
    <n v="0"/>
    <s v="Matches Standard"/>
    <x v="2"/>
    <n v="2026"/>
    <n v="2"/>
    <s v="Feb"/>
  </r>
  <r>
    <s v="APT-202602-0077"/>
    <d v="2026-02-27T00:00:00"/>
    <d v="2026-02-17T00:00:00"/>
    <s v="P0235"/>
    <s v="WLG"/>
    <s v="DIA"/>
    <s v="CL037"/>
    <x v="2"/>
    <x v="1"/>
    <d v="1899-12-30T14:30:00"/>
    <m/>
    <m/>
    <n v="0"/>
    <n v="80"/>
    <s v="Yes"/>
    <m/>
    <s v="Follow-up visit"/>
    <s v="appointment_export_2026_02.csv"/>
    <n v="0"/>
    <n v="0"/>
    <x v="0"/>
    <s v="Central"/>
    <s v="Sophie Martin"/>
    <s v="Urban"/>
    <s v="Mon-Sat 08:00-18:00"/>
    <x v="3"/>
    <n v="10"/>
    <n v="80"/>
    <s v="Long-term conditions"/>
    <s v="Diabetes Nurse"/>
    <s v="Matched"/>
    <n v="10"/>
    <n v="1"/>
    <m/>
    <m/>
    <n v="1"/>
    <n v="1"/>
    <n v="1"/>
    <n v="0"/>
    <s v="Matches Standard"/>
    <x v="2"/>
    <n v="2026"/>
    <n v="2"/>
    <s v="Feb"/>
  </r>
  <r>
    <s v="APT-202602-0078"/>
    <d v="2026-02-05T00:00:00"/>
    <d v="2026-01-05T00:00:00"/>
    <s v="P0142"/>
    <s v="WLG"/>
    <s v="PHY"/>
    <s v="CL035"/>
    <x v="1"/>
    <x v="3"/>
    <d v="1899-12-30T15:30:00"/>
    <d v="1899-12-30T15:44:00"/>
    <d v="1899-12-30T15:39:00"/>
    <n v="60"/>
    <n v="95"/>
    <s v="No"/>
    <n v="4"/>
    <s v="Follow-up visit"/>
    <s v="appointment_export_2026_02.csv"/>
    <n v="0"/>
    <n v="0"/>
    <x v="0"/>
    <s v="Central"/>
    <s v="Sophie Martin"/>
    <s v="Urban"/>
    <s v="Mon-Sat 08:00-18:00"/>
    <x v="0"/>
    <n v="21"/>
    <n v="95"/>
    <s v="Rehabilitation"/>
    <s v="Physiotherapist"/>
    <s v="Matched"/>
    <n v="31"/>
    <n v="0"/>
    <m/>
    <m/>
    <n v="1"/>
    <n v="0"/>
    <n v="1"/>
    <n v="0"/>
    <s v="Matches Standard"/>
    <x v="2"/>
    <n v="2026"/>
    <n v="2"/>
    <s v="Feb"/>
  </r>
  <r>
    <s v="APT-202602-0079"/>
    <d v="2026-02-13T00:00:00"/>
    <d v="2026-01-09T00:00:00"/>
    <s v="P0197"/>
    <s v="WLG"/>
    <m/>
    <s v="CL038"/>
    <x v="1"/>
    <x v="0"/>
    <d v="1899-12-30T11:30:00"/>
    <d v="1899-12-30T11:25:00"/>
    <d v="1899-12-30T12:10:00"/>
    <n v="20"/>
    <n v="80"/>
    <s v="No"/>
    <n v="5"/>
    <s v="Follow-up visit"/>
    <s v="appointment_export_2026_02.csv"/>
    <n v="0"/>
    <n v="1"/>
    <x v="0"/>
    <s v="Central"/>
    <s v="Sophie Martin"/>
    <s v="Urban"/>
    <s v="Mon-Sat 08:00-18:00"/>
    <x v="5"/>
    <m/>
    <m/>
    <m/>
    <m/>
    <s v="Missing Service Code"/>
    <n v="35"/>
    <m/>
    <n v="45"/>
    <n v="0"/>
    <n v="1"/>
    <n v="0"/>
    <n v="1"/>
    <m/>
    <s v="Missing Standard Fee"/>
    <x v="2"/>
    <n v="2026"/>
    <n v="2"/>
    <s v="Feb"/>
  </r>
  <r>
    <s v="APT-202602-0080"/>
    <d v="2026-02-07T00:00:00"/>
    <d v="2026-01-16T00:00:00"/>
    <s v="P0167"/>
    <s v="PMR"/>
    <s v="GEN"/>
    <s v="CL021"/>
    <x v="1"/>
    <x v="1"/>
    <d v="1899-12-30T15:30:00"/>
    <d v="1899-12-30T15:40:00"/>
    <d v="1899-12-30T15:47:00"/>
    <n v="30"/>
    <n v="65"/>
    <s v="No"/>
    <n v="2"/>
    <s v="Care plan review"/>
    <s v="appointment_export_2026_02.csv"/>
    <n v="0"/>
    <n v="0"/>
    <x v="3"/>
    <s v="Central"/>
    <s v="Mereana Thompson"/>
    <s v="Regional"/>
    <s v="Mon-Fri 08:30-17:00"/>
    <x v="1"/>
    <n v="7"/>
    <n v="65"/>
    <s v="Primary care"/>
    <s v="Doctor or Nurse Practitioner"/>
    <s v="Matched"/>
    <n v="22"/>
    <n v="0"/>
    <n v="7"/>
    <n v="1"/>
    <n v="1"/>
    <n v="0"/>
    <n v="1"/>
    <n v="0"/>
    <s v="Matches Standard"/>
    <x v="2"/>
    <n v="2026"/>
    <n v="2"/>
    <s v="Feb"/>
  </r>
  <r>
    <s v="APT-202602-0081"/>
    <d v="2026-02-12T00:00:00"/>
    <d v="2025-12-19T00:00:00"/>
    <s v="P0080"/>
    <s v="AUC"/>
    <s v="CAR"/>
    <s v="CL010"/>
    <x v="1"/>
    <x v="2"/>
    <d v="1899-12-30T09:30:00"/>
    <d v="1899-12-30T09:39:00"/>
    <d v="1899-12-30T09:35:00"/>
    <n v="20"/>
    <n v="150"/>
    <s v="No"/>
    <n v="2"/>
    <s v="Follow-up visit"/>
    <s v="appointment_export_2026_02.csv"/>
    <n v="0"/>
    <n v="0"/>
    <x v="2"/>
    <s v="Northern"/>
    <s v="Aroha Rangi"/>
    <s v="Urban"/>
    <s v="Mon-Fri 08:00-18:00"/>
    <x v="4"/>
    <n v="28"/>
    <n v="150"/>
    <s v="Specialist outpatient"/>
    <s v="Cardiology Clinician"/>
    <s v="Matched"/>
    <n v="55"/>
    <n v="0"/>
    <m/>
    <m/>
    <n v="1"/>
    <n v="0"/>
    <n v="1"/>
    <n v="0"/>
    <s v="Matches Standard"/>
    <x v="2"/>
    <n v="2026"/>
    <n v="2"/>
    <s v="Feb"/>
  </r>
  <r>
    <s v="APT-202602-0082"/>
    <d v="2026-02-14T00:00:00"/>
    <d v="2025-12-31T00:00:00"/>
    <s v="P0204"/>
    <s v="HAM"/>
    <s v="MHS"/>
    <s v="CL014"/>
    <x v="1"/>
    <x v="3"/>
    <d v="1899-12-30T14:30:00"/>
    <d v="1899-12-30T14:40:00"/>
    <d v="1899-12-30T15:01:00"/>
    <n v="45"/>
    <n v="120"/>
    <s v="No"/>
    <n v="5"/>
    <s v="Care plan review"/>
    <s v="appointment_export_2026_02.csv"/>
    <n v="0"/>
    <n v="0"/>
    <x v="1"/>
    <s v="Midland"/>
    <s v="Daniel Wong"/>
    <s v="Urban"/>
    <s v="Mon-Fri 08:00-17:30"/>
    <x v="2"/>
    <n v="14"/>
    <n v="120"/>
    <s v="Behavioural health"/>
    <s v="Mental Health Clinician"/>
    <s v="Matched"/>
    <n v="45"/>
    <n v="0"/>
    <n v="21"/>
    <n v="1"/>
    <n v="1"/>
    <n v="0"/>
    <n v="1"/>
    <n v="0"/>
    <s v="Matches Standard"/>
    <x v="2"/>
    <n v="2026"/>
    <n v="2"/>
    <s v="Feb"/>
  </r>
  <r>
    <s v="APT-202602-0083"/>
    <d v="2026-02-23T00:00:00"/>
    <d v="2026-02-11T00:00:00"/>
    <s v="P0063"/>
    <s v="HAM"/>
    <s v="DIA"/>
    <s v="CL017"/>
    <x v="1"/>
    <x v="1"/>
    <d v="1899-12-30T15:30:00"/>
    <d v="1899-12-30T15:31:00"/>
    <d v="1899-12-30T15:56:00"/>
    <n v="30"/>
    <n v="80"/>
    <s v="No"/>
    <m/>
    <s v="Follow-up visit"/>
    <s v="appointment_export_2026_02.csv"/>
    <n v="0"/>
    <n v="0"/>
    <x v="1"/>
    <s v="Midland"/>
    <s v="Daniel Wong"/>
    <s v="Urban"/>
    <s v="Mon-Fri 08:00-17:30"/>
    <x v="3"/>
    <n v="10"/>
    <n v="80"/>
    <s v="Long-term conditions"/>
    <s v="Diabetes Nurse"/>
    <s v="Matched"/>
    <n v="12"/>
    <n v="0"/>
    <n v="25"/>
    <n v="1"/>
    <n v="1"/>
    <n v="0"/>
    <n v="1"/>
    <n v="0"/>
    <s v="Matches Standard"/>
    <x v="2"/>
    <n v="2026"/>
    <n v="2"/>
    <s v="Feb"/>
  </r>
  <r>
    <s v="APT-202602-0084"/>
    <d v="2026-02-09T00:00:00"/>
    <d v="2026-01-17T00:00:00"/>
    <s v="P0135"/>
    <s v="AUC"/>
    <s v="PHY"/>
    <s v="CL006"/>
    <x v="3"/>
    <x v="0"/>
    <d v="1899-12-30T08:00:00"/>
    <m/>
    <m/>
    <n v="0"/>
    <n v="95"/>
    <s v="No"/>
    <m/>
    <s v="Routine review"/>
    <s v="appointment_export_2026_02.csv"/>
    <n v="0"/>
    <n v="0"/>
    <x v="2"/>
    <s v="Northern"/>
    <s v="Aroha Rangi"/>
    <s v="Urban"/>
    <s v="Mon-Fri 08:00-18:00"/>
    <x v="0"/>
    <n v="21"/>
    <n v="95"/>
    <s v="Rehabilitation"/>
    <s v="Physiotherapist"/>
    <s v="Matched"/>
    <n v="23"/>
    <n v="0"/>
    <m/>
    <m/>
    <n v="0"/>
    <m/>
    <n v="1"/>
    <n v="0"/>
    <s v="Matches Standard"/>
    <x v="2"/>
    <n v="2026"/>
    <n v="2"/>
    <s v="Feb"/>
  </r>
  <r>
    <s v="APT-202602-0085"/>
    <d v="2026-02-24T00:00:00"/>
    <d v="2025-12-31T00:00:00"/>
    <s v="P0219"/>
    <s v="AUC"/>
    <s v="PHY"/>
    <s v="CL006"/>
    <x v="1"/>
    <x v="3"/>
    <d v="1899-12-30T08:30:00"/>
    <d v="1899-12-30T08:27:00"/>
    <d v="1899-12-30T09:09:00"/>
    <n v="30"/>
    <n v="95"/>
    <s v="Yes"/>
    <n v="4"/>
    <s v="Routine review"/>
    <s v="appointment_export_2026_02.csv"/>
    <n v="0"/>
    <n v="0"/>
    <x v="2"/>
    <s v="Northern"/>
    <s v="Aroha Rangi"/>
    <s v="Urban"/>
    <s v="Mon-Fri 08:00-18:00"/>
    <x v="0"/>
    <n v="21"/>
    <n v="95"/>
    <s v="Rehabilitation"/>
    <s v="Physiotherapist"/>
    <s v="Matched"/>
    <n v="55"/>
    <n v="0"/>
    <n v="42"/>
    <n v="0"/>
    <n v="1"/>
    <n v="0"/>
    <n v="1"/>
    <n v="0"/>
    <s v="Matches Standard"/>
    <x v="2"/>
    <n v="2026"/>
    <n v="2"/>
    <s v="Feb"/>
  </r>
  <r>
    <s v="APT-202602-0086"/>
    <d v="2026-02-07T00:00:00"/>
    <d v="2026-01-20T00:00:00"/>
    <s v="P0084"/>
    <s v="AUC"/>
    <s v="DIA"/>
    <s v="CL008"/>
    <x v="1"/>
    <x v="2"/>
    <d v="1899-12-30T11:00:00"/>
    <d v="1899-12-30T11:15:00"/>
    <d v="1899-12-30T11:11:00"/>
    <n v="30"/>
    <n v="80"/>
    <s v="Yes"/>
    <n v="4"/>
    <s v="Routine review"/>
    <s v="appointment_export_2026_02.csv"/>
    <n v="0"/>
    <n v="0"/>
    <x v="2"/>
    <s v="Northern"/>
    <s v="Aroha Rangi"/>
    <s v="Urban"/>
    <s v="Mon-Fri 08:00-18:00"/>
    <x v="3"/>
    <n v="10"/>
    <n v="80"/>
    <s v="Long-term conditions"/>
    <s v="Diabetes Nurse"/>
    <s v="Matched"/>
    <n v="18"/>
    <n v="0"/>
    <m/>
    <m/>
    <n v="1"/>
    <n v="0"/>
    <n v="1"/>
    <n v="0"/>
    <s v="Matches Standard"/>
    <x v="2"/>
    <n v="2026"/>
    <n v="2"/>
    <s v="Feb"/>
  </r>
  <r>
    <s v="APT-202602-0087"/>
    <d v="2026-02-28T00:00:00"/>
    <d v="2026-02-02T00:00:00"/>
    <s v="P0118"/>
    <s v="PMR"/>
    <s v="GEN"/>
    <s v="CL021"/>
    <x v="0"/>
    <x v="1"/>
    <d v="1899-12-30T14:00:00"/>
    <m/>
    <m/>
    <n v="0"/>
    <n v="65"/>
    <s v="Yes"/>
    <m/>
    <s v="Patient requested appointment"/>
    <s v="appointment_export_2026_02.csv"/>
    <n v="0"/>
    <n v="0"/>
    <x v="3"/>
    <s v="Central"/>
    <s v="Mereana Thompson"/>
    <s v="Regional"/>
    <s v="Mon-Fri 08:30-17:00"/>
    <x v="1"/>
    <n v="7"/>
    <n v="65"/>
    <s v="Primary care"/>
    <s v="Doctor or Nurse Practitioner"/>
    <s v="Matched"/>
    <n v="26"/>
    <n v="0"/>
    <m/>
    <m/>
    <n v="0"/>
    <m/>
    <n v="1"/>
    <n v="0"/>
    <s v="Matches Standard"/>
    <x v="2"/>
    <n v="2026"/>
    <n v="2"/>
    <s v="Feb"/>
  </r>
  <r>
    <s v="APT-202602-0088"/>
    <d v="2026-02-14T00:00:00"/>
    <d v="2026-01-07T00:00:00"/>
    <s v="P0207"/>
    <s v="AUC"/>
    <s v="CAR"/>
    <s v="CL010"/>
    <x v="1"/>
    <x v="0"/>
    <d v="1899-12-30T10:00:00"/>
    <d v="1899-12-30T09:51:00"/>
    <d v="1899-12-30T10:03:00"/>
    <n v="30"/>
    <n v="150"/>
    <s v="No"/>
    <n v="5"/>
    <s v="Patient requested appointment"/>
    <s v="appointment_export_2026_02.csv"/>
    <n v="0"/>
    <n v="0"/>
    <x v="2"/>
    <s v="Northern"/>
    <s v="Aroha Rangi"/>
    <s v="Urban"/>
    <s v="Mon-Fri 08:00-18:00"/>
    <x v="4"/>
    <n v="28"/>
    <n v="150"/>
    <s v="Specialist outpatient"/>
    <s v="Cardiology Clinician"/>
    <s v="Matched"/>
    <n v="38"/>
    <n v="0"/>
    <n v="12"/>
    <n v="1"/>
    <n v="1"/>
    <n v="0"/>
    <n v="1"/>
    <n v="0"/>
    <s v="Matches Standard"/>
    <x v="2"/>
    <n v="2026"/>
    <n v="2"/>
    <s v="Feb"/>
  </r>
  <r>
    <s v="APT-202602-0089"/>
    <d v="2026-02-21T00:00:00"/>
    <d v="2026-02-10T00:00:00"/>
    <s v="P0091"/>
    <s v="PMR"/>
    <s v="PHY"/>
    <s v="CL026"/>
    <x v="1"/>
    <x v="1"/>
    <d v="1899-12-30T08:30:00"/>
    <d v="1899-12-30T08:28:00"/>
    <d v="1899-12-30T08:59:00"/>
    <n v="45"/>
    <n v="95"/>
    <s v="Yes"/>
    <n v="2"/>
    <s v="Routine review"/>
    <s v="appointment_export_2026_02.csv"/>
    <n v="0"/>
    <n v="0"/>
    <x v="3"/>
    <s v="Central"/>
    <s v="Mereana Thompson"/>
    <s v="Regional"/>
    <s v="Mon-Fri 08:30-17:00"/>
    <x v="0"/>
    <n v="21"/>
    <n v="95"/>
    <s v="Rehabilitation"/>
    <s v="Physiotherapist"/>
    <s v="Matched"/>
    <n v="11"/>
    <n v="1"/>
    <n v="31"/>
    <n v="0"/>
    <n v="1"/>
    <n v="0"/>
    <n v="1"/>
    <n v="0"/>
    <s v="Matches Standard"/>
    <x v="2"/>
    <n v="2026"/>
    <n v="2"/>
    <s v="Feb"/>
  </r>
  <r>
    <s v="APT-202602-0090"/>
    <d v="2026-02-20T00:00:00"/>
    <d v="2026-01-15T00:00:00"/>
    <s v="P0083"/>
    <s v="WLG"/>
    <s v="GEN"/>
    <s v="CL032"/>
    <x v="2"/>
    <x v="3"/>
    <d v="1899-12-30T16:00:00"/>
    <m/>
    <m/>
    <n v="0"/>
    <n v="65"/>
    <s v="No"/>
    <m/>
    <s v="Patient requested appointment"/>
    <s v="appointment_export_2026_02.csv"/>
    <n v="0"/>
    <n v="0"/>
    <x v="0"/>
    <s v="Central"/>
    <s v="Sophie Martin"/>
    <s v="Urban"/>
    <s v="Mon-Sat 08:00-18:00"/>
    <x v="1"/>
    <n v="7"/>
    <n v="65"/>
    <s v="Primary care"/>
    <s v="Doctor or Nurse Practitioner"/>
    <s v="Matched"/>
    <n v="36"/>
    <n v="0"/>
    <m/>
    <m/>
    <n v="1"/>
    <n v="1"/>
    <n v="1"/>
    <n v="0"/>
    <s v="Matches Standard"/>
    <x v="2"/>
    <n v="2026"/>
    <n v="2"/>
    <s v="Feb"/>
  </r>
  <r>
    <s v="APT-202602-0091"/>
    <d v="2026-02-25T00:00:00"/>
    <d v="2026-01-11T00:00:00"/>
    <s v="P0073"/>
    <s v="WLG"/>
    <s v="CAR"/>
    <s v="CL040"/>
    <x v="1"/>
    <x v="3"/>
    <d v="1899-12-30T13:00:00"/>
    <d v="1899-12-30T12:58:00"/>
    <d v="1899-12-30T13:14:00"/>
    <n v="45"/>
    <n v="150"/>
    <s v="No"/>
    <n v="4"/>
    <s v="Patient requested appointment"/>
    <s v="appointment_export_2026_02.csv"/>
    <n v="0"/>
    <n v="0"/>
    <x v="0"/>
    <s v="Central"/>
    <s v="Sophie Martin"/>
    <s v="Urban"/>
    <s v="Mon-Sat 08:00-18:00"/>
    <x v="4"/>
    <n v="28"/>
    <n v="150"/>
    <s v="Specialist outpatient"/>
    <s v="Cardiology Clinician"/>
    <s v="Matched"/>
    <n v="45"/>
    <n v="0"/>
    <n v="16"/>
    <n v="1"/>
    <n v="1"/>
    <n v="0"/>
    <n v="1"/>
    <n v="0"/>
    <s v="Matches Standard"/>
    <x v="2"/>
    <n v="2026"/>
    <n v="2"/>
    <s v="Feb"/>
  </r>
  <r>
    <s v="APT-202602-0092"/>
    <d v="2026-02-04T00:00:00"/>
    <d v="2026-01-24T00:00:00"/>
    <s v="P0047"/>
    <s v="AUC"/>
    <s v="DIA"/>
    <s v="CL007"/>
    <x v="1"/>
    <x v="2"/>
    <d v="1899-12-30T14:00:00"/>
    <d v="1899-12-30T14:11:00"/>
    <d v="1899-12-30T14:34:00"/>
    <n v="30"/>
    <n v="80"/>
    <s v="No"/>
    <n v="5"/>
    <s v="New referral"/>
    <s v="appointment_export_2026_02.csv"/>
    <n v="0"/>
    <n v="0"/>
    <x v="2"/>
    <s v="Northern"/>
    <s v="Aroha Rangi"/>
    <s v="Urban"/>
    <s v="Mon-Fri 08:00-18:00"/>
    <x v="3"/>
    <n v="10"/>
    <n v="80"/>
    <s v="Long-term conditions"/>
    <s v="Diabetes Nurse"/>
    <s v="Matched"/>
    <n v="11"/>
    <n v="0"/>
    <n v="23"/>
    <n v="1"/>
    <n v="1"/>
    <n v="0"/>
    <n v="1"/>
    <n v="0"/>
    <s v="Matches Standard"/>
    <x v="2"/>
    <n v="2026"/>
    <n v="2"/>
    <s v="Feb"/>
  </r>
  <r>
    <s v="APT-202602-0093"/>
    <d v="2026-02-24T00:00:00"/>
    <d v="2026-02-01T00:00:00"/>
    <s v="P0072"/>
    <s v="PMR"/>
    <s v="CAR"/>
    <s v="CL029"/>
    <x v="1"/>
    <x v="2"/>
    <d v="1899-12-30T13:30:00"/>
    <d v="1899-12-30T13:35:00"/>
    <d v="1899-12-30T13:57:00"/>
    <n v="20"/>
    <n v="150"/>
    <s v="No"/>
    <n v="4"/>
    <s v="Care plan review"/>
    <s v="appointment_export_2026_02.csv"/>
    <n v="0"/>
    <n v="0"/>
    <x v="3"/>
    <s v="Central"/>
    <s v="Mereana Thompson"/>
    <s v="Regional"/>
    <s v="Mon-Fri 08:30-17:00"/>
    <x v="4"/>
    <n v="28"/>
    <n v="150"/>
    <s v="Specialist outpatient"/>
    <s v="Cardiology Clinician"/>
    <s v="Matched"/>
    <n v="23"/>
    <n v="1"/>
    <n v="22"/>
    <n v="1"/>
    <n v="1"/>
    <n v="0"/>
    <n v="1"/>
    <n v="0"/>
    <s v="Matches Standard"/>
    <x v="2"/>
    <n v="2026"/>
    <n v="2"/>
    <s v="Feb"/>
  </r>
  <r>
    <s v="APT-202602-0094"/>
    <d v="2026-02-12T00:00:00"/>
    <d v="2025-12-23T00:00:00"/>
    <s v="P0082"/>
    <s v="HAM"/>
    <s v="PHY"/>
    <s v="CL016"/>
    <x v="1"/>
    <x v="3"/>
    <d v="1899-12-30T10:00:00"/>
    <d v="1899-12-30T09:52:00"/>
    <d v="1899-12-30T10:05:00"/>
    <n v="45"/>
    <n v="95"/>
    <s v="No"/>
    <n v="4"/>
    <s v="Routine review"/>
    <s v="appointment_export_2026_02.csv"/>
    <n v="0"/>
    <n v="0"/>
    <x v="1"/>
    <s v="Midland"/>
    <s v="Daniel Wong"/>
    <s v="Urban"/>
    <s v="Mon-Fri 08:00-17:30"/>
    <x v="0"/>
    <n v="21"/>
    <n v="95"/>
    <s v="Rehabilitation"/>
    <s v="Physiotherapist"/>
    <s v="Matched"/>
    <n v="51"/>
    <n v="0"/>
    <n v="13"/>
    <n v="1"/>
    <n v="1"/>
    <n v="0"/>
    <n v="1"/>
    <n v="0"/>
    <s v="Matches Standard"/>
    <x v="2"/>
    <n v="2026"/>
    <n v="2"/>
    <s v="Feb"/>
  </r>
  <r>
    <s v="APT-202602-0095"/>
    <d v="2026-02-18T00:00:00"/>
    <d v="2025-12-31T00:00:00"/>
    <s v="P0123"/>
    <s v="WLG"/>
    <s v="DIA"/>
    <s v="CL038"/>
    <x v="0"/>
    <x v="0"/>
    <d v="1899-12-30T14:30:00"/>
    <m/>
    <m/>
    <n v="0"/>
    <n v="80"/>
    <s v="No"/>
    <m/>
    <s v="New referral"/>
    <s v="appointment_export_2026_02.csv"/>
    <n v="0"/>
    <n v="0"/>
    <x v="0"/>
    <s v="Central"/>
    <s v="Sophie Martin"/>
    <s v="Urban"/>
    <s v="Mon-Sat 08:00-18:00"/>
    <x v="3"/>
    <n v="10"/>
    <n v="80"/>
    <s v="Long-term conditions"/>
    <s v="Diabetes Nurse"/>
    <s v="Matched"/>
    <n v="49"/>
    <n v="0"/>
    <m/>
    <m/>
    <n v="0"/>
    <m/>
    <n v="1"/>
    <n v="0"/>
    <s v="Matches Standard"/>
    <x v="2"/>
    <n v="2026"/>
    <n v="2"/>
    <s v="Feb"/>
  </r>
  <r>
    <s v="APT-202602-0096"/>
    <d v="2026-02-07T00:00:00"/>
    <d v="2026-01-08T00:00:00"/>
    <s v="P0078"/>
    <s v="AUC"/>
    <s v="GEN"/>
    <s v="CL002"/>
    <x v="1"/>
    <x v="3"/>
    <d v="1899-12-30T08:30:00"/>
    <d v="1899-12-30T08:37:00"/>
    <d v="1899-12-30T08:39:00"/>
    <n v="20"/>
    <n v="65"/>
    <s v="No"/>
    <n v="2"/>
    <s v="New referral"/>
    <s v="appointment_export_2026_02.csv"/>
    <n v="0"/>
    <n v="0"/>
    <x v="2"/>
    <s v="Northern"/>
    <s v="Aroha Rangi"/>
    <s v="Urban"/>
    <s v="Mon-Fri 08:00-18:00"/>
    <x v="1"/>
    <n v="7"/>
    <n v="65"/>
    <s v="Primary care"/>
    <s v="Doctor or Nurse Practitioner"/>
    <s v="Matched"/>
    <n v="30"/>
    <n v="0"/>
    <n v="2"/>
    <n v="1"/>
    <n v="1"/>
    <n v="0"/>
    <n v="1"/>
    <n v="0"/>
    <s v="Matches Standard"/>
    <x v="2"/>
    <n v="2026"/>
    <n v="2"/>
    <s v="Feb"/>
  </r>
  <r>
    <s v="APT-202602-0097"/>
    <m/>
    <d v="2025-12-30T00:00:00"/>
    <s v="P0155"/>
    <s v="HAM"/>
    <s v="DIA"/>
    <s v="CL018"/>
    <x v="1"/>
    <x v="3"/>
    <d v="1899-12-30T11:00:00"/>
    <d v="1899-12-30T10:59:00"/>
    <d v="1899-12-30T11:22:00"/>
    <n v="60"/>
    <n v="80"/>
    <s v="No"/>
    <n v="5"/>
    <s v="Follow-up visit"/>
    <s v="appointment_export_2026_02.csv"/>
    <n v="0"/>
    <n v="0"/>
    <x v="1"/>
    <s v="Midland"/>
    <s v="Daniel Wong"/>
    <s v="Urban"/>
    <s v="Mon-Fri 08:00-17:30"/>
    <x v="3"/>
    <n v="10"/>
    <n v="80"/>
    <s v="Long-term conditions"/>
    <s v="Diabetes Nurse"/>
    <s v="Matched"/>
    <m/>
    <m/>
    <n v="23"/>
    <n v="1"/>
    <n v="1"/>
    <n v="0"/>
    <n v="1"/>
    <n v="0"/>
    <s v="Matches Standard"/>
    <x v="1"/>
    <m/>
    <m/>
    <m/>
  </r>
  <r>
    <s v="APT-202602-0098"/>
    <d v="2026-02-11T00:00:00"/>
    <d v="2026-01-08T00:00:00"/>
    <s v="P0004"/>
    <s v="PMR"/>
    <s v="PHY"/>
    <s v="CL026"/>
    <x v="1"/>
    <x v="3"/>
    <d v="1899-12-30T15:30:00"/>
    <d v="1899-12-30T15:29:00"/>
    <d v="1899-12-30T15:30:00"/>
    <n v="30"/>
    <n v="95"/>
    <s v="Yes"/>
    <n v="2"/>
    <s v="Follow-up visit"/>
    <s v="appointment_export_2026_02.csv"/>
    <n v="0"/>
    <n v="0"/>
    <x v="3"/>
    <s v="Central"/>
    <s v="Mereana Thompson"/>
    <s v="Regional"/>
    <s v="Mon-Fri 08:30-17:00"/>
    <x v="0"/>
    <n v="21"/>
    <n v="95"/>
    <s v="Rehabilitation"/>
    <s v="Physiotherapist"/>
    <s v="Matched"/>
    <n v="34"/>
    <n v="0"/>
    <n v="1"/>
    <n v="1"/>
    <n v="1"/>
    <n v="0"/>
    <n v="1"/>
    <n v="0"/>
    <s v="Matches Standard"/>
    <x v="2"/>
    <n v="2026"/>
    <n v="2"/>
    <s v="Feb"/>
  </r>
  <r>
    <s v="APT-202602-0099"/>
    <d v="2026-02-19T00:00:00"/>
    <d v="2026-02-10T00:00:00"/>
    <s v="P0109"/>
    <s v="PMR"/>
    <s v="CAR"/>
    <s v="CL029"/>
    <x v="2"/>
    <x v="3"/>
    <d v="1899-12-30T16:00:00"/>
    <m/>
    <m/>
    <n v="0"/>
    <n v="150"/>
    <s v="No"/>
    <m/>
    <s v="Routine review"/>
    <s v="appointment_export_2026_02.csv"/>
    <n v="0"/>
    <n v="0"/>
    <x v="3"/>
    <s v="Central"/>
    <s v="Mereana Thompson"/>
    <s v="Regional"/>
    <s v="Mon-Fri 08:30-17:00"/>
    <x v="4"/>
    <n v="28"/>
    <n v="150"/>
    <s v="Specialist outpatient"/>
    <s v="Cardiology Clinician"/>
    <s v="Matched"/>
    <n v="9"/>
    <n v="1"/>
    <m/>
    <m/>
    <n v="1"/>
    <n v="1"/>
    <n v="1"/>
    <n v="0"/>
    <s v="Matches Standard"/>
    <x v="2"/>
    <n v="2026"/>
    <n v="2"/>
    <s v="Feb"/>
  </r>
  <r>
    <s v="APT-202602-0100"/>
    <d v="2026-02-27T00:00:00"/>
    <d v="2026-01-20T00:00:00"/>
    <s v="P0162"/>
    <s v="PMR"/>
    <s v="DIA"/>
    <s v="CL028"/>
    <x v="1"/>
    <x v="2"/>
    <d v="1899-12-30T15:00:00"/>
    <d v="1899-12-30T14:54:00"/>
    <d v="1899-12-30T15:14:00"/>
    <n v="20"/>
    <n v="80"/>
    <s v="Yes"/>
    <n v="5"/>
    <s v="Routine review"/>
    <s v="appointment_export_2026_02.csv"/>
    <n v="0"/>
    <n v="0"/>
    <x v="3"/>
    <s v="Central"/>
    <s v="Mereana Thompson"/>
    <s v="Regional"/>
    <s v="Mon-Fri 08:30-17:00"/>
    <x v="3"/>
    <n v="10"/>
    <n v="80"/>
    <s v="Long-term conditions"/>
    <s v="Diabetes Nurse"/>
    <s v="Matched"/>
    <n v="38"/>
    <n v="0"/>
    <n v="20"/>
    <n v="1"/>
    <n v="1"/>
    <n v="0"/>
    <n v="1"/>
    <n v="0"/>
    <s v="Matches Standard"/>
    <x v="2"/>
    <n v="2026"/>
    <n v="2"/>
    <s v="Feb"/>
  </r>
  <r>
    <s v="APT-202602-0101"/>
    <d v="2026-02-16T00:00:00"/>
    <d v="2026-02-01T00:00:00"/>
    <s v="P0020"/>
    <s v="PMR"/>
    <s v="CAR"/>
    <s v="CL999"/>
    <x v="1"/>
    <x v="3"/>
    <d v="1899-12-30T08:30:00"/>
    <d v="1899-12-30T08:41:00"/>
    <d v="1899-12-30T08:34:00"/>
    <n v="60"/>
    <n v="150"/>
    <s v="No"/>
    <n v="4"/>
    <s v="Patient requested appointment"/>
    <s v="appointment_export_2026_02.csv"/>
    <n v="0"/>
    <n v="0"/>
    <x v="3"/>
    <s v="Central"/>
    <s v="Mereana Thompson"/>
    <s v="Regional"/>
    <s v="Mon-Fri 08:30-17:00"/>
    <x v="4"/>
    <n v="28"/>
    <n v="150"/>
    <s v="Specialist outpatient"/>
    <s v="Cardiology Clinician"/>
    <s v="Matched"/>
    <n v="15"/>
    <n v="1"/>
    <m/>
    <m/>
    <n v="1"/>
    <n v="0"/>
    <n v="1"/>
    <n v="0"/>
    <s v="Matches Standard"/>
    <x v="2"/>
    <n v="2026"/>
    <n v="2"/>
    <s v="Feb"/>
  </r>
  <r>
    <s v="APT-202602-0102"/>
    <d v="2026-02-22T00:00:00"/>
    <d v="2025-12-31T00:00:00"/>
    <s v="P0160"/>
    <s v="AUC"/>
    <s v="MHS"/>
    <s v="CL003"/>
    <x v="3"/>
    <x v="2"/>
    <d v="1899-12-30T12:00:00"/>
    <m/>
    <m/>
    <n v="0"/>
    <n v="120"/>
    <s v="No"/>
    <m/>
    <s v="Care plan review"/>
    <s v="appointment_export_2026_02.csv"/>
    <n v="0"/>
    <n v="0"/>
    <x v="2"/>
    <s v="Northern"/>
    <s v="Aroha Rangi"/>
    <s v="Urban"/>
    <s v="Mon-Fri 08:00-18:00"/>
    <x v="2"/>
    <n v="14"/>
    <n v="120"/>
    <s v="Behavioural health"/>
    <s v="Mental Health Clinician"/>
    <s v="Matched"/>
    <n v="53"/>
    <n v="0"/>
    <m/>
    <m/>
    <n v="0"/>
    <m/>
    <n v="1"/>
    <n v="0"/>
    <s v="Matches Standard"/>
    <x v="2"/>
    <n v="2026"/>
    <n v="2"/>
    <s v="Feb"/>
  </r>
  <r>
    <s v="APT-202602-0103"/>
    <d v="2026-02-25T00:00:00"/>
    <d v="2026-02-21T00:00:00"/>
    <s v="P0002"/>
    <s v="PMR"/>
    <s v="DIA"/>
    <s v="CL027"/>
    <x v="1"/>
    <x v="0"/>
    <d v="1899-12-30T08:00:00"/>
    <d v="1899-12-30T08:12:00"/>
    <d v="1899-12-30T08:36:00"/>
    <n v="30"/>
    <n v="80"/>
    <s v="No"/>
    <n v="5"/>
    <s v="New referral"/>
    <s v="appointment_export_2026_02.csv"/>
    <n v="0"/>
    <n v="0"/>
    <x v="3"/>
    <s v="Central"/>
    <s v="Mereana Thompson"/>
    <s v="Regional"/>
    <s v="Mon-Fri 08:30-17:00"/>
    <x v="3"/>
    <n v="10"/>
    <n v="80"/>
    <s v="Long-term conditions"/>
    <s v="Diabetes Nurse"/>
    <s v="Matched"/>
    <n v="4"/>
    <n v="1"/>
    <n v="24"/>
    <n v="1"/>
    <n v="1"/>
    <n v="0"/>
    <n v="1"/>
    <n v="0"/>
    <s v="Matches Standard"/>
    <x v="2"/>
    <n v="2026"/>
    <n v="2"/>
    <s v="Feb"/>
  </r>
  <r>
    <s v="APT-202602-0104"/>
    <d v="2026-02-24T00:00:00"/>
    <d v="2025-12-31T00:00:00"/>
    <s v="P0184"/>
    <s v="WLG"/>
    <s v="MHS"/>
    <s v="CL033"/>
    <x v="1"/>
    <x v="0"/>
    <d v="1899-12-30T09:30:00"/>
    <d v="1899-12-30T09:46:00"/>
    <d v="1899-12-30T09:55:00"/>
    <n v="30"/>
    <n v="120"/>
    <s v="No"/>
    <n v="4"/>
    <s v="Care plan review"/>
    <s v="appointment_export_2026_02.csv"/>
    <n v="0"/>
    <n v="0"/>
    <x v="0"/>
    <s v="Central"/>
    <s v="Sophie Martin"/>
    <s v="Urban"/>
    <s v="Mon-Sat 08:00-18:00"/>
    <x v="2"/>
    <n v="14"/>
    <n v="120"/>
    <s v="Behavioural health"/>
    <s v="Mental Health Clinician"/>
    <s v="Matched"/>
    <n v="55"/>
    <n v="0"/>
    <n v="9"/>
    <n v="1"/>
    <n v="1"/>
    <n v="0"/>
    <n v="1"/>
    <n v="0"/>
    <s v="Matches Standard"/>
    <x v="2"/>
    <n v="2026"/>
    <n v="2"/>
    <s v="Feb"/>
  </r>
  <r>
    <s v="APT-202602-0105"/>
    <d v="2026-02-13T00:00:00"/>
    <d v="2026-01-04T00:00:00"/>
    <s v="P0109"/>
    <s v="AUC"/>
    <s v="PHY"/>
    <s v="CL005"/>
    <x v="1"/>
    <x v="1"/>
    <d v="1899-12-30T09:00:00"/>
    <d v="1899-12-30T08:51:00"/>
    <d v="1899-12-30T09:16:00"/>
    <n v="30"/>
    <n v="95"/>
    <s v="Yes"/>
    <n v="2"/>
    <s v="Routine review"/>
    <s v="appointment_export_2026_02.csv"/>
    <n v="0"/>
    <n v="0"/>
    <x v="2"/>
    <s v="Northern"/>
    <s v="Aroha Rangi"/>
    <s v="Urban"/>
    <s v="Mon-Fri 08:00-18:00"/>
    <x v="0"/>
    <n v="21"/>
    <n v="95"/>
    <s v="Rehabilitation"/>
    <s v="Physiotherapist"/>
    <s v="Matched"/>
    <n v="40"/>
    <n v="0"/>
    <n v="25"/>
    <n v="1"/>
    <n v="1"/>
    <n v="0"/>
    <n v="1"/>
    <n v="0"/>
    <s v="Matches Standard"/>
    <x v="2"/>
    <n v="2026"/>
    <n v="2"/>
    <s v="Feb"/>
  </r>
  <r>
    <s v="APT-202602-0106"/>
    <d v="2026-02-15T00:00:00"/>
    <d v="2025-12-25T00:00:00"/>
    <s v="P0042"/>
    <s v="WLG"/>
    <s v="GEN"/>
    <s v="CL032"/>
    <x v="0"/>
    <x v="3"/>
    <d v="1899-12-30T14:00:00"/>
    <m/>
    <m/>
    <n v="0"/>
    <n v="65"/>
    <s v="No"/>
    <m/>
    <s v="Follow-up visit"/>
    <s v="appointment_export_2026_02.csv"/>
    <n v="0"/>
    <n v="0"/>
    <x v="0"/>
    <s v="Central"/>
    <s v="Sophie Martin"/>
    <s v="Urban"/>
    <s v="Mon-Sat 08:00-18:00"/>
    <x v="1"/>
    <n v="7"/>
    <n v="65"/>
    <s v="Primary care"/>
    <s v="Doctor or Nurse Practitioner"/>
    <s v="Matched"/>
    <n v="52"/>
    <n v="0"/>
    <m/>
    <m/>
    <n v="0"/>
    <m/>
    <n v="1"/>
    <n v="0"/>
    <s v="Matches Standard"/>
    <x v="2"/>
    <n v="2026"/>
    <n v="2"/>
    <s v="Feb"/>
  </r>
  <r>
    <s v="APT-202602-0107"/>
    <d v="2026-02-07T00:00:00"/>
    <d v="2025-12-20T00:00:00"/>
    <s v="P0217"/>
    <s v="HAM"/>
    <s v="CAR"/>
    <s v="CL019"/>
    <x v="1"/>
    <x v="3"/>
    <d v="1899-12-30T14:00:00"/>
    <d v="1899-12-30T14:18:00"/>
    <d v="1899-12-30T14:17:00"/>
    <n v="45"/>
    <m/>
    <s v="No"/>
    <n v="4"/>
    <s v="New referral"/>
    <s v="appointment_export_2026_02.csv"/>
    <n v="0"/>
    <n v="0"/>
    <x v="1"/>
    <s v="Midland"/>
    <s v="Daniel Wong"/>
    <s v="Urban"/>
    <s v="Mon-Fri 08:00-17:30"/>
    <x v="4"/>
    <n v="28"/>
    <n v="150"/>
    <s v="Specialist outpatient"/>
    <s v="Cardiology Clinician"/>
    <s v="Matched"/>
    <n v="49"/>
    <n v="0"/>
    <m/>
    <m/>
    <n v="1"/>
    <n v="0"/>
    <n v="0"/>
    <m/>
    <s v="Missing Actual Fee"/>
    <x v="2"/>
    <n v="2026"/>
    <n v="2"/>
    <s v="Feb"/>
  </r>
  <r>
    <s v="APT-202602-0108"/>
    <d v="2026-02-23T00:00:00"/>
    <d v="2026-01-09T00:00:00"/>
    <s v="P0078"/>
    <s v="WLG"/>
    <s v="PHY"/>
    <s v="CL036"/>
    <x v="1"/>
    <x v="0"/>
    <d v="1899-12-30T09:00:00"/>
    <d v="1899-12-30T08:56:00"/>
    <d v="1899-12-30T09:03:00"/>
    <n v="20"/>
    <n v="95"/>
    <s v="Yes"/>
    <n v="5"/>
    <s v="Follow-up visit"/>
    <s v="appointment_export_2026_02.csv"/>
    <n v="0"/>
    <n v="0"/>
    <x v="0"/>
    <s v="Central"/>
    <s v="Sophie Martin"/>
    <s v="Urban"/>
    <s v="Mon-Sat 08:00-18:00"/>
    <x v="0"/>
    <n v="21"/>
    <n v="95"/>
    <s v="Rehabilitation"/>
    <s v="Physiotherapist"/>
    <s v="Matched"/>
    <n v="45"/>
    <n v="0"/>
    <n v="7"/>
    <n v="1"/>
    <n v="1"/>
    <n v="0"/>
    <n v="1"/>
    <n v="0"/>
    <s v="Matches Standard"/>
    <x v="2"/>
    <n v="2026"/>
    <n v="2"/>
    <s v="Feb"/>
  </r>
  <r>
    <s v="APT-202602-0109"/>
    <d v="2026-02-04T00:00:00"/>
    <d v="2025-12-11T00:00:00"/>
    <m/>
    <s v="WLG"/>
    <s v="DIA"/>
    <s v="CL038"/>
    <x v="0"/>
    <x v="0"/>
    <d v="1899-12-30T11:30:00"/>
    <m/>
    <m/>
    <n v="0"/>
    <n v="80"/>
    <s v="Yes"/>
    <m/>
    <s v="Follow-up visit"/>
    <s v="appointment_export_2026_02.csv"/>
    <n v="1"/>
    <n v="0"/>
    <x v="0"/>
    <s v="Central"/>
    <s v="Sophie Martin"/>
    <s v="Urban"/>
    <s v="Mon-Sat 08:00-18:00"/>
    <x v="3"/>
    <n v="10"/>
    <n v="80"/>
    <s v="Long-term conditions"/>
    <s v="Diabetes Nurse"/>
    <s v="Matched"/>
    <n v="55"/>
    <n v="0"/>
    <m/>
    <m/>
    <n v="0"/>
    <m/>
    <n v="1"/>
    <n v="0"/>
    <s v="Matches Standard"/>
    <x v="2"/>
    <n v="2026"/>
    <n v="2"/>
    <s v="Feb"/>
  </r>
  <r>
    <s v="APT-202602-0110"/>
    <d v="2026-02-25T00:00:00"/>
    <d v="2026-02-12T00:00:00"/>
    <s v="P0162"/>
    <s v="WLG"/>
    <s v="CAR"/>
    <s v="CL040"/>
    <x v="0"/>
    <x v="0"/>
    <d v="1899-12-30T12:00:00"/>
    <m/>
    <m/>
    <n v="0"/>
    <n v="150"/>
    <s v="Yes"/>
    <m/>
    <s v="Care plan review"/>
    <s v="appointment_export_2026_02.csv"/>
    <n v="0"/>
    <n v="0"/>
    <x v="0"/>
    <s v="Central"/>
    <s v="Sophie Martin"/>
    <s v="Urban"/>
    <s v="Mon-Sat 08:00-18:00"/>
    <x v="4"/>
    <n v="28"/>
    <n v="150"/>
    <s v="Specialist outpatient"/>
    <s v="Cardiology Clinician"/>
    <s v="Matched"/>
    <n v="13"/>
    <n v="1"/>
    <m/>
    <m/>
    <n v="0"/>
    <m/>
    <n v="1"/>
    <n v="0"/>
    <s v="Matches Standard"/>
    <x v="2"/>
    <n v="2026"/>
    <n v="2"/>
    <s v="Feb"/>
  </r>
  <r>
    <s v="APT-202602-0111"/>
    <d v="2026-02-13T00:00:00"/>
    <d v="2026-01-24T00:00:00"/>
    <s v="P0133"/>
    <s v="WLG"/>
    <s v="CAR"/>
    <s v="CL039"/>
    <x v="1"/>
    <x v="3"/>
    <d v="1899-12-30T09:30:00"/>
    <d v="1899-12-30T09:20:00"/>
    <d v="1899-12-30T09:49:00"/>
    <n v="60"/>
    <n v="150"/>
    <s v="Yes"/>
    <n v="2"/>
    <s v="Follow-up visit"/>
    <s v="appointment_export_2026_02.csv"/>
    <n v="0"/>
    <n v="0"/>
    <x v="0"/>
    <s v="Central"/>
    <s v="Sophie Martin"/>
    <s v="Urban"/>
    <s v="Mon-Sat 08:00-18:00"/>
    <x v="4"/>
    <n v="28"/>
    <n v="150"/>
    <s v="Specialist outpatient"/>
    <s v="Cardiology Clinician"/>
    <s v="Matched"/>
    <n v="20"/>
    <n v="1"/>
    <n v="29"/>
    <n v="1"/>
    <n v="1"/>
    <n v="0"/>
    <n v="1"/>
    <n v="0"/>
    <s v="Matches Standard"/>
    <x v="2"/>
    <n v="2026"/>
    <n v="2"/>
    <s v="Feb"/>
  </r>
  <r>
    <s v="APT-202602-0112"/>
    <d v="2026-02-05T00:00:00"/>
    <d v="2026-01-23T00:00:00"/>
    <s v="P0117"/>
    <s v="HAM"/>
    <s v="CAR"/>
    <s v="CL020"/>
    <x v="1"/>
    <x v="2"/>
    <d v="1899-12-30T14:30:00"/>
    <d v="1899-12-30T14:27:00"/>
    <d v="1899-12-30T15:04:00"/>
    <n v="30"/>
    <n v="150"/>
    <s v="No"/>
    <n v="5"/>
    <s v="Routine review"/>
    <s v="appointment_export_2026_02.csv"/>
    <n v="0"/>
    <n v="0"/>
    <x v="1"/>
    <s v="Midland"/>
    <s v="Daniel Wong"/>
    <s v="Urban"/>
    <s v="Mon-Fri 08:00-17:30"/>
    <x v="4"/>
    <n v="28"/>
    <n v="150"/>
    <s v="Specialist outpatient"/>
    <s v="Cardiology Clinician"/>
    <s v="Matched"/>
    <n v="13"/>
    <n v="1"/>
    <n v="37"/>
    <n v="0"/>
    <n v="1"/>
    <n v="0"/>
    <n v="1"/>
    <n v="0"/>
    <s v="Matches Standard"/>
    <x v="2"/>
    <n v="2026"/>
    <n v="2"/>
    <s v="Feb"/>
  </r>
  <r>
    <s v="APT-202602-0113"/>
    <d v="2026-02-02T00:00:00"/>
    <m/>
    <s v="P0042"/>
    <s v="PMR"/>
    <s v="DIA"/>
    <s v="CL027"/>
    <x v="2"/>
    <x v="1"/>
    <d v="1899-12-30T12:00:00"/>
    <m/>
    <m/>
    <n v="0"/>
    <n v="80"/>
    <s v="No"/>
    <m/>
    <s v="Care plan review"/>
    <s v="appointment_export_2026_02.csv"/>
    <n v="0"/>
    <n v="0"/>
    <x v="3"/>
    <s v="Central"/>
    <s v="Mereana Thompson"/>
    <s v="Regional"/>
    <s v="Mon-Fri 08:30-17:00"/>
    <x v="3"/>
    <n v="10"/>
    <n v="80"/>
    <s v="Long-term conditions"/>
    <s v="Diabetes Nurse"/>
    <s v="Matched"/>
    <m/>
    <m/>
    <m/>
    <m/>
    <n v="1"/>
    <n v="1"/>
    <n v="1"/>
    <n v="0"/>
    <s v="Matches Standard"/>
    <x v="2"/>
    <n v="2026"/>
    <n v="2"/>
    <s v="Feb"/>
  </r>
  <r>
    <s v="APT-202602-0114"/>
    <d v="2026-02-11T00:00:00"/>
    <d v="2025-12-31T00:00:00"/>
    <s v="P0058"/>
    <s v="HAM"/>
    <s v="MHS"/>
    <s v="CL013"/>
    <x v="1"/>
    <x v="3"/>
    <d v="1899-12-30T12:30:00"/>
    <d v="1899-12-30T12:40:00"/>
    <d v="1899-12-30T12:54:00"/>
    <n v="30"/>
    <n v="120"/>
    <s v="No"/>
    <n v="4"/>
    <s v="Routine review"/>
    <s v="appointment_export_2026_02.csv"/>
    <n v="0"/>
    <n v="0"/>
    <x v="1"/>
    <s v="Midland"/>
    <s v="Daniel Wong"/>
    <s v="Urban"/>
    <s v="Mon-Fri 08:00-17:30"/>
    <x v="2"/>
    <n v="14"/>
    <n v="120"/>
    <s v="Behavioural health"/>
    <s v="Mental Health Clinician"/>
    <s v="Matched"/>
    <n v="42"/>
    <n v="0"/>
    <n v="14"/>
    <n v="1"/>
    <n v="1"/>
    <n v="0"/>
    <n v="1"/>
    <n v="0"/>
    <s v="Matches Standard"/>
    <x v="2"/>
    <n v="2026"/>
    <n v="2"/>
    <s v="Feb"/>
  </r>
  <r>
    <s v="APT-202602-0115"/>
    <d v="2026-02-25T00:00:00"/>
    <d v="2026-01-08T00:00:00"/>
    <s v="P0051"/>
    <s v="HAM"/>
    <s v="PHY"/>
    <s v="CL015"/>
    <x v="1"/>
    <x v="3"/>
    <d v="1899-12-30T10:30:00"/>
    <d v="1899-12-30T10:48:00"/>
    <d v="1899-12-30T10:47:00"/>
    <n v="60"/>
    <n v="95"/>
    <s v="Yes"/>
    <n v="4"/>
    <s v="Routine review"/>
    <s v="appointment_export_2026_02.csv"/>
    <n v="0"/>
    <n v="0"/>
    <x v="1"/>
    <s v="Midland"/>
    <s v="Daniel Wong"/>
    <s v="Urban"/>
    <s v="Mon-Fri 08:00-17:30"/>
    <x v="0"/>
    <n v="21"/>
    <n v="95"/>
    <s v="Rehabilitation"/>
    <s v="Physiotherapist"/>
    <s v="Matched"/>
    <n v="48"/>
    <n v="0"/>
    <m/>
    <m/>
    <n v="1"/>
    <n v="0"/>
    <n v="1"/>
    <n v="0"/>
    <s v="Matches Standard"/>
    <x v="2"/>
    <n v="2026"/>
    <n v="2"/>
    <s v="Feb"/>
  </r>
  <r>
    <s v="APT-202602-0116"/>
    <d v="2026-02-12T00:00:00"/>
    <d v="2026-01-06T00:00:00"/>
    <s v="P0002"/>
    <s v="HAM"/>
    <s v="DIA"/>
    <s v="CL017"/>
    <x v="1"/>
    <x v="0"/>
    <d v="1899-12-30T16:00:00"/>
    <d v="1899-12-30T16:07:00"/>
    <d v="1899-12-30T16:29:00"/>
    <n v="30"/>
    <n v="80"/>
    <s v="Yes"/>
    <n v="4"/>
    <s v="Routine review"/>
    <s v="appointment_export_2026_02.csv"/>
    <n v="0"/>
    <n v="0"/>
    <x v="1"/>
    <s v="Midland"/>
    <s v="Daniel Wong"/>
    <s v="Urban"/>
    <s v="Mon-Fri 08:00-17:30"/>
    <x v="3"/>
    <n v="10"/>
    <n v="80"/>
    <s v="Long-term conditions"/>
    <s v="Diabetes Nurse"/>
    <s v="Matched"/>
    <n v="37"/>
    <n v="0"/>
    <n v="22"/>
    <n v="1"/>
    <n v="1"/>
    <n v="0"/>
    <n v="1"/>
    <n v="0"/>
    <s v="Matches Standard"/>
    <x v="2"/>
    <n v="2026"/>
    <n v="2"/>
    <s v="Feb"/>
  </r>
  <r>
    <s v="APT-202602-0117"/>
    <d v="2026-02-12T00:00:00"/>
    <d v="2026-02-10T00:00:00"/>
    <s v="P0021"/>
    <s v="WLG"/>
    <s v="GEN"/>
    <s v="CL032"/>
    <x v="2"/>
    <x v="1"/>
    <d v="1899-12-30T14:30:00"/>
    <m/>
    <m/>
    <n v="0"/>
    <n v="65"/>
    <s v="No"/>
    <m/>
    <s v="Follow-up visit"/>
    <s v="appointment_export_2026_02.csv"/>
    <n v="0"/>
    <n v="0"/>
    <x v="0"/>
    <s v="Central"/>
    <s v="Sophie Martin"/>
    <s v="Urban"/>
    <s v="Mon-Sat 08:00-18:00"/>
    <x v="1"/>
    <n v="7"/>
    <n v="65"/>
    <s v="Primary care"/>
    <s v="Doctor or Nurse Practitioner"/>
    <s v="Matched"/>
    <n v="2"/>
    <n v="1"/>
    <m/>
    <m/>
    <n v="1"/>
    <n v="1"/>
    <n v="1"/>
    <n v="0"/>
    <s v="Matches Standard"/>
    <x v="2"/>
    <n v="2026"/>
    <n v="2"/>
    <s v="Feb"/>
  </r>
  <r>
    <s v="APT-202602-0118"/>
    <d v="2026-02-19T00:00:00"/>
    <d v="2026-02-15T00:00:00"/>
    <s v="P0235"/>
    <s v="WLG"/>
    <s v="MHS"/>
    <s v="CL034"/>
    <x v="0"/>
    <x v="3"/>
    <d v="1899-12-30T12:00:00"/>
    <m/>
    <m/>
    <n v="0"/>
    <n v="120"/>
    <s v="Yes"/>
    <m/>
    <s v="Care plan review"/>
    <s v="appointment_export_2026_02.csv"/>
    <n v="0"/>
    <n v="0"/>
    <x v="0"/>
    <s v="Central"/>
    <s v="Sophie Martin"/>
    <s v="Urban"/>
    <s v="Mon-Sat 08:00-18:00"/>
    <x v="2"/>
    <n v="14"/>
    <n v="120"/>
    <s v="Behavioural health"/>
    <s v="Mental Health Clinician"/>
    <s v="Matched"/>
    <n v="4"/>
    <n v="1"/>
    <m/>
    <m/>
    <n v="0"/>
    <m/>
    <n v="1"/>
    <n v="0"/>
    <s v="Matches Standard"/>
    <x v="2"/>
    <n v="2026"/>
    <n v="2"/>
    <s v="Feb"/>
  </r>
  <r>
    <s v="APT-202602-0119"/>
    <d v="2026-02-15T00:00:00"/>
    <d v="2025-12-26T00:00:00"/>
    <s v="P0053"/>
    <s v="WLG"/>
    <s v="PHY"/>
    <s v="CL035"/>
    <x v="1"/>
    <x v="2"/>
    <d v="1899-12-30T09:00:00"/>
    <d v="1899-12-30T09:08:00"/>
    <d v="1899-12-30T09:06:00"/>
    <n v="60"/>
    <n v="95"/>
    <s v="No"/>
    <n v="4"/>
    <s v="New referral"/>
    <s v="appointment_export_2026_02.csv"/>
    <n v="0"/>
    <n v="0"/>
    <x v="0"/>
    <s v="Central"/>
    <s v="Sophie Martin"/>
    <s v="Urban"/>
    <s v="Mon-Sat 08:00-18:00"/>
    <x v="0"/>
    <n v="21"/>
    <n v="95"/>
    <s v="Rehabilitation"/>
    <s v="Physiotherapist"/>
    <s v="Matched"/>
    <n v="51"/>
    <n v="0"/>
    <m/>
    <m/>
    <n v="1"/>
    <n v="0"/>
    <n v="1"/>
    <n v="0"/>
    <s v="Matches Standard"/>
    <x v="2"/>
    <n v="2026"/>
    <n v="2"/>
    <s v="Feb"/>
  </r>
  <r>
    <s v="APT-202602-0120"/>
    <d v="2026-02-02T00:00:00"/>
    <d v="2025-12-20T00:00:00"/>
    <s v="P0015"/>
    <s v="PMR"/>
    <s v="DIA"/>
    <s v="CL027"/>
    <x v="0"/>
    <x v="3"/>
    <d v="1899-12-30T11:30:00"/>
    <m/>
    <m/>
    <n v="0"/>
    <n v="80"/>
    <s v="Yes"/>
    <m/>
    <s v="Care plan review"/>
    <s v="appointment_export_2026_02.csv"/>
    <n v="0"/>
    <n v="0"/>
    <x v="3"/>
    <s v="Central"/>
    <s v="Mereana Thompson"/>
    <s v="Regional"/>
    <s v="Mon-Fri 08:30-17:00"/>
    <x v="3"/>
    <n v="10"/>
    <n v="80"/>
    <s v="Long-term conditions"/>
    <s v="Diabetes Nurse"/>
    <s v="Matched"/>
    <n v="44"/>
    <n v="0"/>
    <m/>
    <m/>
    <n v="0"/>
    <m/>
    <n v="1"/>
    <n v="0"/>
    <s v="Matches Standard"/>
    <x v="2"/>
    <n v="2026"/>
    <n v="2"/>
    <s v="Feb"/>
  </r>
  <r>
    <s v="APT-202602-0121"/>
    <d v="2026-02-05T00:00:00"/>
    <d v="2026-01-12T00:00:00"/>
    <s v="P0006"/>
    <s v="PMR"/>
    <s v="GEN"/>
    <s v="CL022"/>
    <x v="1"/>
    <x v="0"/>
    <d v="1899-12-30T15:00:00"/>
    <d v="1899-12-30T15:11:00"/>
    <d v="1899-12-30T15:32:00"/>
    <n v="30"/>
    <n v="65"/>
    <s v="Yes"/>
    <n v="2"/>
    <s v="Follow-up visit"/>
    <s v="appointment_export_2026_02.csv"/>
    <n v="0"/>
    <n v="0"/>
    <x v="3"/>
    <s v="Central"/>
    <s v="Mereana Thompson"/>
    <s v="Regional"/>
    <s v="Mon-Fri 08:30-17:00"/>
    <x v="1"/>
    <n v="7"/>
    <n v="65"/>
    <s v="Primary care"/>
    <s v="Doctor or Nurse Practitioner"/>
    <s v="Matched"/>
    <n v="24"/>
    <n v="0"/>
    <n v="21"/>
    <n v="1"/>
    <n v="1"/>
    <n v="0"/>
    <n v="1"/>
    <n v="0"/>
    <s v="Matches Standard"/>
    <x v="2"/>
    <n v="2026"/>
    <n v="2"/>
    <s v="Feb"/>
  </r>
  <r>
    <s v="APT-202602-0122"/>
    <d v="2026-02-23T00:00:00"/>
    <d v="2026-02-06T00:00:00"/>
    <s v="P0160"/>
    <s v="WLG"/>
    <s v="MHS"/>
    <s v="CL034"/>
    <x v="1"/>
    <x v="3"/>
    <d v="1899-12-30T16:00:00"/>
    <d v="1899-12-30T15:52:00"/>
    <d v="1899-12-30T16:13:00"/>
    <n v="60"/>
    <n v="120"/>
    <s v="No"/>
    <n v="3"/>
    <s v="Patient requested appointment"/>
    <s v="appointment_export_2026_02.csv"/>
    <n v="0"/>
    <n v="0"/>
    <x v="0"/>
    <s v="Central"/>
    <s v="Sophie Martin"/>
    <s v="Urban"/>
    <s v="Mon-Sat 08:00-18:00"/>
    <x v="2"/>
    <n v="14"/>
    <n v="120"/>
    <s v="Behavioural health"/>
    <s v="Mental Health Clinician"/>
    <s v="Matched"/>
    <n v="17"/>
    <n v="0"/>
    <n v="21"/>
    <n v="1"/>
    <n v="1"/>
    <n v="0"/>
    <n v="1"/>
    <n v="0"/>
    <s v="Matches Standard"/>
    <x v="2"/>
    <n v="2026"/>
    <n v="2"/>
    <s v="Feb"/>
  </r>
  <r>
    <s v="APT-202602-0123"/>
    <d v="2026-02-01T00:00:00"/>
    <d v="2025-12-16T00:00:00"/>
    <s v="P0090"/>
    <s v="WLG"/>
    <s v="MHS"/>
    <s v="CL034"/>
    <x v="1"/>
    <x v="3"/>
    <d v="1899-12-30T12:00:00"/>
    <d v="1899-12-30T12:12:00"/>
    <d v="1899-12-30T12:18:00"/>
    <n v="60"/>
    <n v="120"/>
    <s v="No"/>
    <n v="3"/>
    <s v="New referral"/>
    <s v="appointment_export_2026_02.csv"/>
    <n v="0"/>
    <n v="0"/>
    <x v="0"/>
    <s v="Central"/>
    <s v="Sophie Martin"/>
    <s v="Urban"/>
    <s v="Mon-Sat 08:00-18:00"/>
    <x v="2"/>
    <n v="14"/>
    <n v="120"/>
    <s v="Behavioural health"/>
    <s v="Mental Health Clinician"/>
    <s v="Matched"/>
    <n v="47"/>
    <n v="0"/>
    <n v="6"/>
    <n v="1"/>
    <n v="1"/>
    <n v="0"/>
    <n v="1"/>
    <n v="0"/>
    <s v="Matches Standard"/>
    <x v="2"/>
    <n v="2026"/>
    <n v="2"/>
    <s v="Feb"/>
  </r>
  <r>
    <s v="APT-202602-0124"/>
    <d v="2026-02-20T00:00:00"/>
    <d v="2026-02-19T00:00:00"/>
    <s v="P0239"/>
    <s v="HAM"/>
    <s v="PHY"/>
    <s v="CL015"/>
    <x v="2"/>
    <x v="1"/>
    <d v="1899-12-30T16:00:00"/>
    <d v="1899-12-30T16:01:00"/>
    <d v="1899-12-30T16:37:00"/>
    <n v="60"/>
    <n v="95"/>
    <s v="No"/>
    <n v="5"/>
    <s v="Care plan review"/>
    <s v="appointment_export_2026_02.csv"/>
    <n v="0"/>
    <n v="0"/>
    <x v="1"/>
    <s v="Midland"/>
    <s v="Daniel Wong"/>
    <s v="Urban"/>
    <s v="Mon-Fri 08:00-17:30"/>
    <x v="0"/>
    <n v="21"/>
    <n v="95"/>
    <s v="Rehabilitation"/>
    <s v="Physiotherapist"/>
    <s v="Matched"/>
    <n v="1"/>
    <n v="1"/>
    <m/>
    <m/>
    <n v="1"/>
    <n v="1"/>
    <n v="1"/>
    <n v="0"/>
    <s v="Matches Standard"/>
    <x v="2"/>
    <n v="2026"/>
    <n v="2"/>
    <s v="Feb"/>
  </r>
  <r>
    <s v="APT-202602-0125"/>
    <d v="2026-02-20T00:00:00"/>
    <d v="2026-02-19T00:00:00"/>
    <s v="P0068"/>
    <s v="WLG"/>
    <s v="PHY"/>
    <s v="CL036"/>
    <x v="1"/>
    <x v="3"/>
    <d v="1899-12-30T09:30:00"/>
    <d v="1899-12-30T09:44:00"/>
    <d v="1899-12-30T10:02:00"/>
    <n v="20"/>
    <n v="95"/>
    <s v="No"/>
    <n v="5"/>
    <s v="New referral"/>
    <s v="appointment_export_2026_02.csv"/>
    <n v="0"/>
    <n v="0"/>
    <x v="0"/>
    <s v="Central"/>
    <s v="Sophie Martin"/>
    <s v="Urban"/>
    <s v="Mon-Sat 08:00-18:00"/>
    <x v="0"/>
    <n v="21"/>
    <n v="95"/>
    <s v="Rehabilitation"/>
    <s v="Physiotherapist"/>
    <s v="Matched"/>
    <n v="1"/>
    <n v="1"/>
    <n v="18"/>
    <n v="1"/>
    <n v="1"/>
    <n v="0"/>
    <n v="1"/>
    <n v="0"/>
    <s v="Matches Standard"/>
    <x v="2"/>
    <n v="2026"/>
    <n v="2"/>
    <s v="Feb"/>
  </r>
  <r>
    <s v="APT-202602-0126"/>
    <d v="2026-02-12T00:00:00"/>
    <d v="2025-12-27T00:00:00"/>
    <s v="P0237"/>
    <s v="WLG"/>
    <s v="GEN"/>
    <s v="CL032"/>
    <x v="2"/>
    <x v="0"/>
    <d v="1899-12-30T12:00:00"/>
    <m/>
    <m/>
    <n v="0"/>
    <n v="65"/>
    <s v="No"/>
    <m/>
    <s v="Follow-up visit"/>
    <s v="appointment_export_2026_02.csv"/>
    <n v="0"/>
    <n v="0"/>
    <x v="0"/>
    <s v="Central"/>
    <s v="Sophie Martin"/>
    <s v="Urban"/>
    <s v="Mon-Sat 08:00-18:00"/>
    <x v="1"/>
    <n v="7"/>
    <n v="65"/>
    <s v="Primary care"/>
    <s v="Doctor or Nurse Practitioner"/>
    <s v="Matched"/>
    <n v="47"/>
    <n v="0"/>
    <m/>
    <m/>
    <n v="1"/>
    <n v="1"/>
    <n v="1"/>
    <n v="0"/>
    <s v="Matches Standard"/>
    <x v="2"/>
    <n v="2026"/>
    <n v="2"/>
    <s v="Feb"/>
  </r>
  <r>
    <s v="APT-202602-0127"/>
    <d v="2026-02-08T00:00:00"/>
    <d v="2026-01-21T00:00:00"/>
    <s v="P0169"/>
    <s v="AUC"/>
    <s v="CAR"/>
    <s v="CL010"/>
    <x v="2"/>
    <x v="0"/>
    <d v="1899-12-30T12:00:00"/>
    <m/>
    <m/>
    <n v="0"/>
    <n v="150"/>
    <s v="Yes"/>
    <m/>
    <s v="Care plan review"/>
    <s v="appointment_export_2026_02.csv"/>
    <n v="0"/>
    <n v="0"/>
    <x v="2"/>
    <s v="Northern"/>
    <s v="Aroha Rangi"/>
    <s v="Urban"/>
    <s v="Mon-Fri 08:00-18:00"/>
    <x v="4"/>
    <n v="28"/>
    <n v="150"/>
    <s v="Specialist outpatient"/>
    <s v="Cardiology Clinician"/>
    <s v="Matched"/>
    <n v="18"/>
    <n v="1"/>
    <m/>
    <m/>
    <n v="1"/>
    <n v="1"/>
    <n v="1"/>
    <n v="0"/>
    <s v="Matches Standard"/>
    <x v="2"/>
    <n v="2026"/>
    <n v="2"/>
    <s v="Feb"/>
  </r>
  <r>
    <s v="APT-202602-0128"/>
    <d v="2026-02-20T00:00:00"/>
    <d v="2025-12-29T00:00:00"/>
    <s v="P0143"/>
    <s v="PMR"/>
    <s v="DIA"/>
    <s v="CL028"/>
    <x v="1"/>
    <x v="0"/>
    <d v="1899-12-30T13:00:00"/>
    <d v="1899-12-30T13:16:00"/>
    <d v="1899-12-30T13:26:00"/>
    <n v="45"/>
    <n v="80"/>
    <s v="Yes"/>
    <n v="3"/>
    <s v="Care plan review"/>
    <s v="appointment_export_2026_02.csv"/>
    <n v="0"/>
    <n v="0"/>
    <x v="3"/>
    <s v="Central"/>
    <s v="Mereana Thompson"/>
    <s v="Regional"/>
    <s v="Mon-Fri 08:30-17:00"/>
    <x v="3"/>
    <n v="10"/>
    <n v="80"/>
    <s v="Long-term conditions"/>
    <s v="Diabetes Nurse"/>
    <s v="Matched"/>
    <n v="53"/>
    <n v="0"/>
    <n v="10"/>
    <n v="1"/>
    <n v="1"/>
    <n v="0"/>
    <n v="1"/>
    <n v="0"/>
    <s v="Matches Standard"/>
    <x v="2"/>
    <n v="2026"/>
    <n v="2"/>
    <s v="Feb"/>
  </r>
  <r>
    <s v="APT-202602-0129"/>
    <d v="2026-02-08T00:00:00"/>
    <d v="2025-12-22T00:00:00"/>
    <s v="P0236"/>
    <s v="HAM"/>
    <s v="MHS"/>
    <s v="CL013"/>
    <x v="0"/>
    <x v="3"/>
    <d v="1899-12-30T13:30:00"/>
    <m/>
    <m/>
    <n v="0"/>
    <n v="120"/>
    <s v="Yes"/>
    <m/>
    <s v="Care plan review"/>
    <s v="appointment_export_2026_02.csv"/>
    <n v="0"/>
    <n v="0"/>
    <x v="1"/>
    <s v="Midland"/>
    <s v="Daniel Wong"/>
    <s v="Urban"/>
    <s v="Mon-Fri 08:00-17:30"/>
    <x v="2"/>
    <n v="14"/>
    <n v="120"/>
    <s v="Behavioural health"/>
    <s v="Mental Health Clinician"/>
    <s v="Matched"/>
    <n v="48"/>
    <n v="0"/>
    <m/>
    <m/>
    <n v="0"/>
    <m/>
    <n v="1"/>
    <n v="0"/>
    <s v="Matches Standard"/>
    <x v="2"/>
    <n v="2026"/>
    <n v="2"/>
    <s v="Feb"/>
  </r>
  <r>
    <s v="APT-202602-0130"/>
    <d v="2026-02-09T00:00:00"/>
    <d v="2026-01-29T00:00:00"/>
    <s v="P0100"/>
    <s v="HAM"/>
    <s v="DIA"/>
    <s v="CL018"/>
    <x v="1"/>
    <x v="2"/>
    <d v="1899-12-30T10:00:00"/>
    <d v="1899-12-30T10:12:00"/>
    <d v="1899-12-30T10:00:00"/>
    <n v="45"/>
    <n v="80"/>
    <s v="No"/>
    <n v="5"/>
    <s v="Patient requested appointment"/>
    <s v="appointment_export_2026_02.csv"/>
    <n v="0"/>
    <n v="0"/>
    <x v="1"/>
    <s v="Midland"/>
    <s v="Daniel Wong"/>
    <s v="Urban"/>
    <s v="Mon-Fri 08:00-17:30"/>
    <x v="3"/>
    <n v="10"/>
    <n v="80"/>
    <s v="Long-term conditions"/>
    <s v="Diabetes Nurse"/>
    <s v="Matched"/>
    <n v="11"/>
    <n v="0"/>
    <m/>
    <m/>
    <n v="1"/>
    <n v="0"/>
    <n v="1"/>
    <n v="0"/>
    <s v="Matches Standard"/>
    <x v="2"/>
    <n v="2026"/>
    <n v="2"/>
    <s v="Feb"/>
  </r>
  <r>
    <s v="APT-202602-0131"/>
    <d v="2026-02-04T00:00:00"/>
    <d v="2026-01-26T00:00:00"/>
    <s v="P9999"/>
    <s v="HAM"/>
    <s v="DIA"/>
    <s v="CL018"/>
    <x v="0"/>
    <x v="3"/>
    <d v="1899-12-30T12:30:00"/>
    <m/>
    <m/>
    <n v="0"/>
    <n v="80"/>
    <s v="No"/>
    <m/>
    <s v="Follow-up visit"/>
    <s v="appointment_export_2026_02.csv"/>
    <n v="0"/>
    <n v="0"/>
    <x v="1"/>
    <s v="Midland"/>
    <s v="Daniel Wong"/>
    <s v="Urban"/>
    <s v="Mon-Fri 08:00-17:30"/>
    <x v="3"/>
    <n v="10"/>
    <n v="80"/>
    <s v="Long-term conditions"/>
    <s v="Diabetes Nurse"/>
    <s v="Matched"/>
    <n v="9"/>
    <n v="1"/>
    <m/>
    <m/>
    <n v="0"/>
    <m/>
    <n v="1"/>
    <n v="0"/>
    <s v="Matches Standard"/>
    <x v="2"/>
    <n v="2026"/>
    <n v="2"/>
    <s v="Feb"/>
  </r>
  <r>
    <s v="APT-202602-0132"/>
    <d v="2026-02-02T00:00:00"/>
    <d v="2025-12-10T00:00:00"/>
    <s v="P0103"/>
    <s v="WLG"/>
    <s v="PHY"/>
    <s v="CL036"/>
    <x v="2"/>
    <x v="1"/>
    <d v="1899-12-30T15:00:00"/>
    <m/>
    <m/>
    <n v="0"/>
    <n v="95"/>
    <s v="Yes"/>
    <m/>
    <s v="New referral"/>
    <s v="appointment_export_2026_02.csv"/>
    <n v="0"/>
    <n v="0"/>
    <x v="0"/>
    <s v="Central"/>
    <s v="Sophie Martin"/>
    <s v="Urban"/>
    <s v="Mon-Sat 08:00-18:00"/>
    <x v="0"/>
    <n v="21"/>
    <n v="95"/>
    <s v="Rehabilitation"/>
    <s v="Physiotherapist"/>
    <s v="Matched"/>
    <n v="54"/>
    <n v="0"/>
    <m/>
    <m/>
    <n v="1"/>
    <n v="1"/>
    <n v="1"/>
    <n v="0"/>
    <s v="Matches Standard"/>
    <x v="2"/>
    <n v="2026"/>
    <n v="2"/>
    <s v="Feb"/>
  </r>
  <r>
    <s v="APT-202602-0133"/>
    <d v="2026-02-06T00:00:00"/>
    <d v="2025-12-16T00:00:00"/>
    <s v="P0055"/>
    <s v="WLG"/>
    <s v="GEN"/>
    <s v="CL032"/>
    <x v="3"/>
    <x v="0"/>
    <d v="1899-12-30T09:30:00"/>
    <m/>
    <m/>
    <n v="0"/>
    <n v="65"/>
    <s v="No"/>
    <m/>
    <s v="Patient requested appointment"/>
    <s v="appointment_export_2026_02.csv"/>
    <n v="0"/>
    <n v="0"/>
    <x v="0"/>
    <s v="Central"/>
    <s v="Sophie Martin"/>
    <s v="Urban"/>
    <s v="Mon-Sat 08:00-18:00"/>
    <x v="1"/>
    <n v="7"/>
    <n v="65"/>
    <s v="Primary care"/>
    <s v="Doctor or Nurse Practitioner"/>
    <s v="Matched"/>
    <n v="52"/>
    <n v="0"/>
    <m/>
    <m/>
    <n v="0"/>
    <m/>
    <n v="1"/>
    <n v="0"/>
    <s v="Matches Standard"/>
    <x v="2"/>
    <n v="2026"/>
    <n v="2"/>
    <s v="Feb"/>
  </r>
  <r>
    <s v="APT-202602-0134"/>
    <d v="2026-02-22T00:00:00"/>
    <d v="2026-01-31T00:00:00"/>
    <s v="P0236"/>
    <s v="AUC"/>
    <s v="MHS"/>
    <s v="CL003"/>
    <x v="1"/>
    <x v="3"/>
    <d v="1899-12-30T13:00:00"/>
    <d v="1899-12-30T12:53:00"/>
    <d v="1899-12-30T13:02:00"/>
    <n v="45"/>
    <n v="120"/>
    <s v="No"/>
    <n v="4"/>
    <s v="Care plan review"/>
    <s v="appointment_export_2026_02.csv"/>
    <n v="0"/>
    <n v="0"/>
    <x v="2"/>
    <s v="Northern"/>
    <s v="Aroha Rangi"/>
    <s v="Urban"/>
    <s v="Mon-Fri 08:00-18:00"/>
    <x v="2"/>
    <n v="14"/>
    <n v="120"/>
    <s v="Behavioural health"/>
    <s v="Mental Health Clinician"/>
    <s v="Matched"/>
    <n v="22"/>
    <n v="0"/>
    <n v="9"/>
    <n v="1"/>
    <n v="1"/>
    <n v="0"/>
    <n v="1"/>
    <n v="0"/>
    <s v="Matches Standard"/>
    <x v="2"/>
    <n v="2026"/>
    <n v="2"/>
    <s v="Feb"/>
  </r>
  <r>
    <s v="APT-202602-0135"/>
    <d v="2026-02-15T00:00:00"/>
    <d v="2026-02-10T00:00:00"/>
    <s v="P0186"/>
    <s v="WLG"/>
    <s v="GEN"/>
    <s v="CL032"/>
    <x v="0"/>
    <x v="3"/>
    <d v="1899-12-30T15:00:00"/>
    <m/>
    <m/>
    <n v="0"/>
    <n v="65"/>
    <s v="No"/>
    <m/>
    <s v="Routine review"/>
    <s v="appointment_export_2026_02.csv"/>
    <n v="0"/>
    <n v="0"/>
    <x v="0"/>
    <s v="Central"/>
    <s v="Sophie Martin"/>
    <s v="Urban"/>
    <s v="Mon-Sat 08:00-18:00"/>
    <x v="1"/>
    <n v="7"/>
    <n v="65"/>
    <s v="Primary care"/>
    <s v="Doctor or Nurse Practitioner"/>
    <s v="Matched"/>
    <n v="5"/>
    <n v="1"/>
    <m/>
    <m/>
    <n v="0"/>
    <m/>
    <n v="1"/>
    <n v="0"/>
    <s v="Matches Standard"/>
    <x v="2"/>
    <n v="2026"/>
    <n v="2"/>
    <s v="Feb"/>
  </r>
  <r>
    <s v="APT-202602-0136"/>
    <d v="2026-02-07T00:00:00"/>
    <d v="2025-12-26T00:00:00"/>
    <s v="P0041"/>
    <s v="AUC"/>
    <s v="DIA"/>
    <s v="CL007"/>
    <x v="1"/>
    <x v="1"/>
    <d v="1899-12-30T14:00:00"/>
    <d v="1899-12-30T14:13:00"/>
    <d v="1899-12-30T14:25:00"/>
    <n v="20"/>
    <n v="80"/>
    <s v="Yes"/>
    <n v="5"/>
    <s v="Follow-up visit"/>
    <s v="appointment_export_2026_02.csv"/>
    <n v="0"/>
    <n v="0"/>
    <x v="2"/>
    <s v="Northern"/>
    <s v="Aroha Rangi"/>
    <s v="Urban"/>
    <s v="Mon-Fri 08:00-18:00"/>
    <x v="3"/>
    <n v="10"/>
    <n v="80"/>
    <s v="Long-term conditions"/>
    <s v="Diabetes Nurse"/>
    <s v="Matched"/>
    <n v="43"/>
    <n v="0"/>
    <n v="12"/>
    <n v="1"/>
    <n v="1"/>
    <n v="0"/>
    <n v="1"/>
    <n v="0"/>
    <s v="Matches Standard"/>
    <x v="2"/>
    <n v="2026"/>
    <n v="2"/>
    <s v="Feb"/>
  </r>
  <r>
    <s v="APT-202602-0137"/>
    <d v="2026-02-21T00:00:00"/>
    <d v="2026-02-13T00:00:00"/>
    <s v="P0192"/>
    <s v="PMR"/>
    <s v="PHY"/>
    <s v="CL026"/>
    <x v="2"/>
    <x v="2"/>
    <d v="1899-12-30T15:30:00"/>
    <m/>
    <m/>
    <m/>
    <n v="95"/>
    <s v="No"/>
    <m/>
    <s v="Care plan review"/>
    <s v="appointment_export_2026_02.csv"/>
    <n v="0"/>
    <n v="0"/>
    <x v="3"/>
    <s v="Central"/>
    <s v="Mereana Thompson"/>
    <s v="Regional"/>
    <s v="Mon-Fri 08:30-17:00"/>
    <x v="0"/>
    <n v="21"/>
    <n v="95"/>
    <s v="Rehabilitation"/>
    <s v="Physiotherapist"/>
    <s v="Matched"/>
    <n v="8"/>
    <n v="1"/>
    <m/>
    <m/>
    <n v="1"/>
    <n v="1"/>
    <n v="1"/>
    <n v="0"/>
    <s v="Matches Standard"/>
    <x v="2"/>
    <n v="2026"/>
    <n v="2"/>
    <s v="Feb"/>
  </r>
  <r>
    <s v="APT-202602-0138"/>
    <d v="2026-02-13T00:00:00"/>
    <d v="2025-12-24T00:00:00"/>
    <s v="P0070"/>
    <s v="WLG"/>
    <s v="DIA"/>
    <s v="CL038"/>
    <x v="0"/>
    <x v="2"/>
    <d v="1899-12-30T16:00:00"/>
    <m/>
    <m/>
    <n v="0"/>
    <n v="80"/>
    <s v="No"/>
    <m/>
    <s v="Routine review"/>
    <s v="appointment_export_2026_02.csv"/>
    <n v="0"/>
    <n v="0"/>
    <x v="0"/>
    <s v="Central"/>
    <s v="Sophie Martin"/>
    <s v="Urban"/>
    <s v="Mon-Sat 08:00-18:00"/>
    <x v="3"/>
    <n v="10"/>
    <n v="80"/>
    <s v="Long-term conditions"/>
    <s v="Diabetes Nurse"/>
    <s v="Matched"/>
    <n v="51"/>
    <n v="0"/>
    <m/>
    <m/>
    <n v="0"/>
    <m/>
    <n v="1"/>
    <n v="0"/>
    <s v="Matches Standard"/>
    <x v="2"/>
    <n v="2026"/>
    <n v="2"/>
    <s v="Feb"/>
  </r>
  <r>
    <s v="APT-202602-0140"/>
    <d v="2026-02-14T00:00:00"/>
    <d v="2026-01-25T00:00:00"/>
    <s v="P0188"/>
    <s v="WLG"/>
    <s v="PHY"/>
    <s v="CL035"/>
    <x v="1"/>
    <x v="3"/>
    <d v="1899-12-30T14:00:00"/>
    <d v="1899-12-30T14:03:00"/>
    <d v="1899-12-30T14:39:00"/>
    <n v="20"/>
    <n v="95"/>
    <s v="No"/>
    <n v="3"/>
    <s v="Routine review"/>
    <s v="appointment_export_2026_02.csv"/>
    <n v="0"/>
    <n v="0"/>
    <x v="0"/>
    <s v="Central"/>
    <s v="Sophie Martin"/>
    <s v="Urban"/>
    <s v="Mon-Sat 08:00-18:00"/>
    <x v="0"/>
    <n v="21"/>
    <n v="95"/>
    <s v="Rehabilitation"/>
    <s v="Physiotherapist"/>
    <s v="Matched"/>
    <n v="20"/>
    <n v="1"/>
    <n v="36"/>
    <n v="0"/>
    <n v="1"/>
    <n v="0"/>
    <n v="1"/>
    <n v="0"/>
    <s v="Matches Standard"/>
    <x v="2"/>
    <n v="2026"/>
    <n v="2"/>
    <s v="Feb"/>
  </r>
  <r>
    <s v="APT-202602-0141"/>
    <d v="2026-02-17T00:00:00"/>
    <d v="2025-12-31T00:00:00"/>
    <s v="P0008"/>
    <s v="PMR"/>
    <s v="MHS"/>
    <s v="CL023"/>
    <x v="1"/>
    <x v="1"/>
    <d v="1899-12-30T14:00:00"/>
    <d v="1899-12-30T14:05:00"/>
    <d v="1899-12-30T14:12:00"/>
    <n v="30"/>
    <n v="120"/>
    <s v="No"/>
    <n v="3"/>
    <s v="Routine review"/>
    <s v="appointment_export_2026_02.csv"/>
    <n v="0"/>
    <n v="0"/>
    <x v="3"/>
    <s v="Central"/>
    <s v="Mereana Thompson"/>
    <s v="Regional"/>
    <s v="Mon-Fri 08:30-17:00"/>
    <x v="2"/>
    <n v="14"/>
    <n v="120"/>
    <s v="Behavioural health"/>
    <s v="Mental Health Clinician"/>
    <s v="Matched"/>
    <n v="48"/>
    <n v="0"/>
    <n v="7"/>
    <n v="1"/>
    <n v="1"/>
    <n v="0"/>
    <n v="1"/>
    <n v="0"/>
    <s v="Matches Standard"/>
    <x v="2"/>
    <n v="2026"/>
    <n v="2"/>
    <s v="Feb"/>
  </r>
  <r>
    <s v="APT-202602-0142"/>
    <d v="2026-02-19T00:00:00"/>
    <d v="2026-02-11T00:00:00"/>
    <s v="P0083"/>
    <s v="PMR"/>
    <s v="MHS"/>
    <s v="CL024"/>
    <x v="2"/>
    <x v="0"/>
    <d v="1899-12-30T15:00:00"/>
    <m/>
    <m/>
    <n v="0"/>
    <n v="120"/>
    <s v="No"/>
    <m/>
    <s v="Routine review"/>
    <s v="appointment_export_2026_02.csv"/>
    <n v="0"/>
    <n v="0"/>
    <x v="3"/>
    <s v="Central"/>
    <s v="Mereana Thompson"/>
    <s v="Regional"/>
    <s v="Mon-Fri 08:30-17:00"/>
    <x v="2"/>
    <n v="14"/>
    <n v="120"/>
    <s v="Behavioural health"/>
    <s v="Mental Health Clinician"/>
    <s v="Matched"/>
    <n v="8"/>
    <n v="1"/>
    <m/>
    <m/>
    <n v="1"/>
    <n v="1"/>
    <n v="1"/>
    <n v="0"/>
    <s v="Matches Standard"/>
    <x v="2"/>
    <n v="2026"/>
    <n v="2"/>
    <s v="Feb"/>
  </r>
  <r>
    <s v="APT-202602-0143"/>
    <d v="2026-02-10T00:00:00"/>
    <d v="2026-01-31T00:00:00"/>
    <s v="P0144"/>
    <s v="HAM"/>
    <s v="GEN"/>
    <s v="CL011"/>
    <x v="1"/>
    <x v="3"/>
    <d v="1899-12-30T12:30:00"/>
    <d v="1899-12-30T12:28:00"/>
    <d v="1899-12-30T12:54:00"/>
    <n v="45"/>
    <n v="65"/>
    <s v="No"/>
    <n v="4"/>
    <s v="Routine review"/>
    <s v="appointment_export_2026_02.csv"/>
    <n v="0"/>
    <n v="0"/>
    <x v="1"/>
    <s v="Midland"/>
    <s v="Daniel Wong"/>
    <s v="Urban"/>
    <s v="Mon-Fri 08:00-17:30"/>
    <x v="1"/>
    <n v="7"/>
    <n v="65"/>
    <s v="Primary care"/>
    <s v="Doctor or Nurse Practitioner"/>
    <s v="Matched"/>
    <n v="10"/>
    <n v="0"/>
    <n v="26"/>
    <n v="1"/>
    <n v="1"/>
    <n v="0"/>
    <n v="1"/>
    <n v="0"/>
    <s v="Matches Standard"/>
    <x v="2"/>
    <n v="2026"/>
    <n v="2"/>
    <s v="Feb"/>
  </r>
  <r>
    <s v="APT-202602-0144"/>
    <d v="2026-02-05T00:00:00"/>
    <d v="2025-12-29T00:00:00"/>
    <s v="P0019"/>
    <s v="AUC"/>
    <s v="GEN"/>
    <s v="CL001"/>
    <x v="1"/>
    <x v="1"/>
    <d v="1899-12-30T12:00:00"/>
    <d v="1899-12-30T11:55:00"/>
    <d v="1899-12-30T12:29:00"/>
    <n v="30"/>
    <n v="65"/>
    <s v="No"/>
    <n v="5"/>
    <s v="Patient requested appointment"/>
    <s v="appointment_export_2026_02.csv"/>
    <n v="0"/>
    <n v="0"/>
    <x v="2"/>
    <s v="Northern"/>
    <s v="Aroha Rangi"/>
    <s v="Urban"/>
    <s v="Mon-Fri 08:00-18:00"/>
    <x v="1"/>
    <n v="7"/>
    <n v="65"/>
    <s v="Primary care"/>
    <s v="Doctor or Nurse Practitioner"/>
    <s v="Matched"/>
    <n v="38"/>
    <n v="0"/>
    <n v="34"/>
    <n v="0"/>
    <n v="1"/>
    <n v="0"/>
    <n v="1"/>
    <n v="0"/>
    <s v="Matches Standard"/>
    <x v="2"/>
    <n v="2026"/>
    <n v="2"/>
    <s v="Feb"/>
  </r>
  <r>
    <s v="APT-202602-0145"/>
    <d v="2026-02-02T00:00:00"/>
    <d v="2026-01-14T00:00:00"/>
    <s v="P0196"/>
    <s v="WLG"/>
    <s v="PHY"/>
    <s v="CL036"/>
    <x v="1"/>
    <x v="3"/>
    <d v="1899-12-30T09:30:00"/>
    <d v="1899-12-30T09:28:00"/>
    <d v="1899-12-30T09:58:00"/>
    <n v="30"/>
    <n v="95"/>
    <s v="Yes"/>
    <n v="5"/>
    <s v="Care plan review"/>
    <s v="appointment_export_2026_02.csv"/>
    <n v="0"/>
    <n v="0"/>
    <x v="0"/>
    <s v="Central"/>
    <s v="Sophie Martin"/>
    <s v="Urban"/>
    <s v="Mon-Sat 08:00-18:00"/>
    <x v="0"/>
    <n v="21"/>
    <n v="95"/>
    <s v="Rehabilitation"/>
    <s v="Physiotherapist"/>
    <s v="Matched"/>
    <n v="19"/>
    <n v="1"/>
    <n v="30"/>
    <n v="1"/>
    <n v="1"/>
    <n v="0"/>
    <n v="1"/>
    <n v="0"/>
    <s v="Matches Standard"/>
    <x v="2"/>
    <n v="2026"/>
    <n v="2"/>
    <s v="Feb"/>
  </r>
  <r>
    <s v="APT-202602-0146"/>
    <d v="2026-02-13T00:00:00"/>
    <d v="2026-01-13T00:00:00"/>
    <s v="P0126"/>
    <s v="AUC"/>
    <s v="PHY"/>
    <s v="CL006"/>
    <x v="1"/>
    <x v="1"/>
    <d v="1899-12-30T15:00:00"/>
    <d v="1899-12-30T15:02:00"/>
    <d v="1899-12-30T15:00:00"/>
    <n v="60"/>
    <n v="95"/>
    <s v="No"/>
    <n v="2"/>
    <s v="Routine review"/>
    <s v="appointment_export_2026_02.csv"/>
    <n v="0"/>
    <n v="0"/>
    <x v="2"/>
    <s v="Northern"/>
    <s v="Aroha Rangi"/>
    <s v="Urban"/>
    <s v="Mon-Fri 08:00-18:00"/>
    <x v="0"/>
    <n v="21"/>
    <n v="95"/>
    <s v="Rehabilitation"/>
    <s v="Physiotherapist"/>
    <s v="Matched"/>
    <n v="31"/>
    <n v="0"/>
    <m/>
    <m/>
    <n v="1"/>
    <n v="0"/>
    <n v="1"/>
    <n v="0"/>
    <s v="Matches Standard"/>
    <x v="2"/>
    <n v="2026"/>
    <n v="2"/>
    <s v="Feb"/>
  </r>
  <r>
    <s v="APT-202602-0147"/>
    <d v="2026-02-05T00:00:00"/>
    <d v="2026-01-23T00:00:00"/>
    <s v="P0036"/>
    <s v="AUC"/>
    <s v="GEN"/>
    <s v="CL002"/>
    <x v="1"/>
    <x v="0"/>
    <d v="1899-12-30T12:00:00"/>
    <d v="1899-12-30T11:53:00"/>
    <d v="1899-12-30T12:05:00"/>
    <n v="45"/>
    <n v="65"/>
    <s v="No"/>
    <n v="4"/>
    <s v="Follow-up visit"/>
    <s v="appointment_export_2026_02.csv"/>
    <n v="0"/>
    <n v="0"/>
    <x v="2"/>
    <s v="Northern"/>
    <s v="Aroha Rangi"/>
    <s v="Urban"/>
    <s v="Mon-Fri 08:00-18:00"/>
    <x v="1"/>
    <n v="7"/>
    <n v="65"/>
    <s v="Primary care"/>
    <s v="Doctor or Nurse Practitioner"/>
    <s v="Matched"/>
    <n v="13"/>
    <n v="0"/>
    <n v="12"/>
    <n v="1"/>
    <n v="1"/>
    <n v="0"/>
    <n v="1"/>
    <n v="0"/>
    <s v="Matches Standard"/>
    <x v="2"/>
    <n v="2026"/>
    <n v="2"/>
    <s v="Feb"/>
  </r>
  <r>
    <s v="APT-202602-0148"/>
    <d v="2026-02-12T00:00:00"/>
    <d v="2026-01-03T00:00:00"/>
    <s v="P0224"/>
    <s v="AUC"/>
    <s v="PHY"/>
    <s v="CL006"/>
    <x v="1"/>
    <x v="2"/>
    <d v="1899-12-30T15:30:00"/>
    <d v="1899-12-30T15:41:00"/>
    <d v="1899-12-30T15:49:00"/>
    <n v="45"/>
    <n v="95"/>
    <s v="Yes"/>
    <n v="5"/>
    <s v="Follow-up visit"/>
    <s v="appointment_export_2026_02.csv"/>
    <n v="0"/>
    <n v="0"/>
    <x v="2"/>
    <s v="Northern"/>
    <s v="Aroha Rangi"/>
    <s v="Urban"/>
    <s v="Mon-Fri 08:00-18:00"/>
    <x v="0"/>
    <n v="21"/>
    <n v="95"/>
    <s v="Rehabilitation"/>
    <s v="Physiotherapist"/>
    <s v="Matched"/>
    <n v="40"/>
    <n v="0"/>
    <n v="8"/>
    <n v="1"/>
    <n v="1"/>
    <n v="0"/>
    <n v="1"/>
    <n v="0"/>
    <s v="Matches Standard"/>
    <x v="2"/>
    <n v="2026"/>
    <n v="2"/>
    <s v="Feb"/>
  </r>
  <r>
    <s v="APT-202602-0149"/>
    <d v="2026-02-27T00:00:00"/>
    <d v="2026-02-26T00:00:00"/>
    <s v="P0043"/>
    <s v="PMR"/>
    <s v="DIA"/>
    <s v="CL028"/>
    <x v="2"/>
    <x v="0"/>
    <d v="1899-12-30T09:00:00"/>
    <m/>
    <m/>
    <n v="0"/>
    <m/>
    <s v="Yes"/>
    <m/>
    <s v="Routine review"/>
    <s v="appointment_export_2026_02.csv"/>
    <n v="0"/>
    <n v="0"/>
    <x v="3"/>
    <s v="Central"/>
    <s v="Mereana Thompson"/>
    <s v="Regional"/>
    <s v="Mon-Fri 08:30-17:00"/>
    <x v="3"/>
    <n v="10"/>
    <n v="80"/>
    <s v="Long-term conditions"/>
    <s v="Diabetes Nurse"/>
    <s v="Matched"/>
    <n v="1"/>
    <n v="1"/>
    <m/>
    <m/>
    <n v="1"/>
    <n v="1"/>
    <n v="0"/>
    <m/>
    <s v="Missing Actual Fee"/>
    <x v="2"/>
    <n v="2026"/>
    <n v="2"/>
    <s v="Feb"/>
  </r>
  <r>
    <s v="APT-202602-0150"/>
    <d v="2026-02-12T00:00:00"/>
    <d v="2025-12-31T00:00:00"/>
    <s v="P0044"/>
    <s v="WLG"/>
    <s v="DIA"/>
    <s v="CL038"/>
    <x v="3"/>
    <x v="1"/>
    <d v="1899-12-30T12:30:00"/>
    <m/>
    <m/>
    <n v="0"/>
    <n v="80"/>
    <s v="Yes"/>
    <m/>
    <s v="Care plan review"/>
    <s v="appointment_export_2026_02.csv"/>
    <n v="0"/>
    <n v="0"/>
    <x v="0"/>
    <s v="Central"/>
    <s v="Sophie Martin"/>
    <s v="Urban"/>
    <s v="Mon-Sat 08:00-18:00"/>
    <x v="3"/>
    <n v="10"/>
    <n v="80"/>
    <s v="Long-term conditions"/>
    <s v="Diabetes Nurse"/>
    <s v="Matched"/>
    <n v="43"/>
    <n v="0"/>
    <m/>
    <m/>
    <n v="0"/>
    <m/>
    <n v="1"/>
    <n v="0"/>
    <s v="Matches Standard"/>
    <x v="2"/>
    <n v="2026"/>
    <n v="2"/>
    <s v="Feb"/>
  </r>
  <r>
    <s v="APT-202602-0151"/>
    <d v="2026-02-04T00:00:00"/>
    <d v="2025-12-18T00:00:00"/>
    <s v="P0110"/>
    <s v="WLG"/>
    <s v="PHY"/>
    <s v="CL036"/>
    <x v="1"/>
    <x v="0"/>
    <d v="1899-12-30T13:00:00"/>
    <d v="1899-12-30T12:55:00"/>
    <d v="1899-12-30T13:14:00"/>
    <n v="45"/>
    <n v="95"/>
    <s v="Yes"/>
    <n v="4"/>
    <s v="Routine review"/>
    <s v="appointment_export_2026_02.csv"/>
    <n v="0"/>
    <n v="0"/>
    <x v="0"/>
    <s v="Central"/>
    <s v="Sophie Martin"/>
    <s v="Urban"/>
    <s v="Mon-Sat 08:00-18:00"/>
    <x v="0"/>
    <n v="21"/>
    <n v="95"/>
    <s v="Rehabilitation"/>
    <s v="Physiotherapist"/>
    <s v="Matched"/>
    <n v="48"/>
    <n v="0"/>
    <n v="19"/>
    <n v="1"/>
    <n v="1"/>
    <n v="0"/>
    <n v="1"/>
    <n v="0"/>
    <s v="Matches Standard"/>
    <x v="2"/>
    <n v="2026"/>
    <n v="2"/>
    <s v="Feb"/>
  </r>
  <r>
    <s v="APT-202602-0152"/>
    <d v="2026-02-19T00:00:00"/>
    <d v="2026-01-19T00:00:00"/>
    <s v="P0176"/>
    <s v="HAM"/>
    <s v="GEN"/>
    <s v="CL012"/>
    <x v="2"/>
    <x v="3"/>
    <d v="1899-12-30T10:30:00"/>
    <m/>
    <m/>
    <n v="0"/>
    <n v="65"/>
    <s v="Yes"/>
    <m/>
    <s v="Patient requested appointment"/>
    <s v="appointment_export_2026_02.csv"/>
    <n v="0"/>
    <n v="0"/>
    <x v="1"/>
    <s v="Midland"/>
    <s v="Daniel Wong"/>
    <s v="Urban"/>
    <s v="Mon-Fri 08:00-17:30"/>
    <x v="1"/>
    <n v="7"/>
    <n v="65"/>
    <s v="Primary care"/>
    <s v="Doctor or Nurse Practitioner"/>
    <s v="Matched"/>
    <n v="31"/>
    <n v="0"/>
    <m/>
    <m/>
    <n v="1"/>
    <n v="1"/>
    <n v="1"/>
    <n v="0"/>
    <s v="Matches Standard"/>
    <x v="2"/>
    <n v="2026"/>
    <n v="2"/>
    <s v="Feb"/>
  </r>
  <r>
    <s v="APT-202602-0153"/>
    <d v="2026-02-23T00:00:00"/>
    <d v="2026-02-03T00:00:00"/>
    <s v="P0090"/>
    <s v="PMR"/>
    <s v="CAR"/>
    <s v="CL030"/>
    <x v="1"/>
    <x v="1"/>
    <d v="1899-12-30T08:00:00"/>
    <d v="1899-12-30T08:16:00"/>
    <d v="1899-12-30T08:40:00"/>
    <n v="20"/>
    <n v="150"/>
    <s v="Yes"/>
    <n v="5"/>
    <s v="Routine review"/>
    <s v="appointment_export_2026_02.csv"/>
    <n v="0"/>
    <n v="0"/>
    <x v="3"/>
    <s v="Central"/>
    <s v="Mereana Thompson"/>
    <s v="Regional"/>
    <s v="Mon-Fri 08:30-17:00"/>
    <x v="4"/>
    <n v="28"/>
    <n v="150"/>
    <s v="Specialist outpatient"/>
    <s v="Cardiology Clinician"/>
    <s v="Matched"/>
    <n v="20"/>
    <n v="1"/>
    <n v="24"/>
    <n v="1"/>
    <n v="1"/>
    <n v="0"/>
    <n v="1"/>
    <n v="0"/>
    <s v="Matches Standard"/>
    <x v="2"/>
    <n v="2026"/>
    <n v="2"/>
    <s v="Feb"/>
  </r>
  <r>
    <s v="APT-202602-0154"/>
    <d v="2026-02-09T00:00:00"/>
    <d v="2026-01-01T00:00:00"/>
    <s v="P0177"/>
    <s v="AUC"/>
    <s v="DIA"/>
    <s v="CL008"/>
    <x v="1"/>
    <x v="2"/>
    <d v="1899-12-30T08:00:00"/>
    <d v="1899-12-30T08:03:00"/>
    <d v="1899-12-30T08:34:00"/>
    <n v="45"/>
    <n v="80"/>
    <s v="No"/>
    <n v="2"/>
    <s v="New referral"/>
    <s v="appointment_export_2026_02.csv"/>
    <n v="0"/>
    <n v="0"/>
    <x v="2"/>
    <s v="Northern"/>
    <s v="Aroha Rangi"/>
    <s v="Urban"/>
    <s v="Mon-Fri 08:00-18:00"/>
    <x v="3"/>
    <n v="10"/>
    <n v="80"/>
    <s v="Long-term conditions"/>
    <s v="Diabetes Nurse"/>
    <s v="Matched"/>
    <n v="39"/>
    <n v="0"/>
    <n v="31"/>
    <n v="0"/>
    <n v="1"/>
    <n v="0"/>
    <n v="1"/>
    <n v="0"/>
    <s v="Matches Standard"/>
    <x v="2"/>
    <n v="2026"/>
    <n v="2"/>
    <s v="Feb"/>
  </r>
  <r>
    <s v="APT-202602-0155"/>
    <d v="2026-02-25T00:00:00"/>
    <d v="2026-01-31T00:00:00"/>
    <s v="P0086"/>
    <s v="PMR"/>
    <s v="DIA"/>
    <s v="CL028"/>
    <x v="2"/>
    <x v="3"/>
    <d v="1899-12-30T11:30:00"/>
    <m/>
    <m/>
    <n v="0"/>
    <n v="80"/>
    <s v="Yes"/>
    <m/>
    <s v="Routine review"/>
    <s v="appointment_export_2026_02.csv"/>
    <n v="0"/>
    <n v="0"/>
    <x v="3"/>
    <s v="Central"/>
    <s v="Mereana Thompson"/>
    <s v="Regional"/>
    <s v="Mon-Fri 08:30-17:00"/>
    <x v="3"/>
    <n v="10"/>
    <n v="80"/>
    <s v="Long-term conditions"/>
    <s v="Diabetes Nurse"/>
    <s v="Matched"/>
    <n v="25"/>
    <n v="0"/>
    <m/>
    <m/>
    <n v="1"/>
    <n v="1"/>
    <n v="1"/>
    <n v="0"/>
    <s v="Matches Standard"/>
    <x v="2"/>
    <n v="2026"/>
    <n v="2"/>
    <s v="Feb"/>
  </r>
  <r>
    <s v="APT-202602-0156"/>
    <d v="2026-02-09T00:00:00"/>
    <d v="2025-12-29T00:00:00"/>
    <s v="P0017"/>
    <s v="WLG"/>
    <s v="GEN"/>
    <s v="CL032"/>
    <x v="1"/>
    <x v="0"/>
    <d v="1899-12-30T16:00:00"/>
    <d v="1899-12-30T16:01:00"/>
    <d v="1899-12-30T16:01:00"/>
    <n v="20"/>
    <n v="65"/>
    <s v="Yes"/>
    <n v="4"/>
    <s v="Routine review"/>
    <s v="appointment_export_2026_02.csv"/>
    <n v="0"/>
    <n v="0"/>
    <x v="0"/>
    <s v="Central"/>
    <s v="Sophie Martin"/>
    <s v="Urban"/>
    <s v="Mon-Sat 08:00-18:00"/>
    <x v="1"/>
    <n v="7"/>
    <n v="65"/>
    <s v="Primary care"/>
    <s v="Doctor or Nurse Practitioner"/>
    <s v="Matched"/>
    <n v="42"/>
    <n v="0"/>
    <n v="0"/>
    <n v="1"/>
    <n v="1"/>
    <n v="0"/>
    <n v="1"/>
    <n v="0"/>
    <s v="Matches Standard"/>
    <x v="2"/>
    <n v="2026"/>
    <n v="2"/>
    <s v="Feb"/>
  </r>
  <r>
    <s v="APT-202602-0157"/>
    <d v="2026-02-27T00:00:00"/>
    <d v="2026-01-29T00:00:00"/>
    <s v="P0048"/>
    <s v="HAM"/>
    <s v="MHS"/>
    <s v="CL013"/>
    <x v="1"/>
    <x v="0"/>
    <d v="1899-12-30T11:30:00"/>
    <d v="1899-12-30T11:29:00"/>
    <d v="1899-12-30T12:03:00"/>
    <n v="60"/>
    <n v="120"/>
    <s v="Yes"/>
    <n v="4"/>
    <s v="Care plan review"/>
    <s v="appointment_export_2026_02.csv"/>
    <n v="0"/>
    <n v="0"/>
    <x v="1"/>
    <s v="Midland"/>
    <s v="Daniel Wong"/>
    <s v="Urban"/>
    <s v="Mon-Fri 08:00-17:30"/>
    <x v="2"/>
    <n v="14"/>
    <n v="120"/>
    <s v="Behavioural health"/>
    <s v="Mental Health Clinician"/>
    <s v="Matched"/>
    <n v="29"/>
    <n v="0"/>
    <n v="34"/>
    <n v="0"/>
    <n v="1"/>
    <n v="0"/>
    <n v="1"/>
    <n v="0"/>
    <s v="Matches Standard"/>
    <x v="2"/>
    <n v="2026"/>
    <n v="2"/>
    <s v="Feb"/>
  </r>
  <r>
    <s v="APT-202602-0158"/>
    <d v="2026-02-16T00:00:00"/>
    <d v="2026-02-09T00:00:00"/>
    <s v="P0162"/>
    <s v="PMR"/>
    <m/>
    <s v="CL023"/>
    <x v="1"/>
    <x v="0"/>
    <d v="1899-12-30T08:30:00"/>
    <d v="1899-12-30T08:28:00"/>
    <d v="1899-12-30T08:35:00"/>
    <n v="30"/>
    <n v="120"/>
    <s v="No"/>
    <n v="3"/>
    <s v="Patient requested appointment"/>
    <s v="appointment_export_2026_02.csv"/>
    <n v="0"/>
    <n v="1"/>
    <x v="3"/>
    <s v="Central"/>
    <s v="Mereana Thompson"/>
    <s v="Regional"/>
    <s v="Mon-Fri 08:30-17:00"/>
    <x v="5"/>
    <m/>
    <m/>
    <m/>
    <m/>
    <s v="Missing Service Code"/>
    <n v="7"/>
    <m/>
    <n v="7"/>
    <n v="1"/>
    <n v="1"/>
    <n v="0"/>
    <n v="1"/>
    <m/>
    <s v="Missing Standard Fee"/>
    <x v="2"/>
    <n v="2026"/>
    <n v="2"/>
    <s v="Feb"/>
  </r>
  <r>
    <s v="APT-202602-0159"/>
    <d v="2026-02-09T00:00:00"/>
    <d v="2026-01-06T00:00:00"/>
    <s v="P0019"/>
    <s v="PMR"/>
    <s v="PHY"/>
    <s v="CL025"/>
    <x v="2"/>
    <x v="0"/>
    <d v="1899-12-30T08:00:00"/>
    <m/>
    <m/>
    <n v="0"/>
    <n v="95"/>
    <s v="Yes"/>
    <m/>
    <s v="Patient requested appointment"/>
    <s v="appointment_export_2026_02.csv"/>
    <n v="0"/>
    <n v="0"/>
    <x v="3"/>
    <s v="Central"/>
    <s v="Mereana Thompson"/>
    <s v="Regional"/>
    <s v="Mon-Fri 08:30-17:00"/>
    <x v="0"/>
    <n v="21"/>
    <n v="95"/>
    <s v="Rehabilitation"/>
    <s v="Physiotherapist"/>
    <s v="Matched"/>
    <n v="34"/>
    <n v="0"/>
    <m/>
    <m/>
    <n v="1"/>
    <n v="1"/>
    <n v="1"/>
    <n v="0"/>
    <s v="Matches Standard"/>
    <x v="2"/>
    <n v="2026"/>
    <n v="2"/>
    <s v="Feb"/>
  </r>
  <r>
    <s v="APT-202602-0160"/>
    <d v="2026-02-19T00:00:00"/>
    <d v="2026-01-16T00:00:00"/>
    <s v="P0218"/>
    <s v="PMR"/>
    <s v="PHY"/>
    <s v="CL025"/>
    <x v="1"/>
    <x v="2"/>
    <d v="1899-12-30T09:00:00"/>
    <d v="1899-12-30T09:09:00"/>
    <d v="1899-12-30T09:29:00"/>
    <n v="20"/>
    <n v="95"/>
    <s v="Yes"/>
    <n v="2"/>
    <s v="Routine review"/>
    <s v="appointment_export_2026_02.csv"/>
    <n v="0"/>
    <n v="0"/>
    <x v="3"/>
    <s v="Central"/>
    <s v="Mereana Thompson"/>
    <s v="Regional"/>
    <s v="Mon-Fri 08:30-17:00"/>
    <x v="0"/>
    <n v="21"/>
    <n v="95"/>
    <s v="Rehabilitation"/>
    <s v="Physiotherapist"/>
    <s v="Matched"/>
    <n v="34"/>
    <n v="0"/>
    <n v="20"/>
    <n v="1"/>
    <n v="1"/>
    <n v="0"/>
    <n v="1"/>
    <n v="0"/>
    <s v="Matches Standard"/>
    <x v="2"/>
    <n v="2026"/>
    <n v="2"/>
    <s v="Feb"/>
  </r>
  <r>
    <s v="APT-202603-0001"/>
    <d v="2026-03-06T00:00:00"/>
    <d v="2026-01-22T00:00:00"/>
    <s v="P0104"/>
    <s v="WLG"/>
    <s v="PHY"/>
    <s v="CL036"/>
    <x v="2"/>
    <x v="1"/>
    <d v="1899-12-30T14:30:00"/>
    <m/>
    <m/>
    <n v="0"/>
    <n v="95"/>
    <s v="No"/>
    <m/>
    <s v="Care plan review"/>
    <s v="appointment_export_2026_03.csv"/>
    <n v="0"/>
    <n v="0"/>
    <x v="0"/>
    <s v="Central"/>
    <s v="Sophie Martin"/>
    <s v="Urban"/>
    <s v="Mon-Sat 08:00-18:00"/>
    <x v="0"/>
    <n v="21"/>
    <n v="95"/>
    <s v="Rehabilitation"/>
    <s v="Physiotherapist"/>
    <s v="Matched"/>
    <n v="43"/>
    <n v="0"/>
    <m/>
    <m/>
    <n v="1"/>
    <n v="1"/>
    <n v="1"/>
    <n v="0"/>
    <s v="Matches Standard"/>
    <x v="3"/>
    <n v="2026"/>
    <n v="3"/>
    <s v="Mar"/>
  </r>
  <r>
    <s v="APT-202603-0002"/>
    <d v="2026-03-18T00:00:00"/>
    <d v="2026-02-21T00:00:00"/>
    <s v="P0023"/>
    <s v="HAM"/>
    <s v="GEN"/>
    <s v="CL012"/>
    <x v="1"/>
    <x v="1"/>
    <d v="1899-12-30T09:00:00"/>
    <d v="1899-12-30T08:59:00"/>
    <d v="1899-12-30T09:12:00"/>
    <n v="45"/>
    <n v="65"/>
    <s v="No"/>
    <n v="5"/>
    <s v="Follow-up visit"/>
    <s v="appointment_export_2026_03.csv"/>
    <n v="0"/>
    <n v="0"/>
    <x v="1"/>
    <s v="Midland"/>
    <s v="Daniel Wong"/>
    <s v="Urban"/>
    <s v="Mon-Fri 08:00-17:30"/>
    <x v="1"/>
    <n v="7"/>
    <n v="65"/>
    <s v="Primary care"/>
    <s v="Doctor or Nurse Practitioner"/>
    <s v="Matched"/>
    <n v="25"/>
    <n v="0"/>
    <n v="13"/>
    <n v="1"/>
    <n v="1"/>
    <n v="0"/>
    <n v="1"/>
    <n v="0"/>
    <s v="Matches Standard"/>
    <x v="3"/>
    <n v="2026"/>
    <n v="3"/>
    <s v="Mar"/>
  </r>
  <r>
    <s v="APT-202603-0003"/>
    <d v="2026-03-12T00:00:00"/>
    <d v="2026-01-28T00:00:00"/>
    <s v="P0121"/>
    <s v="AUC"/>
    <s v="GEN"/>
    <s v="CL001"/>
    <x v="1"/>
    <x v="2"/>
    <d v="1899-12-30T09:00:00"/>
    <d v="1899-12-30T08:51:00"/>
    <d v="1899-12-30T09:22:00"/>
    <n v="20"/>
    <n v="65"/>
    <s v="No"/>
    <n v="3"/>
    <s v="New referral"/>
    <s v="appointment_export_2026_03.csv"/>
    <n v="0"/>
    <n v="0"/>
    <x v="2"/>
    <s v="Northern"/>
    <s v="Aroha Rangi"/>
    <s v="Urban"/>
    <s v="Mon-Fri 08:00-18:00"/>
    <x v="1"/>
    <n v="7"/>
    <n v="65"/>
    <s v="Primary care"/>
    <s v="Doctor or Nurse Practitioner"/>
    <s v="Matched"/>
    <n v="43"/>
    <n v="0"/>
    <n v="31"/>
    <n v="0"/>
    <n v="1"/>
    <n v="0"/>
    <n v="1"/>
    <n v="0"/>
    <s v="Matches Standard"/>
    <x v="3"/>
    <n v="2026"/>
    <n v="3"/>
    <s v="Mar"/>
  </r>
  <r>
    <s v="APT-202603-0004"/>
    <d v="2026-03-17T00:00:00"/>
    <d v="2026-01-23T00:00:00"/>
    <s v="P0202"/>
    <s v="AUC"/>
    <s v="PHY"/>
    <s v="CL006"/>
    <x v="1"/>
    <x v="3"/>
    <d v="1899-12-30T11:00:00"/>
    <d v="1899-12-30T10:53:00"/>
    <d v="1899-12-30T11:38:00"/>
    <n v="20"/>
    <n v="95"/>
    <s v="Yes"/>
    <n v="5"/>
    <s v="Care plan review"/>
    <s v="appointment_export_2026_03.csv"/>
    <n v="0"/>
    <n v="0"/>
    <x v="2"/>
    <s v="Northern"/>
    <s v="Aroha Rangi"/>
    <s v="Urban"/>
    <s v="Mon-Fri 08:00-18:00"/>
    <x v="0"/>
    <n v="21"/>
    <n v="95"/>
    <s v="Rehabilitation"/>
    <s v="Physiotherapist"/>
    <s v="Matched"/>
    <n v="53"/>
    <n v="0"/>
    <n v="45"/>
    <n v="0"/>
    <n v="1"/>
    <n v="0"/>
    <n v="1"/>
    <n v="0"/>
    <s v="Matches Standard"/>
    <x v="3"/>
    <n v="2026"/>
    <n v="3"/>
    <s v="Mar"/>
  </r>
  <r>
    <s v="APT-202603-0005"/>
    <d v="2026-03-01T00:00:00"/>
    <d v="2026-02-15T00:00:00"/>
    <s v="P0006"/>
    <s v="WLG"/>
    <s v="CAR"/>
    <s v="CL040"/>
    <x v="2"/>
    <x v="0"/>
    <d v="1899-12-30T16:00:00"/>
    <m/>
    <m/>
    <n v="0"/>
    <n v="150"/>
    <s v="No"/>
    <m/>
    <s v="Follow-up visit"/>
    <s v="appointment_export_2026_03.csv"/>
    <n v="0"/>
    <n v="0"/>
    <x v="0"/>
    <s v="Central"/>
    <s v="Sophie Martin"/>
    <s v="Urban"/>
    <s v="Mon-Sat 08:00-18:00"/>
    <x v="4"/>
    <n v="28"/>
    <n v="150"/>
    <s v="Specialist outpatient"/>
    <s v="Cardiology Clinician"/>
    <s v="Matched"/>
    <n v="14"/>
    <n v="1"/>
    <m/>
    <m/>
    <n v="1"/>
    <n v="1"/>
    <n v="1"/>
    <n v="0"/>
    <s v="Matches Standard"/>
    <x v="3"/>
    <n v="2026"/>
    <n v="3"/>
    <s v="Mar"/>
  </r>
  <r>
    <s v="APT-202603-0006"/>
    <d v="2026-03-05T00:00:00"/>
    <d v="2026-01-30T00:00:00"/>
    <s v="P0176"/>
    <s v="PMR"/>
    <s v="CAR"/>
    <s v="CL029"/>
    <x v="1"/>
    <x v="2"/>
    <d v="1899-12-30T12:30:00"/>
    <d v="1899-12-30T12:46:00"/>
    <d v="1899-12-30T12:55:00"/>
    <n v="45"/>
    <n v="150"/>
    <s v="Yes"/>
    <n v="4"/>
    <s v="Routine review"/>
    <s v="appointment_export_2026_03.csv"/>
    <n v="0"/>
    <n v="0"/>
    <x v="3"/>
    <s v="Central"/>
    <s v="Mereana Thompson"/>
    <s v="Regional"/>
    <s v="Mon-Fri 08:30-17:00"/>
    <x v="4"/>
    <n v="28"/>
    <n v="150"/>
    <s v="Specialist outpatient"/>
    <s v="Cardiology Clinician"/>
    <s v="Matched"/>
    <n v="34"/>
    <n v="0"/>
    <n v="9"/>
    <n v="1"/>
    <n v="1"/>
    <n v="0"/>
    <n v="1"/>
    <n v="0"/>
    <s v="Matches Standard"/>
    <x v="3"/>
    <n v="2026"/>
    <n v="3"/>
    <s v="Mar"/>
  </r>
  <r>
    <s v="APT-202603-0007"/>
    <d v="2026-03-10T00:00:00"/>
    <d v="2026-01-19T00:00:00"/>
    <s v="P0232"/>
    <s v="AUC"/>
    <s v="CAR"/>
    <s v="CL009"/>
    <x v="2"/>
    <x v="1"/>
    <d v="1899-12-30T14:00:00"/>
    <m/>
    <m/>
    <n v="0"/>
    <n v="150"/>
    <s v="No"/>
    <m/>
    <s v="Routine review"/>
    <s v="appointment_export_2026_03.csv"/>
    <n v="0"/>
    <n v="0"/>
    <x v="2"/>
    <s v="Northern"/>
    <s v="Aroha Rangi"/>
    <s v="Urban"/>
    <s v="Mon-Fri 08:00-18:00"/>
    <x v="4"/>
    <n v="28"/>
    <n v="150"/>
    <s v="Specialist outpatient"/>
    <s v="Cardiology Clinician"/>
    <s v="Matched"/>
    <n v="50"/>
    <n v="0"/>
    <m/>
    <m/>
    <n v="1"/>
    <n v="1"/>
    <n v="1"/>
    <n v="0"/>
    <s v="Matches Standard"/>
    <x v="3"/>
    <n v="2026"/>
    <n v="3"/>
    <s v="Mar"/>
  </r>
  <r>
    <s v="APT-202603-0008"/>
    <d v="2026-03-04T00:00:00"/>
    <d v="2026-01-14T00:00:00"/>
    <s v="P0167"/>
    <s v="WLG"/>
    <s v="PHY"/>
    <s v="CL035"/>
    <x v="1"/>
    <x v="3"/>
    <d v="1899-12-30T13:00:00"/>
    <d v="1899-12-30T12:53:00"/>
    <d v="1899-12-30T13:05:00"/>
    <n v="30"/>
    <n v="95"/>
    <s v="Yes"/>
    <n v="5"/>
    <s v="Care plan review"/>
    <s v="appointment_export_2026_03.csv"/>
    <n v="0"/>
    <n v="0"/>
    <x v="0"/>
    <s v="Central"/>
    <s v="Sophie Martin"/>
    <s v="Urban"/>
    <s v="Mon-Sat 08:00-18:00"/>
    <x v="0"/>
    <n v="21"/>
    <n v="95"/>
    <s v="Rehabilitation"/>
    <s v="Physiotherapist"/>
    <s v="Matched"/>
    <n v="49"/>
    <n v="0"/>
    <n v="12"/>
    <n v="1"/>
    <n v="1"/>
    <n v="0"/>
    <n v="1"/>
    <n v="0"/>
    <s v="Matches Standard"/>
    <x v="3"/>
    <n v="2026"/>
    <n v="3"/>
    <s v="Mar"/>
  </r>
  <r>
    <s v="APT-202603-0009"/>
    <d v="2026-03-28T00:00:00"/>
    <d v="2026-02-01T00:00:00"/>
    <s v="P0223"/>
    <s v="HAM"/>
    <s v="MHS"/>
    <s v="CL013"/>
    <x v="1"/>
    <x v="3"/>
    <d v="1899-12-30T11:00:00"/>
    <d v="1899-12-30T11:03:00"/>
    <d v="1899-12-30T11:12:00"/>
    <n v="30"/>
    <n v="120"/>
    <s v="No"/>
    <n v="5"/>
    <s v="Follow-up visit"/>
    <s v="appointment_export_2026_03.csv"/>
    <n v="0"/>
    <n v="0"/>
    <x v="1"/>
    <s v="Midland"/>
    <s v="Daniel Wong"/>
    <s v="Urban"/>
    <s v="Mon-Fri 08:00-17:30"/>
    <x v="2"/>
    <n v="14"/>
    <n v="120"/>
    <s v="Behavioural health"/>
    <s v="Mental Health Clinician"/>
    <s v="Matched"/>
    <n v="55"/>
    <n v="0"/>
    <n v="9"/>
    <n v="1"/>
    <n v="1"/>
    <n v="0"/>
    <n v="1"/>
    <n v="0"/>
    <s v="Matches Standard"/>
    <x v="3"/>
    <n v="2026"/>
    <n v="3"/>
    <s v="Mar"/>
  </r>
  <r>
    <s v="APT-202603-0010"/>
    <d v="2026-03-10T00:00:00"/>
    <d v="2026-02-01T00:00:00"/>
    <s v="P0183"/>
    <s v="AUC"/>
    <s v="PHY"/>
    <s v="CL005"/>
    <x v="1"/>
    <x v="2"/>
    <d v="1899-12-30T09:30:00"/>
    <d v="1899-12-30T09:44:00"/>
    <d v="1899-12-30T09:33:00"/>
    <n v="45"/>
    <n v="95"/>
    <s v="Yes"/>
    <n v="5"/>
    <s v="New referral"/>
    <s v="appointment_export_2026_03.csv"/>
    <n v="0"/>
    <n v="0"/>
    <x v="2"/>
    <s v="Northern"/>
    <s v="Aroha Rangi"/>
    <s v="Urban"/>
    <s v="Mon-Fri 08:00-18:00"/>
    <x v="0"/>
    <n v="21"/>
    <n v="95"/>
    <s v="Rehabilitation"/>
    <s v="Physiotherapist"/>
    <s v="Matched"/>
    <n v="37"/>
    <n v="0"/>
    <m/>
    <m/>
    <n v="1"/>
    <n v="0"/>
    <n v="1"/>
    <n v="0"/>
    <s v="Matches Standard"/>
    <x v="3"/>
    <n v="2026"/>
    <n v="3"/>
    <s v="Mar"/>
  </r>
  <r>
    <s v="APT-202603-0011"/>
    <d v="2026-03-08T00:00:00"/>
    <d v="2026-01-12T00:00:00"/>
    <s v="P0130"/>
    <s v="AUC"/>
    <s v="GEN"/>
    <s v="CL002"/>
    <x v="1"/>
    <x v="3"/>
    <d v="1899-12-30T13:00:00"/>
    <d v="1899-12-30T13:01:00"/>
    <d v="1899-12-30T13:00:00"/>
    <n v="45"/>
    <n v="65"/>
    <s v="No"/>
    <n v="5"/>
    <s v="New referral"/>
    <s v="appointment_export_2026_03.csv"/>
    <n v="0"/>
    <n v="0"/>
    <x v="2"/>
    <s v="Northern"/>
    <s v="Aroha Rangi"/>
    <s v="Urban"/>
    <s v="Mon-Fri 08:00-18:00"/>
    <x v="1"/>
    <n v="7"/>
    <n v="65"/>
    <s v="Primary care"/>
    <s v="Doctor or Nurse Practitioner"/>
    <s v="Matched"/>
    <n v="55"/>
    <n v="0"/>
    <m/>
    <m/>
    <n v="1"/>
    <n v="0"/>
    <n v="1"/>
    <n v="0"/>
    <s v="Matches Standard"/>
    <x v="3"/>
    <n v="2026"/>
    <n v="3"/>
    <s v="Mar"/>
  </r>
  <r>
    <s v="APT-202603-0012"/>
    <d v="2026-03-10T00:00:00"/>
    <d v="2026-03-04T00:00:00"/>
    <s v="P0045"/>
    <s v="HAM"/>
    <s v="DIA"/>
    <s v="CL018"/>
    <x v="1"/>
    <x v="1"/>
    <d v="1899-12-30T13:30:00"/>
    <d v="1899-12-30T13:37:00"/>
    <d v="1899-12-30T13:43:00"/>
    <n v="45"/>
    <n v="80"/>
    <s v="No"/>
    <n v="4"/>
    <s v="Routine review"/>
    <s v="appointment_export_2026_03.csv"/>
    <n v="0"/>
    <n v="0"/>
    <x v="1"/>
    <s v="Midland"/>
    <s v="Daniel Wong"/>
    <s v="Urban"/>
    <s v="Mon-Fri 08:00-17:30"/>
    <x v="3"/>
    <n v="10"/>
    <n v="80"/>
    <s v="Long-term conditions"/>
    <s v="Diabetes Nurse"/>
    <s v="Matched"/>
    <n v="6"/>
    <n v="1"/>
    <n v="6"/>
    <n v="1"/>
    <n v="1"/>
    <n v="0"/>
    <n v="1"/>
    <n v="0"/>
    <s v="Matches Standard"/>
    <x v="3"/>
    <n v="2026"/>
    <n v="3"/>
    <s v="Mar"/>
  </r>
  <r>
    <s v="APT-202603-0013"/>
    <d v="2026-03-01T00:00:00"/>
    <d v="2026-02-20T00:00:00"/>
    <s v="P0012"/>
    <s v="WLG"/>
    <s v="PHY"/>
    <s v="CL035"/>
    <x v="1"/>
    <x v="2"/>
    <d v="1899-12-30T14:30:00"/>
    <d v="1899-12-30T14:28:00"/>
    <d v="1899-12-30T14:37:00"/>
    <n v="45"/>
    <n v="95"/>
    <s v="No"/>
    <n v="2"/>
    <s v="Routine review"/>
    <s v="appointment_export_2026_03.csv"/>
    <n v="0"/>
    <n v="0"/>
    <x v="0"/>
    <s v="Central"/>
    <s v="Sophie Martin"/>
    <s v="Urban"/>
    <s v="Mon-Sat 08:00-18:00"/>
    <x v="0"/>
    <n v="21"/>
    <n v="95"/>
    <s v="Rehabilitation"/>
    <s v="Physiotherapist"/>
    <s v="Matched"/>
    <n v="9"/>
    <n v="1"/>
    <n v="9"/>
    <n v="1"/>
    <n v="1"/>
    <n v="0"/>
    <n v="1"/>
    <n v="0"/>
    <s v="Matches Standard"/>
    <x v="3"/>
    <n v="2026"/>
    <n v="3"/>
    <s v="Mar"/>
  </r>
  <r>
    <s v="APT-202603-0014"/>
    <d v="2026-03-23T00:00:00"/>
    <d v="2026-02-02T00:00:00"/>
    <s v="P0156"/>
    <s v="PMR"/>
    <s v="MHS"/>
    <s v="CL024"/>
    <x v="1"/>
    <x v="2"/>
    <d v="1899-12-30T11:00:00"/>
    <d v="1899-12-30T10:56:00"/>
    <d v="1899-12-30T11:39:00"/>
    <n v="30"/>
    <n v="120"/>
    <s v="No"/>
    <n v="5"/>
    <s v="Patient requested appointment"/>
    <s v="appointment_export_2026_03.csv"/>
    <n v="0"/>
    <n v="0"/>
    <x v="3"/>
    <s v="Central"/>
    <s v="Mereana Thompson"/>
    <s v="Regional"/>
    <s v="Mon-Fri 08:30-17:00"/>
    <x v="2"/>
    <n v="14"/>
    <n v="120"/>
    <s v="Behavioural health"/>
    <s v="Mental Health Clinician"/>
    <s v="Matched"/>
    <n v="49"/>
    <n v="0"/>
    <n v="43"/>
    <n v="0"/>
    <n v="1"/>
    <n v="0"/>
    <n v="1"/>
    <n v="0"/>
    <s v="Matches Standard"/>
    <x v="3"/>
    <n v="2026"/>
    <n v="3"/>
    <s v="Mar"/>
  </r>
  <r>
    <s v="APT-202603-0015"/>
    <d v="2026-03-19T00:00:00"/>
    <d v="2026-02-03T00:00:00"/>
    <s v="P0225"/>
    <s v="WLG"/>
    <s v="PHY"/>
    <s v="CL035"/>
    <x v="3"/>
    <x v="3"/>
    <d v="1899-12-30T15:00:00"/>
    <m/>
    <m/>
    <n v="0"/>
    <n v="95"/>
    <s v="No"/>
    <m/>
    <s v="Patient requested appointment"/>
    <s v="appointment_export_2026_03.csv"/>
    <n v="0"/>
    <n v="0"/>
    <x v="0"/>
    <s v="Central"/>
    <s v="Sophie Martin"/>
    <s v="Urban"/>
    <s v="Mon-Sat 08:00-18:00"/>
    <x v="0"/>
    <n v="21"/>
    <n v="95"/>
    <s v="Rehabilitation"/>
    <s v="Physiotherapist"/>
    <s v="Matched"/>
    <n v="44"/>
    <n v="0"/>
    <m/>
    <m/>
    <n v="0"/>
    <m/>
    <n v="1"/>
    <n v="0"/>
    <s v="Matches Standard"/>
    <x v="3"/>
    <n v="2026"/>
    <n v="3"/>
    <s v="Mar"/>
  </r>
  <r>
    <s v="APT-202603-0016"/>
    <d v="2026-03-24T00:00:00"/>
    <d v="2026-02-21T00:00:00"/>
    <s v="P0041"/>
    <s v="PMR"/>
    <s v="CAR"/>
    <s v="CL029"/>
    <x v="1"/>
    <x v="2"/>
    <d v="1899-12-30T12:00:00"/>
    <d v="1899-12-30T12:10:00"/>
    <d v="1899-12-30T12:34:00"/>
    <n v="30"/>
    <n v="150"/>
    <s v="No"/>
    <n v="4"/>
    <s v="Routine review"/>
    <s v="appointment_export_2026_03.csv"/>
    <n v="0"/>
    <n v="0"/>
    <x v="3"/>
    <s v="Central"/>
    <s v="Mereana Thompson"/>
    <s v="Regional"/>
    <s v="Mon-Fri 08:30-17:00"/>
    <x v="4"/>
    <n v="28"/>
    <n v="150"/>
    <s v="Specialist outpatient"/>
    <s v="Cardiology Clinician"/>
    <s v="Matched"/>
    <n v="31"/>
    <n v="0"/>
    <n v="24"/>
    <n v="1"/>
    <n v="1"/>
    <n v="0"/>
    <n v="1"/>
    <n v="0"/>
    <s v="Matches Standard"/>
    <x v="3"/>
    <n v="2026"/>
    <n v="3"/>
    <s v="Mar"/>
  </r>
  <r>
    <s v="APT-202603-0017"/>
    <d v="2026-03-20T00:00:00"/>
    <d v="2026-02-27T00:00:00"/>
    <s v="P0050"/>
    <s v="AUC"/>
    <s v="CAR"/>
    <s v="CL009"/>
    <x v="1"/>
    <x v="1"/>
    <d v="1899-12-30T11:00:00"/>
    <d v="1899-12-30T11:10:00"/>
    <d v="1899-12-30T11:18:00"/>
    <n v="20"/>
    <n v="150"/>
    <s v="No"/>
    <n v="3"/>
    <s v="Patient requested appointment"/>
    <s v="appointment_export_2026_03.csv"/>
    <n v="0"/>
    <n v="0"/>
    <x v="2"/>
    <s v="Northern"/>
    <s v="Aroha Rangi"/>
    <s v="Urban"/>
    <s v="Mon-Fri 08:00-18:00"/>
    <x v="4"/>
    <n v="28"/>
    <n v="150"/>
    <s v="Specialist outpatient"/>
    <s v="Cardiology Clinician"/>
    <s v="Matched"/>
    <n v="21"/>
    <n v="1"/>
    <n v="8"/>
    <n v="1"/>
    <n v="1"/>
    <n v="0"/>
    <n v="1"/>
    <n v="0"/>
    <s v="Matches Standard"/>
    <x v="3"/>
    <n v="2026"/>
    <n v="3"/>
    <s v="Mar"/>
  </r>
  <r>
    <s v="APT-202603-0018"/>
    <d v="2026-03-27T00:00:00"/>
    <d v="2026-02-21T00:00:00"/>
    <s v="P0188"/>
    <s v="PMR"/>
    <s v="DIA"/>
    <s v="CL028"/>
    <x v="2"/>
    <x v="0"/>
    <d v="1899-12-30T15:30:00"/>
    <m/>
    <m/>
    <n v="0"/>
    <n v="80"/>
    <s v="Yes"/>
    <m/>
    <s v="Follow-up visit"/>
    <s v="appointment_export_2026_03.csv"/>
    <n v="0"/>
    <n v="0"/>
    <x v="3"/>
    <s v="Central"/>
    <s v="Mereana Thompson"/>
    <s v="Regional"/>
    <s v="Mon-Fri 08:30-17:00"/>
    <x v="3"/>
    <n v="10"/>
    <n v="80"/>
    <s v="Long-term conditions"/>
    <s v="Diabetes Nurse"/>
    <s v="Matched"/>
    <n v="34"/>
    <n v="0"/>
    <m/>
    <m/>
    <n v="1"/>
    <n v="1"/>
    <n v="1"/>
    <n v="0"/>
    <s v="Matches Standard"/>
    <x v="3"/>
    <n v="2026"/>
    <n v="3"/>
    <s v="Mar"/>
  </r>
  <r>
    <s v="APT-202603-0019"/>
    <d v="2026-03-09T00:00:00"/>
    <d v="2026-01-18T00:00:00"/>
    <s v="P0073"/>
    <s v="PMR"/>
    <s v="CAR"/>
    <s v="CL029"/>
    <x v="1"/>
    <x v="2"/>
    <d v="1899-12-30T13:30:00"/>
    <d v="1899-12-30T13:30:00"/>
    <d v="1899-12-30T14:06:00"/>
    <n v="60"/>
    <n v="150"/>
    <s v="No"/>
    <n v="5"/>
    <s v="Care plan review"/>
    <s v="appointment_export_2026_03.csv"/>
    <n v="0"/>
    <n v="0"/>
    <x v="3"/>
    <s v="Central"/>
    <s v="Mereana Thompson"/>
    <s v="Regional"/>
    <s v="Mon-Fri 08:30-17:00"/>
    <x v="4"/>
    <n v="28"/>
    <n v="150"/>
    <s v="Specialist outpatient"/>
    <s v="Cardiology Clinician"/>
    <s v="Matched"/>
    <n v="50"/>
    <n v="0"/>
    <n v="36"/>
    <n v="0"/>
    <n v="1"/>
    <n v="0"/>
    <n v="1"/>
    <n v="0"/>
    <s v="Matches Standard"/>
    <x v="3"/>
    <n v="2026"/>
    <n v="3"/>
    <s v="Mar"/>
  </r>
  <r>
    <s v="APT-202603-0020"/>
    <d v="2026-03-24T00:00:00"/>
    <d v="2026-01-29T00:00:00"/>
    <s v="P0163"/>
    <s v="HAM"/>
    <s v="GEN"/>
    <s v="CL011"/>
    <x v="1"/>
    <x v="3"/>
    <d v="1899-12-30T11:00:00"/>
    <d v="1899-12-30T10:55:00"/>
    <d v="1899-12-30T11:29:00"/>
    <n v="30"/>
    <n v="65"/>
    <s v="No"/>
    <n v="5"/>
    <s v="Patient requested appointment"/>
    <s v="appointment_export_2026_03.csv"/>
    <n v="0"/>
    <n v="0"/>
    <x v="1"/>
    <s v="Midland"/>
    <s v="Daniel Wong"/>
    <s v="Urban"/>
    <s v="Mon-Fri 08:00-17:30"/>
    <x v="1"/>
    <n v="7"/>
    <n v="65"/>
    <s v="Primary care"/>
    <s v="Doctor or Nurse Practitioner"/>
    <s v="Matched"/>
    <n v="54"/>
    <n v="0"/>
    <n v="34"/>
    <n v="0"/>
    <n v="1"/>
    <n v="0"/>
    <n v="1"/>
    <n v="0"/>
    <s v="Matches Standard"/>
    <x v="3"/>
    <n v="2026"/>
    <n v="3"/>
    <s v="Mar"/>
  </r>
  <r>
    <s v="APT-202603-0021"/>
    <d v="2026-03-25T00:00:00"/>
    <d v="2026-03-16T00:00:00"/>
    <s v="P0170"/>
    <s v="PMR"/>
    <s v="MHS"/>
    <s v="CL024"/>
    <x v="1"/>
    <x v="1"/>
    <d v="1899-12-30T11:00:00"/>
    <d v="1899-12-30T11:08:00"/>
    <d v="1899-12-30T11:31:00"/>
    <n v="30"/>
    <n v="120"/>
    <s v="No"/>
    <n v="2"/>
    <s v="Routine review"/>
    <s v="appointment_export_2026_03.csv"/>
    <n v="0"/>
    <n v="0"/>
    <x v="3"/>
    <s v="Central"/>
    <s v="Mereana Thompson"/>
    <s v="Regional"/>
    <s v="Mon-Fri 08:30-17:00"/>
    <x v="2"/>
    <n v="14"/>
    <n v="120"/>
    <s v="Behavioural health"/>
    <s v="Mental Health Clinician"/>
    <s v="Matched"/>
    <n v="9"/>
    <n v="1"/>
    <n v="23"/>
    <n v="1"/>
    <n v="1"/>
    <n v="0"/>
    <n v="1"/>
    <n v="0"/>
    <s v="Matches Standard"/>
    <x v="3"/>
    <n v="2026"/>
    <n v="3"/>
    <s v="Mar"/>
  </r>
  <r>
    <s v="APT-202603-0022"/>
    <d v="2026-03-20T00:00:00"/>
    <d v="2026-03-10T00:00:00"/>
    <s v="P0141"/>
    <s v="AUC"/>
    <s v="CAR"/>
    <s v="CL009"/>
    <x v="1"/>
    <x v="0"/>
    <d v="1899-12-30T16:00:00"/>
    <d v="1899-12-30T16:09:00"/>
    <d v="1899-12-30T16:09:00"/>
    <n v="30"/>
    <n v="150"/>
    <s v="No"/>
    <n v="4"/>
    <s v="Care plan review"/>
    <s v="appointment_export_2026_03.csv"/>
    <n v="0"/>
    <n v="0"/>
    <x v="2"/>
    <s v="Northern"/>
    <s v="Aroha Rangi"/>
    <s v="Urban"/>
    <s v="Mon-Fri 08:00-18:00"/>
    <x v="4"/>
    <n v="28"/>
    <n v="150"/>
    <s v="Specialist outpatient"/>
    <s v="Cardiology Clinician"/>
    <s v="Matched"/>
    <n v="10"/>
    <n v="1"/>
    <n v="0"/>
    <n v="1"/>
    <n v="1"/>
    <n v="0"/>
    <n v="1"/>
    <n v="0"/>
    <s v="Matches Standard"/>
    <x v="3"/>
    <n v="2026"/>
    <n v="3"/>
    <s v="Mar"/>
  </r>
  <r>
    <s v="APT-202603-0023"/>
    <d v="2026-03-14T00:00:00"/>
    <d v="2026-03-03T00:00:00"/>
    <s v="P0064"/>
    <s v="PMR"/>
    <s v="GEN"/>
    <s v="CL022"/>
    <x v="0"/>
    <x v="0"/>
    <d v="1899-12-30T14:30:00"/>
    <m/>
    <m/>
    <n v="0"/>
    <n v="65"/>
    <s v="No"/>
    <m/>
    <s v="Follow-up visit"/>
    <s v="appointment_export_2026_03.csv"/>
    <n v="0"/>
    <n v="0"/>
    <x v="3"/>
    <s v="Central"/>
    <s v="Mereana Thompson"/>
    <s v="Regional"/>
    <s v="Mon-Fri 08:30-17:00"/>
    <x v="1"/>
    <n v="7"/>
    <n v="65"/>
    <s v="Primary care"/>
    <s v="Doctor or Nurse Practitioner"/>
    <s v="Matched"/>
    <n v="11"/>
    <n v="0"/>
    <m/>
    <m/>
    <n v="0"/>
    <m/>
    <n v="1"/>
    <n v="0"/>
    <s v="Matches Standard"/>
    <x v="3"/>
    <n v="2026"/>
    <n v="3"/>
    <s v="Mar"/>
  </r>
  <r>
    <s v="APT-202603-0024"/>
    <d v="2026-03-16T00:00:00"/>
    <d v="2026-01-31T00:00:00"/>
    <s v="P0091"/>
    <s v="HAM"/>
    <s v="GEN"/>
    <s v="CL011"/>
    <x v="1"/>
    <x v="0"/>
    <d v="1899-12-30T08:30:00"/>
    <d v="1899-12-30T08:47:00"/>
    <d v="1899-12-30T09:05:00"/>
    <n v="60"/>
    <n v="65"/>
    <s v="Yes"/>
    <n v="2"/>
    <s v="New referral"/>
    <s v="appointment_export_2026_03.csv"/>
    <n v="0"/>
    <n v="0"/>
    <x v="1"/>
    <s v="Midland"/>
    <s v="Daniel Wong"/>
    <s v="Urban"/>
    <s v="Mon-Fri 08:00-17:30"/>
    <x v="1"/>
    <n v="7"/>
    <n v="65"/>
    <s v="Primary care"/>
    <s v="Doctor or Nurse Practitioner"/>
    <s v="Matched"/>
    <n v="44"/>
    <n v="0"/>
    <n v="18"/>
    <n v="1"/>
    <n v="1"/>
    <n v="0"/>
    <n v="1"/>
    <n v="0"/>
    <s v="Matches Standard"/>
    <x v="3"/>
    <n v="2026"/>
    <n v="3"/>
    <s v="Mar"/>
  </r>
  <r>
    <s v="APT-202603-0025"/>
    <d v="2026-03-08T00:00:00"/>
    <d v="2026-02-19T00:00:00"/>
    <s v="P0094"/>
    <s v="AUC"/>
    <s v="MHS"/>
    <s v="CL003"/>
    <x v="1"/>
    <x v="1"/>
    <d v="1899-12-30T10:30:00"/>
    <d v="1899-12-30T10:36:00"/>
    <d v="1899-12-30T10:49:00"/>
    <n v="30"/>
    <n v="120"/>
    <s v="Yes"/>
    <n v="5"/>
    <s v="Routine review"/>
    <s v="appointment_export_2026_03.csv"/>
    <n v="0"/>
    <n v="0"/>
    <x v="2"/>
    <s v="Northern"/>
    <s v="Aroha Rangi"/>
    <s v="Urban"/>
    <s v="Mon-Fri 08:00-18:00"/>
    <x v="2"/>
    <n v="14"/>
    <n v="120"/>
    <s v="Behavioural health"/>
    <s v="Mental Health Clinician"/>
    <s v="Matched"/>
    <n v="17"/>
    <n v="0"/>
    <n v="13"/>
    <n v="1"/>
    <n v="1"/>
    <n v="0"/>
    <n v="1"/>
    <n v="0"/>
    <s v="Matches Standard"/>
    <x v="3"/>
    <n v="2026"/>
    <n v="3"/>
    <s v="Mar"/>
  </r>
  <r>
    <s v="APT-202603-0026"/>
    <d v="2026-03-12T00:00:00"/>
    <d v="2026-02-13T00:00:00"/>
    <s v="P0062"/>
    <s v="PMR"/>
    <s v="GEN"/>
    <s v="CL021"/>
    <x v="2"/>
    <x v="0"/>
    <d v="1899-12-30T11:30:00"/>
    <m/>
    <m/>
    <n v="0"/>
    <n v="65"/>
    <s v="Yes"/>
    <m/>
    <s v="Follow-up visit"/>
    <s v="appointment_export_2026_03.csv"/>
    <n v="0"/>
    <n v="0"/>
    <x v="3"/>
    <s v="Central"/>
    <s v="Mereana Thompson"/>
    <s v="Regional"/>
    <s v="Mon-Fri 08:30-17:00"/>
    <x v="1"/>
    <n v="7"/>
    <n v="65"/>
    <s v="Primary care"/>
    <s v="Doctor or Nurse Practitioner"/>
    <s v="Matched"/>
    <n v="27"/>
    <n v="0"/>
    <m/>
    <m/>
    <n v="1"/>
    <n v="1"/>
    <n v="1"/>
    <n v="0"/>
    <s v="Matches Standard"/>
    <x v="3"/>
    <n v="2026"/>
    <n v="3"/>
    <s v="Mar"/>
  </r>
  <r>
    <s v="APT-202603-0027"/>
    <d v="2026-03-17T00:00:00"/>
    <d v="2026-02-21T00:00:00"/>
    <s v="P0060"/>
    <s v="AUC"/>
    <s v="PHY"/>
    <s v="CL006"/>
    <x v="1"/>
    <x v="2"/>
    <d v="1899-12-30T11:00:00"/>
    <d v="1899-12-30T11:04:00"/>
    <d v="1899-12-30T11:22:00"/>
    <n v="45"/>
    <n v="95"/>
    <s v="No"/>
    <n v="4"/>
    <s v="Follow-up visit"/>
    <s v="appointment_export_2026_03.csv"/>
    <n v="0"/>
    <n v="0"/>
    <x v="2"/>
    <s v="Northern"/>
    <s v="Aroha Rangi"/>
    <s v="Urban"/>
    <s v="Mon-Fri 08:00-18:00"/>
    <x v="0"/>
    <n v="21"/>
    <n v="95"/>
    <s v="Rehabilitation"/>
    <s v="Physiotherapist"/>
    <s v="Matched"/>
    <n v="24"/>
    <n v="0"/>
    <n v="18"/>
    <n v="1"/>
    <n v="1"/>
    <n v="0"/>
    <n v="1"/>
    <n v="0"/>
    <s v="Matches Standard"/>
    <x v="3"/>
    <n v="2026"/>
    <n v="3"/>
    <s v="Mar"/>
  </r>
  <r>
    <s v="APT-202603-0028"/>
    <d v="2026-03-07T00:00:00"/>
    <d v="2026-02-02T00:00:00"/>
    <s v="P0202"/>
    <s v="AUC"/>
    <s v="PHY"/>
    <s v="CL006"/>
    <x v="1"/>
    <x v="3"/>
    <d v="1899-12-30T16:00:00"/>
    <d v="1899-12-30T16:08:00"/>
    <d v="1899-12-30T16:23:00"/>
    <n v="60"/>
    <n v="95"/>
    <s v="Yes"/>
    <n v="5"/>
    <s v="Routine review"/>
    <s v="appointment_export_2026_03.csv"/>
    <n v="0"/>
    <n v="0"/>
    <x v="2"/>
    <s v="Northern"/>
    <s v="Aroha Rangi"/>
    <s v="Urban"/>
    <s v="Mon-Fri 08:00-18:00"/>
    <x v="0"/>
    <n v="21"/>
    <n v="95"/>
    <s v="Rehabilitation"/>
    <s v="Physiotherapist"/>
    <s v="Matched"/>
    <n v="33"/>
    <n v="0"/>
    <n v="15"/>
    <n v="1"/>
    <n v="1"/>
    <n v="0"/>
    <n v="1"/>
    <n v="0"/>
    <s v="Matches Standard"/>
    <x v="3"/>
    <n v="2026"/>
    <n v="3"/>
    <s v="Mar"/>
  </r>
  <r>
    <s v="APT-202603-0029"/>
    <d v="2026-03-26T00:00:00"/>
    <d v="2026-02-19T00:00:00"/>
    <s v="P0197"/>
    <s v="PMR"/>
    <s v="DIA"/>
    <s v="CL027"/>
    <x v="0"/>
    <x v="1"/>
    <d v="1899-12-30T12:30:00"/>
    <m/>
    <m/>
    <n v="0"/>
    <n v="80"/>
    <s v="No"/>
    <m/>
    <s v="Care plan review"/>
    <s v="appointment_export_2026_03.csv"/>
    <n v="0"/>
    <n v="0"/>
    <x v="3"/>
    <s v="Central"/>
    <s v="Mereana Thompson"/>
    <s v="Regional"/>
    <s v="Mon-Fri 08:30-17:00"/>
    <x v="3"/>
    <n v="10"/>
    <n v="80"/>
    <s v="Long-term conditions"/>
    <s v="Diabetes Nurse"/>
    <s v="Matched"/>
    <n v="35"/>
    <n v="0"/>
    <m/>
    <m/>
    <n v="0"/>
    <m/>
    <n v="1"/>
    <n v="0"/>
    <s v="Matches Standard"/>
    <x v="3"/>
    <n v="2026"/>
    <n v="3"/>
    <s v="Mar"/>
  </r>
  <r>
    <s v="APT-202603-0030"/>
    <d v="2026-03-02T00:00:00"/>
    <d v="2026-02-12T00:00:00"/>
    <s v="P0140"/>
    <s v="HAM"/>
    <s v="GEN"/>
    <s v="CL012"/>
    <x v="1"/>
    <x v="1"/>
    <d v="1899-12-30T08:30:00"/>
    <d v="1899-12-30T08:21:00"/>
    <d v="1899-12-30T08:51:00"/>
    <n v="60"/>
    <n v="65"/>
    <s v="Yes"/>
    <n v="4"/>
    <s v="New referral"/>
    <s v="appointment_export_2026_03.csv"/>
    <n v="0"/>
    <n v="0"/>
    <x v="1"/>
    <s v="Midland"/>
    <s v="Daniel Wong"/>
    <s v="Urban"/>
    <s v="Mon-Fri 08:00-17:30"/>
    <x v="1"/>
    <n v="7"/>
    <n v="65"/>
    <s v="Primary care"/>
    <s v="Doctor or Nurse Practitioner"/>
    <s v="Matched"/>
    <n v="18"/>
    <n v="0"/>
    <n v="30"/>
    <n v="1"/>
    <n v="1"/>
    <n v="0"/>
    <n v="1"/>
    <n v="0"/>
    <s v="Matches Standard"/>
    <x v="3"/>
    <n v="2026"/>
    <n v="3"/>
    <s v="Mar"/>
  </r>
  <r>
    <s v="APT-202603-0031"/>
    <d v="2026-03-04T00:00:00"/>
    <d v="2026-01-31T00:00:00"/>
    <s v="P0159"/>
    <s v="WLG"/>
    <s v="PHY"/>
    <s v="CL035"/>
    <x v="0"/>
    <x v="3"/>
    <d v="1899-12-30T10:00:00"/>
    <m/>
    <m/>
    <n v="0"/>
    <n v="95"/>
    <s v="Yes"/>
    <m/>
    <s v="Care plan review"/>
    <s v="appointment_export_2026_03.csv"/>
    <n v="0"/>
    <n v="0"/>
    <x v="0"/>
    <s v="Central"/>
    <s v="Sophie Martin"/>
    <s v="Urban"/>
    <s v="Mon-Sat 08:00-18:00"/>
    <x v="0"/>
    <n v="21"/>
    <n v="95"/>
    <s v="Rehabilitation"/>
    <s v="Physiotherapist"/>
    <s v="Matched"/>
    <n v="32"/>
    <n v="0"/>
    <m/>
    <m/>
    <n v="0"/>
    <m/>
    <n v="1"/>
    <n v="0"/>
    <s v="Matches Standard"/>
    <x v="3"/>
    <n v="2026"/>
    <n v="3"/>
    <s v="Mar"/>
  </r>
  <r>
    <s v="APT-202603-0032"/>
    <d v="2026-03-02T00:00:00"/>
    <d v="2026-01-27T00:00:00"/>
    <s v="P0203"/>
    <s v="WLG"/>
    <s v="MHS"/>
    <s v="CL033"/>
    <x v="1"/>
    <x v="2"/>
    <d v="1899-12-30T12:30:00"/>
    <d v="1899-12-30T12:40:00"/>
    <d v="1899-12-30T12:57:00"/>
    <n v="30"/>
    <n v="120"/>
    <s v="Yes"/>
    <n v="2"/>
    <s v="Patient requested appointment"/>
    <s v="appointment_export_2026_03.csv"/>
    <n v="0"/>
    <n v="0"/>
    <x v="0"/>
    <s v="Central"/>
    <s v="Sophie Martin"/>
    <s v="Urban"/>
    <s v="Mon-Sat 08:00-18:00"/>
    <x v="2"/>
    <n v="14"/>
    <n v="120"/>
    <s v="Behavioural health"/>
    <s v="Mental Health Clinician"/>
    <s v="Matched"/>
    <n v="34"/>
    <n v="0"/>
    <n v="17"/>
    <n v="1"/>
    <n v="1"/>
    <n v="0"/>
    <n v="1"/>
    <n v="0"/>
    <s v="Matches Standard"/>
    <x v="3"/>
    <n v="2026"/>
    <n v="3"/>
    <s v="Mar"/>
  </r>
  <r>
    <s v="APT-202603-0033"/>
    <d v="2026-03-01T00:00:00"/>
    <d v="2026-02-15T00:00:00"/>
    <s v="P0199"/>
    <s v="PMR"/>
    <s v="DIA"/>
    <s v="CL028"/>
    <x v="1"/>
    <x v="2"/>
    <d v="1899-12-30T10:00:00"/>
    <d v="1899-12-30T10:08:00"/>
    <d v="1899-12-30T10:21:00"/>
    <n v="20"/>
    <n v="80"/>
    <s v="No"/>
    <n v="5"/>
    <s v="Follow-up visit"/>
    <s v="appointment_export_2026_03.csv"/>
    <n v="0"/>
    <n v="0"/>
    <x v="3"/>
    <s v="Central"/>
    <s v="Mereana Thompson"/>
    <s v="Regional"/>
    <s v="Mon-Fri 08:30-17:00"/>
    <x v="3"/>
    <n v="10"/>
    <n v="80"/>
    <s v="Long-term conditions"/>
    <s v="Diabetes Nurse"/>
    <s v="Matched"/>
    <n v="14"/>
    <n v="0"/>
    <n v="13"/>
    <n v="1"/>
    <n v="1"/>
    <n v="0"/>
    <n v="1"/>
    <n v="0"/>
    <s v="Matches Standard"/>
    <x v="3"/>
    <n v="2026"/>
    <n v="3"/>
    <s v="Mar"/>
  </r>
  <r>
    <s v="APT-202603-0034"/>
    <d v="2026-03-02T00:00:00"/>
    <d v="2026-02-27T00:00:00"/>
    <s v="P0009"/>
    <s v="AUC"/>
    <s v="PHY"/>
    <s v="CL006"/>
    <x v="1"/>
    <x v="2"/>
    <d v="1899-12-30T11:00:00"/>
    <d v="1899-12-30T11:17:00"/>
    <d v="1899-12-30T11:05:00"/>
    <n v="60"/>
    <n v="95"/>
    <s v="No"/>
    <n v="4"/>
    <s v="Patient requested appointment"/>
    <s v="appointment_export_2026_03.csv"/>
    <n v="0"/>
    <n v="0"/>
    <x v="2"/>
    <s v="Northern"/>
    <s v="Aroha Rangi"/>
    <s v="Urban"/>
    <s v="Mon-Fri 08:00-18:00"/>
    <x v="0"/>
    <n v="21"/>
    <n v="95"/>
    <s v="Rehabilitation"/>
    <s v="Physiotherapist"/>
    <s v="Matched"/>
    <n v="3"/>
    <n v="1"/>
    <m/>
    <m/>
    <n v="1"/>
    <n v="0"/>
    <n v="1"/>
    <n v="0"/>
    <s v="Matches Standard"/>
    <x v="3"/>
    <n v="2026"/>
    <n v="3"/>
    <s v="Mar"/>
  </r>
  <r>
    <s v="APT-202603-0035"/>
    <d v="2026-03-18T00:00:00"/>
    <d v="2026-02-07T00:00:00"/>
    <s v="P0165"/>
    <s v="AUC"/>
    <s v="GEN"/>
    <s v="CL002"/>
    <x v="1"/>
    <x v="1"/>
    <d v="1899-12-30T10:00:00"/>
    <d v="1899-12-30T10:15:00"/>
    <d v="1899-12-30T10:19:00"/>
    <n v="45"/>
    <n v="65"/>
    <s v="No"/>
    <n v="5"/>
    <s v="Follow-up visit"/>
    <s v="appointment_export_2026_03.csv"/>
    <n v="0"/>
    <n v="0"/>
    <x v="2"/>
    <s v="Northern"/>
    <s v="Aroha Rangi"/>
    <s v="Urban"/>
    <s v="Mon-Fri 08:00-18:00"/>
    <x v="1"/>
    <n v="7"/>
    <n v="65"/>
    <s v="Primary care"/>
    <s v="Doctor or Nurse Practitioner"/>
    <s v="Matched"/>
    <n v="39"/>
    <n v="0"/>
    <n v="4"/>
    <n v="1"/>
    <n v="1"/>
    <n v="0"/>
    <n v="1"/>
    <n v="0"/>
    <s v="Matches Standard"/>
    <x v="3"/>
    <n v="2026"/>
    <n v="3"/>
    <s v="Mar"/>
  </r>
  <r>
    <s v="APT-202603-0036"/>
    <d v="2026-03-19T00:00:00"/>
    <d v="2026-03-15T00:00:00"/>
    <s v="P0093"/>
    <s v="WLG"/>
    <s v="PHY"/>
    <s v="CL035"/>
    <x v="0"/>
    <x v="3"/>
    <d v="1899-12-30T11:30:00"/>
    <m/>
    <m/>
    <n v="0"/>
    <n v="95"/>
    <s v="Yes"/>
    <m/>
    <s v="Routine review"/>
    <s v="appointment_export_2026_03.csv"/>
    <n v="0"/>
    <n v="0"/>
    <x v="0"/>
    <s v="Central"/>
    <s v="Sophie Martin"/>
    <s v="Urban"/>
    <s v="Mon-Sat 08:00-18:00"/>
    <x v="0"/>
    <n v="21"/>
    <n v="95"/>
    <s v="Rehabilitation"/>
    <s v="Physiotherapist"/>
    <s v="Matched"/>
    <n v="4"/>
    <n v="1"/>
    <m/>
    <m/>
    <n v="0"/>
    <m/>
    <n v="1"/>
    <n v="0"/>
    <s v="Matches Standard"/>
    <x v="3"/>
    <n v="2026"/>
    <n v="3"/>
    <s v="Mar"/>
  </r>
  <r>
    <s v="APT-202603-0037"/>
    <d v="2026-03-03T00:00:00"/>
    <d v="2026-02-27T00:00:00"/>
    <s v="P0064"/>
    <s v="PMR"/>
    <s v="MHS"/>
    <s v="CL024"/>
    <x v="1"/>
    <x v="3"/>
    <d v="1899-12-30T13:30:00"/>
    <d v="1899-12-30T13:42:00"/>
    <d v="1899-12-30T14:02:00"/>
    <n v="60"/>
    <n v="120"/>
    <s v="Yes"/>
    <n v="2"/>
    <s v="Routine review"/>
    <s v="appointment_export_2026_03.csv"/>
    <n v="0"/>
    <n v="0"/>
    <x v="3"/>
    <s v="Central"/>
    <s v="Mereana Thompson"/>
    <s v="Regional"/>
    <s v="Mon-Fri 08:30-17:00"/>
    <x v="2"/>
    <n v="14"/>
    <n v="120"/>
    <s v="Behavioural health"/>
    <s v="Mental Health Clinician"/>
    <s v="Matched"/>
    <n v="4"/>
    <n v="1"/>
    <n v="20"/>
    <n v="1"/>
    <n v="1"/>
    <n v="0"/>
    <n v="1"/>
    <n v="0"/>
    <s v="Matches Standard"/>
    <x v="3"/>
    <n v="2026"/>
    <n v="3"/>
    <s v="Mar"/>
  </r>
  <r>
    <s v="APT-202603-0038"/>
    <d v="2026-03-11T00:00:00"/>
    <d v="2026-02-03T00:00:00"/>
    <s v="P0152"/>
    <s v="PMR"/>
    <s v="CAR"/>
    <s v="CL029"/>
    <x v="1"/>
    <x v="3"/>
    <d v="1899-12-30T09:00:00"/>
    <d v="1899-12-30T08:59:00"/>
    <d v="1899-12-30T09:11:00"/>
    <n v="45"/>
    <n v="150"/>
    <s v="No"/>
    <n v="3"/>
    <s v="New referral"/>
    <s v="appointment_export_2026_03.csv"/>
    <n v="0"/>
    <n v="0"/>
    <x v="3"/>
    <s v="Central"/>
    <s v="Mereana Thompson"/>
    <s v="Regional"/>
    <s v="Mon-Fri 08:30-17:00"/>
    <x v="4"/>
    <n v="28"/>
    <n v="150"/>
    <s v="Specialist outpatient"/>
    <s v="Cardiology Clinician"/>
    <s v="Matched"/>
    <n v="36"/>
    <n v="0"/>
    <n v="12"/>
    <n v="1"/>
    <n v="1"/>
    <n v="0"/>
    <n v="1"/>
    <n v="0"/>
    <s v="Matches Standard"/>
    <x v="3"/>
    <n v="2026"/>
    <n v="3"/>
    <s v="Mar"/>
  </r>
  <r>
    <s v="APT-202603-0039"/>
    <d v="2026-03-20T00:00:00"/>
    <d v="2026-02-09T00:00:00"/>
    <s v="P0003"/>
    <s v="PMR"/>
    <s v="DIA"/>
    <s v="CL028"/>
    <x v="0"/>
    <x v="0"/>
    <d v="1899-12-30T08:30:00"/>
    <m/>
    <m/>
    <n v="0"/>
    <n v="80"/>
    <s v="Yes"/>
    <m/>
    <s v="Patient requested appointment"/>
    <s v="appointment_export_2026_03.csv"/>
    <n v="0"/>
    <n v="0"/>
    <x v="3"/>
    <s v="Central"/>
    <s v="Mereana Thompson"/>
    <s v="Regional"/>
    <s v="Mon-Fri 08:30-17:00"/>
    <x v="3"/>
    <n v="10"/>
    <n v="80"/>
    <s v="Long-term conditions"/>
    <s v="Diabetes Nurse"/>
    <s v="Matched"/>
    <n v="39"/>
    <n v="0"/>
    <m/>
    <m/>
    <n v="0"/>
    <m/>
    <n v="1"/>
    <n v="0"/>
    <s v="Matches Standard"/>
    <x v="3"/>
    <n v="2026"/>
    <n v="3"/>
    <s v="Mar"/>
  </r>
  <r>
    <s v="APT-202603-0040"/>
    <d v="2026-03-31T00:00:00"/>
    <d v="2026-03-29T00:00:00"/>
    <s v="P0198"/>
    <s v="AUC"/>
    <s v="DIA"/>
    <s v="CL007"/>
    <x v="1"/>
    <x v="3"/>
    <d v="1899-12-30T10:00:00"/>
    <d v="1899-12-30T10:00:00"/>
    <d v="1899-12-30T10:26:00"/>
    <n v="45"/>
    <n v="80"/>
    <s v="No"/>
    <n v="3"/>
    <s v="New referral"/>
    <s v="appointment_export_2026_03.csv"/>
    <n v="0"/>
    <n v="0"/>
    <x v="2"/>
    <s v="Northern"/>
    <s v="Aroha Rangi"/>
    <s v="Urban"/>
    <s v="Mon-Fri 08:00-18:00"/>
    <x v="3"/>
    <n v="10"/>
    <n v="80"/>
    <s v="Long-term conditions"/>
    <s v="Diabetes Nurse"/>
    <s v="Matched"/>
    <n v="2"/>
    <n v="1"/>
    <n v="26"/>
    <n v="1"/>
    <n v="1"/>
    <n v="0"/>
    <n v="1"/>
    <n v="0"/>
    <s v="Matches Standard"/>
    <x v="3"/>
    <n v="2026"/>
    <n v="3"/>
    <s v="Mar"/>
  </r>
  <r>
    <s v="APT-202603-0041"/>
    <d v="2026-03-03T00:00:00"/>
    <d v="2026-02-22T00:00:00"/>
    <s v="P0193"/>
    <s v="HAM"/>
    <s v="DIA"/>
    <s v="CL018"/>
    <x v="1"/>
    <x v="1"/>
    <d v="1899-12-30T12:30:00"/>
    <d v="1899-12-30T12:27:00"/>
    <d v="1899-12-30T12:54:00"/>
    <n v="20"/>
    <n v="80"/>
    <s v="No"/>
    <n v="4"/>
    <s v="New referral"/>
    <s v="appointment_export_2026_03.csv"/>
    <n v="0"/>
    <n v="0"/>
    <x v="1"/>
    <s v="Midland"/>
    <s v="Daniel Wong"/>
    <s v="Urban"/>
    <s v="Mon-Fri 08:00-17:30"/>
    <x v="3"/>
    <n v="10"/>
    <n v="80"/>
    <s v="Long-term conditions"/>
    <s v="Diabetes Nurse"/>
    <s v="Matched"/>
    <n v="9"/>
    <n v="1"/>
    <n v="27"/>
    <n v="1"/>
    <n v="1"/>
    <n v="0"/>
    <n v="1"/>
    <n v="0"/>
    <s v="Matches Standard"/>
    <x v="3"/>
    <n v="2026"/>
    <n v="3"/>
    <s v="Mar"/>
  </r>
  <r>
    <s v="APT-202603-0042"/>
    <d v="2026-03-31T00:00:00"/>
    <d v="2026-03-30T00:00:00"/>
    <s v="P0205"/>
    <s v="PMR"/>
    <s v="GEN"/>
    <s v="CL021"/>
    <x v="1"/>
    <x v="2"/>
    <d v="1899-12-30T15:30:00"/>
    <d v="1899-12-30T15:40:00"/>
    <d v="1899-12-30T15:31:00"/>
    <n v="30"/>
    <n v="65"/>
    <s v="No"/>
    <n v="2"/>
    <s v="Care plan review"/>
    <s v="appointment_export_2026_03.csv"/>
    <n v="0"/>
    <n v="0"/>
    <x v="3"/>
    <s v="Central"/>
    <s v="Mereana Thompson"/>
    <s v="Regional"/>
    <s v="Mon-Fri 08:30-17:00"/>
    <x v="1"/>
    <n v="7"/>
    <n v="65"/>
    <s v="Primary care"/>
    <s v="Doctor or Nurse Practitioner"/>
    <s v="Matched"/>
    <n v="1"/>
    <n v="1"/>
    <m/>
    <m/>
    <n v="1"/>
    <n v="0"/>
    <n v="1"/>
    <n v="0"/>
    <s v="Matches Standard"/>
    <x v="3"/>
    <n v="2026"/>
    <n v="3"/>
    <s v="Mar"/>
  </r>
  <r>
    <s v="APT-202603-0043"/>
    <d v="2026-03-01T00:00:00"/>
    <d v="2026-02-05T00:00:00"/>
    <s v="P0232"/>
    <s v="PMR"/>
    <s v="GEN"/>
    <s v="CL021"/>
    <x v="1"/>
    <x v="1"/>
    <d v="1899-12-30T11:30:00"/>
    <d v="1899-12-30T11:47:00"/>
    <d v="1899-12-30T12:09:00"/>
    <n v="20"/>
    <n v="65"/>
    <s v="No"/>
    <n v="5"/>
    <s v="Follow-up visit"/>
    <s v="appointment_export_2026_03.csv"/>
    <n v="0"/>
    <n v="0"/>
    <x v="3"/>
    <s v="Central"/>
    <s v="Mereana Thompson"/>
    <s v="Regional"/>
    <s v="Mon-Fri 08:30-17:00"/>
    <x v="1"/>
    <n v="7"/>
    <n v="65"/>
    <s v="Primary care"/>
    <s v="Doctor or Nurse Practitioner"/>
    <s v="Matched"/>
    <n v="24"/>
    <n v="0"/>
    <n v="22"/>
    <n v="1"/>
    <n v="1"/>
    <n v="0"/>
    <n v="1"/>
    <n v="0"/>
    <s v="Matches Standard"/>
    <x v="3"/>
    <n v="2026"/>
    <n v="3"/>
    <s v="Mar"/>
  </r>
  <r>
    <s v="APT-202603-0044"/>
    <d v="2026-03-12T00:00:00"/>
    <d v="2026-02-27T00:00:00"/>
    <s v="P0070"/>
    <s v="WLG"/>
    <s v="DIA"/>
    <s v="CL038"/>
    <x v="1"/>
    <x v="1"/>
    <d v="1899-12-30T10:30:00"/>
    <d v="1899-12-30T10:31:00"/>
    <d v="1899-12-30T10:48:00"/>
    <n v="60"/>
    <n v="80"/>
    <s v="Yes"/>
    <n v="5"/>
    <s v="Care plan review"/>
    <s v="appointment_export_2026_03.csv"/>
    <n v="0"/>
    <n v="0"/>
    <x v="0"/>
    <s v="Central"/>
    <s v="Sophie Martin"/>
    <s v="Urban"/>
    <s v="Mon-Sat 08:00-18:00"/>
    <x v="3"/>
    <n v="10"/>
    <n v="80"/>
    <s v="Long-term conditions"/>
    <s v="Diabetes Nurse"/>
    <s v="Matched"/>
    <n v="13"/>
    <n v="0"/>
    <n v="17"/>
    <n v="1"/>
    <n v="1"/>
    <n v="0"/>
    <n v="1"/>
    <n v="0"/>
    <s v="Matches Standard"/>
    <x v="3"/>
    <n v="2026"/>
    <n v="3"/>
    <s v="Mar"/>
  </r>
  <r>
    <s v="APT-202603-0045"/>
    <d v="2026-03-03T00:00:00"/>
    <d v="2026-03-01T00:00:00"/>
    <s v="P0063"/>
    <s v="PMR"/>
    <s v="PHY"/>
    <s v="CL025"/>
    <x v="1"/>
    <x v="1"/>
    <d v="1899-12-30T13:00:00"/>
    <d v="1899-12-30T12:58:00"/>
    <d v="1899-12-30T13:02:00"/>
    <n v="60"/>
    <n v="95"/>
    <s v="Yes"/>
    <n v="3"/>
    <s v="Follow-up visit"/>
    <s v="appointment_export_2026_03.csv"/>
    <n v="0"/>
    <n v="0"/>
    <x v="3"/>
    <s v="Central"/>
    <s v="Mereana Thompson"/>
    <s v="Regional"/>
    <s v="Mon-Fri 08:30-17:00"/>
    <x v="0"/>
    <n v="21"/>
    <n v="95"/>
    <s v="Rehabilitation"/>
    <s v="Physiotherapist"/>
    <s v="Matched"/>
    <n v="2"/>
    <n v="1"/>
    <n v="4"/>
    <n v="1"/>
    <n v="1"/>
    <n v="0"/>
    <n v="1"/>
    <n v="0"/>
    <s v="Matches Standard"/>
    <x v="3"/>
    <n v="2026"/>
    <n v="3"/>
    <s v="Mar"/>
  </r>
  <r>
    <s v="APT-202603-0046"/>
    <d v="2026-03-25T00:00:00"/>
    <d v="2026-03-07T00:00:00"/>
    <s v="P0067"/>
    <s v="HAM"/>
    <s v="DIA"/>
    <s v="CL018"/>
    <x v="2"/>
    <x v="1"/>
    <d v="1899-12-30T11:30:00"/>
    <m/>
    <m/>
    <n v="0"/>
    <n v="80"/>
    <s v="No"/>
    <m/>
    <s v="Routine review"/>
    <s v="appointment_export_2026_03.csv"/>
    <n v="0"/>
    <n v="0"/>
    <x v="1"/>
    <s v="Midland"/>
    <s v="Daniel Wong"/>
    <s v="Urban"/>
    <s v="Mon-Fri 08:00-17:30"/>
    <x v="3"/>
    <n v="10"/>
    <n v="80"/>
    <s v="Long-term conditions"/>
    <s v="Diabetes Nurse"/>
    <s v="Matched"/>
    <n v="18"/>
    <n v="0"/>
    <m/>
    <m/>
    <n v="1"/>
    <n v="1"/>
    <n v="1"/>
    <n v="0"/>
    <s v="Matches Standard"/>
    <x v="3"/>
    <n v="2026"/>
    <n v="3"/>
    <s v="Mar"/>
  </r>
  <r>
    <s v="APT-202603-0047"/>
    <d v="2026-03-30T00:00:00"/>
    <d v="2026-02-09T00:00:00"/>
    <s v="P0071"/>
    <s v="AUC"/>
    <s v="DIA"/>
    <s v="CL008"/>
    <x v="2"/>
    <x v="0"/>
    <d v="1899-12-30T11:00:00"/>
    <m/>
    <m/>
    <n v="0"/>
    <n v="80"/>
    <s v="No"/>
    <m/>
    <s v="Patient requested appointment"/>
    <s v="appointment_export_2026_03.csv"/>
    <n v="0"/>
    <n v="0"/>
    <x v="2"/>
    <s v="Northern"/>
    <s v="Aroha Rangi"/>
    <s v="Urban"/>
    <s v="Mon-Fri 08:00-18:00"/>
    <x v="3"/>
    <n v="10"/>
    <n v="80"/>
    <s v="Long-term conditions"/>
    <s v="Diabetes Nurse"/>
    <s v="Matched"/>
    <n v="49"/>
    <n v="0"/>
    <m/>
    <m/>
    <n v="1"/>
    <n v="1"/>
    <n v="1"/>
    <n v="0"/>
    <s v="Matches Standard"/>
    <x v="3"/>
    <n v="2026"/>
    <n v="3"/>
    <s v="Mar"/>
  </r>
  <r>
    <s v="APT-202603-0048"/>
    <d v="2026-03-14T00:00:00"/>
    <d v="2026-01-21T00:00:00"/>
    <s v="P0076"/>
    <s v="WLG"/>
    <s v="GEN"/>
    <s v="CL031"/>
    <x v="1"/>
    <x v="1"/>
    <d v="1899-12-30T09:00:00"/>
    <d v="1899-12-30T08:55:00"/>
    <d v="1899-12-30T09:06:00"/>
    <n v="30"/>
    <n v="65"/>
    <s v="No"/>
    <n v="2"/>
    <s v="Follow-up visit"/>
    <s v="appointment_export_2026_03.csv"/>
    <n v="0"/>
    <n v="0"/>
    <x v="0"/>
    <s v="Central"/>
    <s v="Sophie Martin"/>
    <s v="Urban"/>
    <s v="Mon-Sat 08:00-18:00"/>
    <x v="1"/>
    <n v="7"/>
    <n v="65"/>
    <s v="Primary care"/>
    <s v="Doctor or Nurse Practitioner"/>
    <s v="Matched"/>
    <n v="52"/>
    <n v="0"/>
    <n v="11"/>
    <n v="1"/>
    <n v="1"/>
    <n v="0"/>
    <n v="1"/>
    <n v="0"/>
    <s v="Matches Standard"/>
    <x v="3"/>
    <n v="2026"/>
    <n v="3"/>
    <s v="Mar"/>
  </r>
  <r>
    <s v="APT-202603-0049"/>
    <d v="2026-03-12T00:00:00"/>
    <d v="2026-01-18T00:00:00"/>
    <s v="P0054"/>
    <s v="WLG"/>
    <s v="GEN"/>
    <s v="CL032"/>
    <x v="1"/>
    <x v="0"/>
    <d v="1899-12-30T08:30:00"/>
    <d v="1899-12-30T08:22:00"/>
    <d v="1899-12-30T08:54:00"/>
    <n v="20"/>
    <n v="65"/>
    <s v="Yes"/>
    <n v="4"/>
    <s v="New referral"/>
    <s v="appointment_export_2026_03.csv"/>
    <n v="0"/>
    <n v="0"/>
    <x v="0"/>
    <s v="Central"/>
    <s v="Sophie Martin"/>
    <s v="Urban"/>
    <s v="Mon-Sat 08:00-18:00"/>
    <x v="1"/>
    <n v="7"/>
    <n v="65"/>
    <s v="Primary care"/>
    <s v="Doctor or Nurse Practitioner"/>
    <s v="Matched"/>
    <n v="53"/>
    <n v="0"/>
    <n v="32"/>
    <n v="0"/>
    <n v="1"/>
    <n v="0"/>
    <n v="1"/>
    <n v="0"/>
    <s v="Matches Standard"/>
    <x v="3"/>
    <n v="2026"/>
    <n v="3"/>
    <s v="Mar"/>
  </r>
  <r>
    <s v="APT-202603-0050"/>
    <d v="2026-03-13T00:00:00"/>
    <d v="2026-01-30T00:00:00"/>
    <s v="P0014"/>
    <s v="PMR"/>
    <s v="CAR"/>
    <s v="CL030"/>
    <x v="0"/>
    <x v="1"/>
    <d v="1899-12-30T12:30:00"/>
    <m/>
    <m/>
    <n v="0"/>
    <n v="150"/>
    <s v="No"/>
    <m/>
    <s v="Patient requested appointment"/>
    <s v="appointment_export_2026_03.csv"/>
    <n v="0"/>
    <n v="0"/>
    <x v="3"/>
    <s v="Central"/>
    <s v="Mereana Thompson"/>
    <s v="Regional"/>
    <s v="Mon-Fri 08:30-17:00"/>
    <x v="4"/>
    <n v="28"/>
    <n v="150"/>
    <s v="Specialist outpatient"/>
    <s v="Cardiology Clinician"/>
    <s v="Matched"/>
    <n v="42"/>
    <n v="0"/>
    <m/>
    <m/>
    <n v="0"/>
    <m/>
    <n v="1"/>
    <n v="0"/>
    <s v="Matches Standard"/>
    <x v="3"/>
    <n v="2026"/>
    <n v="3"/>
    <s v="Mar"/>
  </r>
  <r>
    <s v="APT-202603-0051"/>
    <d v="2026-03-26T00:00:00"/>
    <d v="2026-02-13T00:00:00"/>
    <s v="P0046"/>
    <s v="HAM"/>
    <s v="CAR"/>
    <s v="CL019"/>
    <x v="2"/>
    <x v="0"/>
    <d v="1899-12-30T12:30:00"/>
    <m/>
    <m/>
    <n v="0"/>
    <n v="150"/>
    <s v="Yes"/>
    <m/>
    <s v="Care plan review"/>
    <s v="appointment_export_2026_03.csv"/>
    <n v="0"/>
    <n v="0"/>
    <x v="1"/>
    <s v="Midland"/>
    <s v="Daniel Wong"/>
    <s v="Urban"/>
    <s v="Mon-Fri 08:00-17:30"/>
    <x v="4"/>
    <n v="28"/>
    <n v="150"/>
    <s v="Specialist outpatient"/>
    <s v="Cardiology Clinician"/>
    <s v="Matched"/>
    <n v="41"/>
    <n v="0"/>
    <m/>
    <m/>
    <n v="1"/>
    <n v="1"/>
    <n v="1"/>
    <n v="0"/>
    <s v="Matches Standard"/>
    <x v="3"/>
    <n v="2026"/>
    <n v="3"/>
    <s v="Mar"/>
  </r>
  <r>
    <s v="APT-202603-0052"/>
    <d v="2026-03-26T00:00:00"/>
    <d v="2026-02-08T00:00:00"/>
    <s v="P0079"/>
    <s v="AUC"/>
    <s v="MHS"/>
    <s v="CL003"/>
    <x v="1"/>
    <x v="2"/>
    <d v="1899-12-30T08:00:00"/>
    <d v="1899-12-30T07:50:00"/>
    <d v="1899-12-30T08:24:00"/>
    <n v="45"/>
    <n v="120"/>
    <s v="No"/>
    <n v="2"/>
    <s v="Care plan review"/>
    <s v="appointment_export_2026_03.csv"/>
    <n v="0"/>
    <n v="0"/>
    <x v="2"/>
    <s v="Northern"/>
    <s v="Aroha Rangi"/>
    <s v="Urban"/>
    <s v="Mon-Fri 08:00-18:00"/>
    <x v="2"/>
    <n v="14"/>
    <n v="120"/>
    <s v="Behavioural health"/>
    <s v="Mental Health Clinician"/>
    <s v="Matched"/>
    <n v="46"/>
    <n v="0"/>
    <n v="34"/>
    <n v="0"/>
    <n v="1"/>
    <n v="0"/>
    <n v="1"/>
    <n v="0"/>
    <s v="Matches Standard"/>
    <x v="3"/>
    <n v="2026"/>
    <n v="3"/>
    <s v="Mar"/>
  </r>
  <r>
    <s v="APT-202603-0053"/>
    <d v="2026-03-16T00:00:00"/>
    <d v="2026-03-14T00:00:00"/>
    <s v="P0168"/>
    <s v="HAM"/>
    <s v="PHY"/>
    <s v="CL016"/>
    <x v="1"/>
    <x v="0"/>
    <d v="1899-12-30T10:00:00"/>
    <d v="1899-12-30T10:10:00"/>
    <d v="1899-12-30T10:03:00"/>
    <n v="60"/>
    <n v="95"/>
    <s v="No"/>
    <n v="4"/>
    <s v="Care plan review"/>
    <s v="appointment_export_2026_03.csv"/>
    <n v="0"/>
    <n v="0"/>
    <x v="1"/>
    <s v="Midland"/>
    <s v="Daniel Wong"/>
    <s v="Urban"/>
    <s v="Mon-Fri 08:00-17:30"/>
    <x v="0"/>
    <n v="21"/>
    <n v="95"/>
    <s v="Rehabilitation"/>
    <s v="Physiotherapist"/>
    <s v="Matched"/>
    <n v="2"/>
    <n v="1"/>
    <m/>
    <m/>
    <n v="1"/>
    <n v="0"/>
    <n v="1"/>
    <n v="0"/>
    <s v="Matches Standard"/>
    <x v="3"/>
    <n v="2026"/>
    <n v="3"/>
    <s v="Mar"/>
  </r>
  <r>
    <s v="APT-202603-0054"/>
    <d v="2026-03-09T00:00:00"/>
    <d v="2026-03-06T00:00:00"/>
    <s v="P0200"/>
    <s v="AUC"/>
    <s v="GEN"/>
    <s v="CL001"/>
    <x v="1"/>
    <x v="1"/>
    <d v="1899-12-30T12:00:00"/>
    <d v="1899-12-30T12:16:00"/>
    <d v="1899-12-30T12:07:00"/>
    <n v="20"/>
    <n v="65"/>
    <s v="Yes"/>
    <n v="2"/>
    <s v="Follow-up visit"/>
    <s v="appointment_export_2026_03.csv"/>
    <n v="0"/>
    <n v="0"/>
    <x v="2"/>
    <s v="Northern"/>
    <s v="Aroha Rangi"/>
    <s v="Urban"/>
    <s v="Mon-Fri 08:00-18:00"/>
    <x v="1"/>
    <n v="7"/>
    <n v="65"/>
    <s v="Primary care"/>
    <s v="Doctor or Nurse Practitioner"/>
    <s v="Matched"/>
    <n v="3"/>
    <n v="1"/>
    <m/>
    <m/>
    <n v="1"/>
    <n v="0"/>
    <n v="1"/>
    <n v="0"/>
    <s v="Matches Standard"/>
    <x v="3"/>
    <n v="2026"/>
    <n v="3"/>
    <s v="Mar"/>
  </r>
  <r>
    <s v="APT-202603-0055"/>
    <d v="2026-03-27T00:00:00"/>
    <d v="2026-03-14T00:00:00"/>
    <s v="P0233"/>
    <s v="PMR"/>
    <s v="PHY"/>
    <s v="CL025"/>
    <x v="0"/>
    <x v="3"/>
    <d v="1899-12-30T09:30:00"/>
    <m/>
    <m/>
    <n v="0"/>
    <n v="95"/>
    <s v="Yes"/>
    <m/>
    <s v="New referral"/>
    <s v="appointment_export_2026_03.csv"/>
    <n v="0"/>
    <n v="0"/>
    <x v="3"/>
    <s v="Central"/>
    <s v="Mereana Thompson"/>
    <s v="Regional"/>
    <s v="Mon-Fri 08:30-17:00"/>
    <x v="0"/>
    <n v="21"/>
    <n v="95"/>
    <s v="Rehabilitation"/>
    <s v="Physiotherapist"/>
    <s v="Matched"/>
    <n v="13"/>
    <n v="1"/>
    <m/>
    <m/>
    <n v="0"/>
    <m/>
    <n v="1"/>
    <n v="0"/>
    <s v="Matches Standard"/>
    <x v="3"/>
    <n v="2026"/>
    <n v="3"/>
    <s v="Mar"/>
  </r>
  <r>
    <s v="APT-202603-0056"/>
    <d v="2026-03-25T00:00:00"/>
    <d v="2026-02-21T00:00:00"/>
    <s v="P0145"/>
    <s v="PMR"/>
    <s v="DIA"/>
    <s v="CL028"/>
    <x v="0"/>
    <x v="2"/>
    <d v="1899-12-30T09:30:00"/>
    <m/>
    <m/>
    <n v="0"/>
    <n v="80"/>
    <s v="Yes"/>
    <m/>
    <s v="Care plan review"/>
    <s v="appointment_export_2026_03.csv"/>
    <n v="0"/>
    <n v="0"/>
    <x v="3"/>
    <s v="Central"/>
    <s v="Mereana Thompson"/>
    <s v="Regional"/>
    <s v="Mon-Fri 08:30-17:00"/>
    <x v="3"/>
    <n v="10"/>
    <n v="80"/>
    <s v="Long-term conditions"/>
    <s v="Diabetes Nurse"/>
    <s v="Matched"/>
    <n v="32"/>
    <n v="0"/>
    <m/>
    <m/>
    <n v="0"/>
    <m/>
    <n v="1"/>
    <n v="0"/>
    <s v="Matches Standard"/>
    <x v="3"/>
    <n v="2026"/>
    <n v="3"/>
    <s v="Mar"/>
  </r>
  <r>
    <s v="APT-202603-0057"/>
    <d v="2026-03-01T00:00:00"/>
    <d v="2026-02-07T00:00:00"/>
    <s v="P0037"/>
    <s v="AUC"/>
    <s v="CAR"/>
    <s v="CL009"/>
    <x v="1"/>
    <x v="1"/>
    <d v="1899-12-30T10:30:00"/>
    <d v="1899-12-30T10:21:00"/>
    <d v="1899-12-30T10:31:00"/>
    <n v="30"/>
    <n v="150"/>
    <s v="Yes"/>
    <n v="4"/>
    <s v="Patient requested appointment"/>
    <s v="appointment_export_2026_03.csv"/>
    <n v="0"/>
    <n v="0"/>
    <x v="2"/>
    <s v="Northern"/>
    <s v="Aroha Rangi"/>
    <s v="Urban"/>
    <s v="Mon-Fri 08:00-18:00"/>
    <x v="4"/>
    <n v="28"/>
    <n v="150"/>
    <s v="Specialist outpatient"/>
    <s v="Cardiology Clinician"/>
    <s v="Matched"/>
    <n v="22"/>
    <n v="1"/>
    <n v="10"/>
    <n v="1"/>
    <n v="1"/>
    <n v="0"/>
    <n v="1"/>
    <n v="0"/>
    <s v="Matches Standard"/>
    <x v="3"/>
    <n v="2026"/>
    <n v="3"/>
    <s v="Mar"/>
  </r>
  <r>
    <s v="APT-202603-0058"/>
    <d v="2026-03-27T00:00:00"/>
    <d v="2026-02-26T00:00:00"/>
    <s v="P0078"/>
    <s v="HAM"/>
    <s v="MHS"/>
    <s v="CL014"/>
    <x v="1"/>
    <x v="1"/>
    <d v="1899-12-30T09:30:00"/>
    <d v="1899-12-30T09:44:00"/>
    <d v="1899-12-30T09:31:00"/>
    <n v="30"/>
    <n v="120"/>
    <s v="Yes"/>
    <n v="2"/>
    <s v="Patient requested appointment"/>
    <s v="appointment_export_2026_03.csv"/>
    <n v="0"/>
    <n v="0"/>
    <x v="1"/>
    <s v="Midland"/>
    <s v="Daniel Wong"/>
    <s v="Urban"/>
    <s v="Mon-Fri 08:00-17:30"/>
    <x v="2"/>
    <n v="14"/>
    <n v="120"/>
    <s v="Behavioural health"/>
    <s v="Mental Health Clinician"/>
    <s v="Matched"/>
    <n v="29"/>
    <n v="0"/>
    <m/>
    <m/>
    <n v="1"/>
    <n v="0"/>
    <n v="1"/>
    <n v="0"/>
    <s v="Matches Standard"/>
    <x v="3"/>
    <n v="2026"/>
    <n v="3"/>
    <s v="Mar"/>
  </r>
  <r>
    <s v="APT-202603-0059"/>
    <d v="2026-03-02T00:00:00"/>
    <d v="2026-02-08T00:00:00"/>
    <s v="P0143"/>
    <s v="PMR"/>
    <s v="DIA"/>
    <s v="CL028"/>
    <x v="1"/>
    <x v="3"/>
    <d v="1899-12-30T16:00:00"/>
    <d v="1899-12-30T15:51:00"/>
    <d v="1899-12-30T16:10:00"/>
    <n v="30"/>
    <n v="80"/>
    <s v="No"/>
    <n v="4"/>
    <s v="Follow-up visit"/>
    <s v="appointment_export_2026_03.csv"/>
    <n v="0"/>
    <n v="0"/>
    <x v="3"/>
    <s v="Central"/>
    <s v="Mereana Thompson"/>
    <s v="Regional"/>
    <s v="Mon-Fri 08:30-17:00"/>
    <x v="3"/>
    <n v="10"/>
    <n v="80"/>
    <s v="Long-term conditions"/>
    <s v="Diabetes Nurse"/>
    <s v="Matched"/>
    <n v="22"/>
    <n v="0"/>
    <n v="19"/>
    <n v="1"/>
    <n v="1"/>
    <n v="0"/>
    <n v="1"/>
    <n v="0"/>
    <s v="Matches Standard"/>
    <x v="3"/>
    <n v="2026"/>
    <n v="3"/>
    <s v="Mar"/>
  </r>
  <r>
    <s v="APT-202603-0060"/>
    <d v="2026-03-30T00:00:00"/>
    <d v="2026-02-14T00:00:00"/>
    <s v="P0084"/>
    <s v="HAM"/>
    <s v="MHS"/>
    <s v="CL013"/>
    <x v="1"/>
    <x v="1"/>
    <d v="1899-12-30T13:00:00"/>
    <d v="1899-12-30T13:15:00"/>
    <d v="1899-12-30T13:33:00"/>
    <n v="60"/>
    <n v="120"/>
    <s v="Yes"/>
    <n v="4"/>
    <s v="Routine review"/>
    <s v="appointment_export_2026_03.csv"/>
    <n v="0"/>
    <n v="0"/>
    <x v="1"/>
    <s v="Midland"/>
    <s v="Daniel Wong"/>
    <s v="Urban"/>
    <s v="Mon-Fri 08:00-17:30"/>
    <x v="2"/>
    <n v="14"/>
    <n v="120"/>
    <s v="Behavioural health"/>
    <s v="Mental Health Clinician"/>
    <s v="Matched"/>
    <n v="44"/>
    <n v="0"/>
    <n v="18"/>
    <n v="1"/>
    <n v="1"/>
    <n v="0"/>
    <n v="1"/>
    <n v="0"/>
    <s v="Matches Standard"/>
    <x v="3"/>
    <n v="2026"/>
    <n v="3"/>
    <s v="Mar"/>
  </r>
  <r>
    <s v="APT-202603-0061"/>
    <d v="2026-03-29T00:00:00"/>
    <d v="2026-02-24T00:00:00"/>
    <s v="P0180"/>
    <s v="WLG"/>
    <s v="CAR"/>
    <s v="CL040"/>
    <x v="1"/>
    <x v="0"/>
    <d v="1899-12-30T08:30:00"/>
    <d v="1899-12-30T08:24:00"/>
    <d v="1899-12-30T08:30:00"/>
    <n v="30"/>
    <n v="150"/>
    <s v="No"/>
    <n v="3"/>
    <s v="Care plan review"/>
    <s v="appointment_export_2026_03.csv"/>
    <n v="0"/>
    <n v="0"/>
    <x v="0"/>
    <s v="Central"/>
    <s v="Sophie Martin"/>
    <s v="Urban"/>
    <s v="Mon-Sat 08:00-18:00"/>
    <x v="4"/>
    <n v="28"/>
    <n v="150"/>
    <s v="Specialist outpatient"/>
    <s v="Cardiology Clinician"/>
    <s v="Matched"/>
    <n v="33"/>
    <n v="0"/>
    <n v="6"/>
    <n v="1"/>
    <n v="1"/>
    <n v="0"/>
    <n v="1"/>
    <n v="0"/>
    <s v="Matches Standard"/>
    <x v="3"/>
    <n v="2026"/>
    <n v="3"/>
    <s v="Mar"/>
  </r>
  <r>
    <s v="APT-202603-0062"/>
    <d v="2026-03-26T00:00:00"/>
    <d v="2026-03-10T00:00:00"/>
    <s v="P0123"/>
    <s v="HAM"/>
    <s v="MHS"/>
    <s v="CL013"/>
    <x v="2"/>
    <x v="2"/>
    <d v="1899-12-30T13:30:00"/>
    <d v="1899-12-30T13:35:00"/>
    <d v="1899-12-30T14:00:00"/>
    <n v="60"/>
    <n v="120"/>
    <s v="No"/>
    <n v="5"/>
    <s v="Routine review"/>
    <s v="appointment_export_2026_03.csv"/>
    <n v="0"/>
    <n v="0"/>
    <x v="1"/>
    <s v="Midland"/>
    <s v="Daniel Wong"/>
    <s v="Urban"/>
    <s v="Mon-Fri 08:00-17:30"/>
    <x v="2"/>
    <n v="14"/>
    <n v="120"/>
    <s v="Behavioural health"/>
    <s v="Mental Health Clinician"/>
    <s v="Matched"/>
    <n v="16"/>
    <n v="0"/>
    <m/>
    <m/>
    <n v="1"/>
    <n v="1"/>
    <n v="1"/>
    <n v="0"/>
    <s v="Matches Standard"/>
    <x v="3"/>
    <n v="2026"/>
    <n v="3"/>
    <s v="Mar"/>
  </r>
  <r>
    <s v="APT-202603-0063"/>
    <d v="2026-03-10T00:00:00"/>
    <d v="2026-01-23T00:00:00"/>
    <s v="P0031"/>
    <s v="PMR"/>
    <s v="CAR"/>
    <s v="CL030"/>
    <x v="1"/>
    <x v="0"/>
    <d v="1899-12-30T13:00:00"/>
    <d v="1899-12-30T13:16:00"/>
    <d v="1899-12-30T13:38:00"/>
    <n v="30"/>
    <n v="150"/>
    <s v="No"/>
    <n v="5"/>
    <s v="Follow-up visit"/>
    <s v="appointment_export_2026_03.csv"/>
    <n v="0"/>
    <n v="0"/>
    <x v="3"/>
    <s v="Central"/>
    <s v="Mereana Thompson"/>
    <s v="Regional"/>
    <s v="Mon-Fri 08:30-17:00"/>
    <x v="4"/>
    <n v="28"/>
    <n v="150"/>
    <s v="Specialist outpatient"/>
    <s v="Cardiology Clinician"/>
    <s v="Matched"/>
    <n v="46"/>
    <n v="0"/>
    <n v="22"/>
    <n v="1"/>
    <n v="1"/>
    <n v="0"/>
    <n v="1"/>
    <n v="0"/>
    <s v="Matches Standard"/>
    <x v="3"/>
    <n v="2026"/>
    <n v="3"/>
    <s v="Mar"/>
  </r>
  <r>
    <s v="APT-202603-0064"/>
    <d v="2026-03-28T00:00:00"/>
    <d v="2026-02-12T00:00:00"/>
    <s v="P0184"/>
    <s v="WLG"/>
    <s v="GEN"/>
    <s v="CL031"/>
    <x v="2"/>
    <x v="1"/>
    <d v="1899-12-30T11:30:00"/>
    <m/>
    <m/>
    <n v="0"/>
    <n v="65"/>
    <s v="No"/>
    <m/>
    <s v="Routine review"/>
    <s v="appointment_export_2026_03.csv"/>
    <n v="0"/>
    <n v="0"/>
    <x v="0"/>
    <s v="Central"/>
    <s v="Sophie Martin"/>
    <s v="Urban"/>
    <s v="Mon-Sat 08:00-18:00"/>
    <x v="1"/>
    <n v="7"/>
    <n v="65"/>
    <s v="Primary care"/>
    <s v="Doctor or Nurse Practitioner"/>
    <s v="Matched"/>
    <n v="44"/>
    <n v="0"/>
    <m/>
    <m/>
    <n v="1"/>
    <n v="1"/>
    <n v="1"/>
    <n v="0"/>
    <s v="Matches Standard"/>
    <x v="3"/>
    <n v="2026"/>
    <n v="3"/>
    <s v="Mar"/>
  </r>
  <r>
    <s v="APT-202603-0065"/>
    <d v="2026-03-22T00:00:00"/>
    <d v="2026-02-11T00:00:00"/>
    <s v="P0209"/>
    <s v="WLG"/>
    <s v="MHS"/>
    <s v="CL033"/>
    <x v="1"/>
    <x v="3"/>
    <d v="1899-12-30T13:30:00"/>
    <d v="1899-12-30T13:45:00"/>
    <d v="1899-12-30T14:01:00"/>
    <n v="60"/>
    <n v="120"/>
    <s v="No"/>
    <n v="4"/>
    <s v="New referral"/>
    <s v="appointment_export_2026_03.csv"/>
    <n v="0"/>
    <n v="0"/>
    <x v="0"/>
    <s v="Central"/>
    <s v="Sophie Martin"/>
    <s v="Urban"/>
    <s v="Mon-Sat 08:00-18:00"/>
    <x v="2"/>
    <n v="14"/>
    <n v="120"/>
    <s v="Behavioural health"/>
    <s v="Mental Health Clinician"/>
    <s v="Matched"/>
    <n v="39"/>
    <n v="0"/>
    <n v="16"/>
    <n v="1"/>
    <n v="1"/>
    <n v="0"/>
    <n v="1"/>
    <n v="0"/>
    <s v="Matches Standard"/>
    <x v="3"/>
    <n v="2026"/>
    <n v="3"/>
    <s v="Mar"/>
  </r>
  <r>
    <s v="APT-202603-0066"/>
    <d v="2026-03-09T00:00:00"/>
    <d v="2026-02-07T00:00:00"/>
    <s v="P0198"/>
    <s v="PMR"/>
    <s v="GEN"/>
    <s v="CL022"/>
    <x v="1"/>
    <x v="1"/>
    <d v="1899-12-30T08:30:00"/>
    <d v="1899-12-30T08:31:00"/>
    <d v="1899-12-30T09:10:00"/>
    <n v="30"/>
    <n v="65"/>
    <s v="Yes"/>
    <n v="4"/>
    <s v="Routine review"/>
    <s v="appointment_export_2026_03.csv"/>
    <n v="0"/>
    <n v="0"/>
    <x v="3"/>
    <s v="Central"/>
    <s v="Mereana Thompson"/>
    <s v="Regional"/>
    <s v="Mon-Fri 08:30-17:00"/>
    <x v="1"/>
    <n v="7"/>
    <n v="65"/>
    <s v="Primary care"/>
    <s v="Doctor or Nurse Practitioner"/>
    <s v="Matched"/>
    <n v="30"/>
    <n v="0"/>
    <n v="39"/>
    <n v="0"/>
    <n v="1"/>
    <n v="0"/>
    <n v="1"/>
    <n v="0"/>
    <s v="Matches Standard"/>
    <x v="3"/>
    <n v="2026"/>
    <n v="3"/>
    <s v="Mar"/>
  </r>
  <r>
    <s v="APT-202603-0067"/>
    <d v="2026-03-28T00:00:00"/>
    <d v="2026-03-13T00:00:00"/>
    <s v="P0040"/>
    <s v="WLG"/>
    <s v="MHS"/>
    <s v="CL033"/>
    <x v="1"/>
    <x v="2"/>
    <d v="1899-12-30T08:30:00"/>
    <d v="1899-12-30T08:48:00"/>
    <d v="1899-12-30T08:57:00"/>
    <n v="45"/>
    <n v="120"/>
    <s v="No"/>
    <n v="2"/>
    <s v="New referral"/>
    <s v="appointment_export_2026_03.csv"/>
    <n v="0"/>
    <n v="0"/>
    <x v="0"/>
    <s v="Central"/>
    <s v="Sophie Martin"/>
    <s v="Urban"/>
    <s v="Mon-Sat 08:00-18:00"/>
    <x v="2"/>
    <n v="14"/>
    <n v="120"/>
    <s v="Behavioural health"/>
    <s v="Mental Health Clinician"/>
    <s v="Matched"/>
    <n v="15"/>
    <n v="0"/>
    <n v="9"/>
    <n v="1"/>
    <n v="1"/>
    <n v="0"/>
    <n v="1"/>
    <n v="0"/>
    <s v="Matches Standard"/>
    <x v="3"/>
    <n v="2026"/>
    <n v="3"/>
    <s v="Mar"/>
  </r>
  <r>
    <s v="APT-202603-0068"/>
    <d v="2026-03-25T00:00:00"/>
    <d v="2026-03-07T00:00:00"/>
    <s v="P0134"/>
    <s v="PMR"/>
    <s v="GEN"/>
    <s v="CL021"/>
    <x v="2"/>
    <x v="0"/>
    <d v="1899-12-30T10:30:00"/>
    <m/>
    <m/>
    <n v="0"/>
    <n v="65"/>
    <s v="No"/>
    <m/>
    <s v="Patient requested appointment"/>
    <s v="appointment_export_2026_03.csv"/>
    <n v="0"/>
    <n v="0"/>
    <x v="3"/>
    <s v="Central"/>
    <s v="Mereana Thompson"/>
    <s v="Regional"/>
    <s v="Mon-Fri 08:30-17:00"/>
    <x v="1"/>
    <n v="7"/>
    <n v="65"/>
    <s v="Primary care"/>
    <s v="Doctor or Nurse Practitioner"/>
    <s v="Matched"/>
    <n v="18"/>
    <n v="0"/>
    <m/>
    <m/>
    <n v="1"/>
    <n v="1"/>
    <n v="1"/>
    <n v="0"/>
    <s v="Matches Standard"/>
    <x v="3"/>
    <n v="2026"/>
    <n v="3"/>
    <s v="Mar"/>
  </r>
  <r>
    <s v="APT-202603-0069"/>
    <d v="2026-03-26T00:00:00"/>
    <d v="2026-02-21T00:00:00"/>
    <s v="P0073"/>
    <s v="PMR"/>
    <s v="PHY"/>
    <s v="CL026"/>
    <x v="1"/>
    <x v="2"/>
    <d v="1899-12-30T11:30:00"/>
    <d v="1899-12-30T11:28:00"/>
    <d v="1899-12-30T11:46:00"/>
    <n v="45"/>
    <n v="95"/>
    <s v="No"/>
    <n v="4"/>
    <s v="Follow-up visit"/>
    <s v="appointment_export_2026_03.csv"/>
    <n v="0"/>
    <n v="0"/>
    <x v="3"/>
    <s v="Central"/>
    <s v="Mereana Thompson"/>
    <s v="Regional"/>
    <s v="Mon-Fri 08:30-17:00"/>
    <x v="0"/>
    <n v="21"/>
    <n v="95"/>
    <s v="Rehabilitation"/>
    <s v="Physiotherapist"/>
    <s v="Matched"/>
    <n v="33"/>
    <n v="0"/>
    <n v="18"/>
    <n v="1"/>
    <n v="1"/>
    <n v="0"/>
    <n v="1"/>
    <n v="0"/>
    <s v="Matches Standard"/>
    <x v="3"/>
    <n v="2026"/>
    <n v="3"/>
    <s v="Mar"/>
  </r>
  <r>
    <s v="APT-202603-0070"/>
    <d v="2026-03-18T00:00:00"/>
    <d v="2026-02-02T00:00:00"/>
    <s v="P0156"/>
    <s v="AUC"/>
    <s v="DIA"/>
    <s v="CL008"/>
    <x v="1"/>
    <x v="0"/>
    <d v="1899-12-30T10:30:00"/>
    <d v="1899-12-30T10:37:00"/>
    <d v="1899-12-30T11:06:00"/>
    <n v="30"/>
    <n v="80"/>
    <s v="No"/>
    <n v="3"/>
    <s v="Routine review"/>
    <s v="appointment_export_2026_03.csv"/>
    <n v="0"/>
    <n v="0"/>
    <x v="2"/>
    <s v="Northern"/>
    <s v="Aroha Rangi"/>
    <s v="Urban"/>
    <s v="Mon-Fri 08:00-18:00"/>
    <x v="3"/>
    <n v="10"/>
    <n v="80"/>
    <s v="Long-term conditions"/>
    <s v="Diabetes Nurse"/>
    <s v="Matched"/>
    <n v="44"/>
    <n v="0"/>
    <n v="29"/>
    <n v="1"/>
    <n v="1"/>
    <n v="0"/>
    <n v="1"/>
    <n v="0"/>
    <s v="Matches Standard"/>
    <x v="3"/>
    <n v="2026"/>
    <n v="3"/>
    <s v="Mar"/>
  </r>
  <r>
    <s v="APT-202603-0071"/>
    <d v="2026-03-08T00:00:00"/>
    <d v="2026-02-16T00:00:00"/>
    <s v="P0180"/>
    <s v="AUC"/>
    <s v="GEN"/>
    <s v="CL002"/>
    <x v="1"/>
    <x v="2"/>
    <d v="1899-12-30T09:00:00"/>
    <d v="1899-12-30T09:12:00"/>
    <d v="1899-12-30T09:10:00"/>
    <n v="30"/>
    <n v="65"/>
    <s v="No"/>
    <n v="4"/>
    <s v="Care plan review"/>
    <s v="appointment_export_2026_03.csv"/>
    <n v="0"/>
    <n v="0"/>
    <x v="2"/>
    <s v="Northern"/>
    <s v="Aroha Rangi"/>
    <s v="Urban"/>
    <s v="Mon-Fri 08:00-18:00"/>
    <x v="1"/>
    <n v="7"/>
    <n v="65"/>
    <s v="Primary care"/>
    <s v="Doctor or Nurse Practitioner"/>
    <s v="Matched"/>
    <n v="20"/>
    <n v="0"/>
    <m/>
    <m/>
    <n v="1"/>
    <n v="0"/>
    <n v="1"/>
    <n v="0"/>
    <s v="Matches Standard"/>
    <x v="3"/>
    <n v="2026"/>
    <n v="3"/>
    <s v="Mar"/>
  </r>
  <r>
    <s v="APT-202603-0072"/>
    <d v="2026-03-19T00:00:00"/>
    <d v="2026-03-05T00:00:00"/>
    <s v="P0026"/>
    <s v="PMR"/>
    <s v="DIA"/>
    <s v="CL027"/>
    <x v="2"/>
    <x v="2"/>
    <d v="1899-12-30T13:30:00"/>
    <m/>
    <m/>
    <n v="0"/>
    <n v="80"/>
    <s v="Yes"/>
    <m/>
    <s v="Routine review"/>
    <s v="appointment_export_2026_03.csv"/>
    <n v="0"/>
    <n v="0"/>
    <x v="3"/>
    <s v="Central"/>
    <s v="Mereana Thompson"/>
    <s v="Regional"/>
    <s v="Mon-Fri 08:30-17:00"/>
    <x v="3"/>
    <n v="10"/>
    <n v="80"/>
    <s v="Long-term conditions"/>
    <s v="Diabetes Nurse"/>
    <s v="Matched"/>
    <n v="14"/>
    <n v="0"/>
    <m/>
    <m/>
    <n v="1"/>
    <n v="1"/>
    <n v="1"/>
    <n v="0"/>
    <s v="Matches Standard"/>
    <x v="3"/>
    <n v="2026"/>
    <n v="3"/>
    <s v="Mar"/>
  </r>
  <r>
    <s v="APT-202603-0073"/>
    <d v="2026-03-07T00:00:00"/>
    <d v="2026-02-25T00:00:00"/>
    <s v="P0077"/>
    <s v="PMR"/>
    <s v="GEN"/>
    <s v="CL021"/>
    <x v="1"/>
    <x v="3"/>
    <d v="1899-12-30T14:00:00"/>
    <d v="1899-12-30T14:12:00"/>
    <d v="1899-12-30T14:30:00"/>
    <n v="20"/>
    <n v="65"/>
    <s v="Yes"/>
    <n v="3"/>
    <s v="Patient requested appointment"/>
    <s v="appointment_export_2026_03.csv"/>
    <n v="0"/>
    <n v="0"/>
    <x v="3"/>
    <s v="Central"/>
    <s v="Mereana Thompson"/>
    <s v="Regional"/>
    <s v="Mon-Fri 08:30-17:00"/>
    <x v="1"/>
    <n v="7"/>
    <n v="65"/>
    <s v="Primary care"/>
    <s v="Doctor or Nurse Practitioner"/>
    <s v="Matched"/>
    <n v="10"/>
    <n v="0"/>
    <n v="18"/>
    <n v="1"/>
    <n v="1"/>
    <n v="0"/>
    <n v="1"/>
    <n v="0"/>
    <s v="Matches Standard"/>
    <x v="3"/>
    <n v="2026"/>
    <n v="3"/>
    <s v="Mar"/>
  </r>
  <r>
    <s v="APT-202603-0074"/>
    <d v="2026-03-27T00:00:00"/>
    <d v="2026-02-27T00:00:00"/>
    <s v="P0091"/>
    <s v="HAM"/>
    <s v="GEN"/>
    <s v="CL012"/>
    <x v="0"/>
    <x v="2"/>
    <d v="1899-12-30T14:00:00"/>
    <m/>
    <m/>
    <n v="0"/>
    <n v="65"/>
    <s v="Yes"/>
    <m/>
    <s v="New referral"/>
    <s v="appointment_export_2026_03.csv"/>
    <n v="0"/>
    <n v="0"/>
    <x v="1"/>
    <s v="Midland"/>
    <s v="Daniel Wong"/>
    <s v="Urban"/>
    <s v="Mon-Fri 08:00-17:30"/>
    <x v="1"/>
    <n v="7"/>
    <n v="65"/>
    <s v="Primary care"/>
    <s v="Doctor or Nurse Practitioner"/>
    <s v="Matched"/>
    <n v="28"/>
    <n v="0"/>
    <m/>
    <m/>
    <n v="0"/>
    <m/>
    <n v="1"/>
    <n v="0"/>
    <s v="Matches Standard"/>
    <x v="3"/>
    <n v="2026"/>
    <n v="3"/>
    <s v="Mar"/>
  </r>
  <r>
    <s v="APT-202603-0075"/>
    <d v="2026-03-30T00:00:00"/>
    <d v="2026-02-14T00:00:00"/>
    <s v="P0159"/>
    <s v="WLG"/>
    <s v="PHY"/>
    <s v="CL035"/>
    <x v="1"/>
    <x v="1"/>
    <d v="1899-12-30T09:00:00"/>
    <d v="1899-12-30T08:50:00"/>
    <d v="1899-12-30T09:15:00"/>
    <n v="30"/>
    <n v="95"/>
    <s v="No"/>
    <n v="5"/>
    <s v="New referral"/>
    <s v="appointment_export_2026_03.csv"/>
    <n v="0"/>
    <n v="0"/>
    <x v="0"/>
    <s v="Central"/>
    <s v="Sophie Martin"/>
    <s v="Urban"/>
    <s v="Mon-Sat 08:00-18:00"/>
    <x v="0"/>
    <n v="21"/>
    <n v="95"/>
    <s v="Rehabilitation"/>
    <s v="Physiotherapist"/>
    <s v="Matched"/>
    <n v="44"/>
    <n v="0"/>
    <n v="25"/>
    <n v="1"/>
    <n v="1"/>
    <n v="0"/>
    <n v="1"/>
    <n v="0"/>
    <s v="Matches Standard"/>
    <x v="3"/>
    <n v="2026"/>
    <n v="3"/>
    <s v="Mar"/>
  </r>
  <r>
    <s v="APT-202603-0076"/>
    <d v="2026-03-30T00:00:00"/>
    <d v="2026-02-26T00:00:00"/>
    <s v="P0188"/>
    <s v="AUC"/>
    <s v="CAR"/>
    <s v="CL009"/>
    <x v="1"/>
    <x v="2"/>
    <d v="1899-12-30T14:00:00"/>
    <d v="1899-12-30T14:00:00"/>
    <d v="1899-12-30T14:23:00"/>
    <n v="30"/>
    <n v="150"/>
    <s v="Yes"/>
    <n v="3"/>
    <s v="Routine review"/>
    <s v="appointment_export_2026_03.csv"/>
    <n v="0"/>
    <n v="0"/>
    <x v="2"/>
    <s v="Northern"/>
    <s v="Aroha Rangi"/>
    <s v="Urban"/>
    <s v="Mon-Fri 08:00-18:00"/>
    <x v="4"/>
    <n v="28"/>
    <n v="150"/>
    <s v="Specialist outpatient"/>
    <s v="Cardiology Clinician"/>
    <s v="Matched"/>
    <n v="32"/>
    <n v="0"/>
    <n v="23"/>
    <n v="1"/>
    <n v="1"/>
    <n v="0"/>
    <n v="1"/>
    <n v="0"/>
    <s v="Matches Standard"/>
    <x v="3"/>
    <n v="2026"/>
    <n v="3"/>
    <s v="Mar"/>
  </r>
  <r>
    <s v="APT-202603-0077"/>
    <d v="2026-03-15T00:00:00"/>
    <d v="2026-03-10T00:00:00"/>
    <s v="P0096"/>
    <s v="HAM"/>
    <s v="GEN"/>
    <s v="CL012"/>
    <x v="0"/>
    <x v="2"/>
    <d v="1899-12-30T08:00:00"/>
    <m/>
    <m/>
    <n v="0"/>
    <n v="65"/>
    <s v="Yes"/>
    <m/>
    <s v="Routine review"/>
    <s v="appointment_export_2026_03.csv"/>
    <n v="0"/>
    <n v="0"/>
    <x v="1"/>
    <s v="Midland"/>
    <s v="Daniel Wong"/>
    <s v="Urban"/>
    <s v="Mon-Fri 08:00-17:30"/>
    <x v="1"/>
    <n v="7"/>
    <n v="65"/>
    <s v="Primary care"/>
    <s v="Doctor or Nurse Practitioner"/>
    <s v="Matched"/>
    <n v="5"/>
    <n v="1"/>
    <m/>
    <m/>
    <n v="0"/>
    <m/>
    <n v="1"/>
    <n v="0"/>
    <s v="Matches Standard"/>
    <x v="3"/>
    <n v="2026"/>
    <n v="3"/>
    <s v="Mar"/>
  </r>
  <r>
    <s v="APT-202603-0078"/>
    <d v="2026-03-15T00:00:00"/>
    <d v="2026-03-10T00:00:00"/>
    <s v="P0080"/>
    <s v="HAM"/>
    <s v="CAR"/>
    <s v="CL020"/>
    <x v="1"/>
    <x v="1"/>
    <d v="1899-12-30T15:30:00"/>
    <d v="1899-12-30T15:38:00"/>
    <d v="1899-12-30T16:00:00"/>
    <n v="60"/>
    <n v="150"/>
    <s v="No"/>
    <n v="3"/>
    <s v="Routine review"/>
    <s v="appointment_export_2026_03.csv"/>
    <n v="0"/>
    <n v="0"/>
    <x v="1"/>
    <s v="Midland"/>
    <s v="Daniel Wong"/>
    <s v="Urban"/>
    <s v="Mon-Fri 08:00-17:30"/>
    <x v="4"/>
    <n v="28"/>
    <n v="150"/>
    <s v="Specialist outpatient"/>
    <s v="Cardiology Clinician"/>
    <s v="Matched"/>
    <n v="5"/>
    <n v="1"/>
    <n v="22"/>
    <n v="1"/>
    <n v="1"/>
    <n v="0"/>
    <n v="1"/>
    <n v="0"/>
    <s v="Matches Standard"/>
    <x v="3"/>
    <n v="2026"/>
    <n v="3"/>
    <s v="Mar"/>
  </r>
  <r>
    <s v="APT-202603-0079"/>
    <d v="2026-03-28T00:00:00"/>
    <d v="2026-02-18T00:00:00"/>
    <s v="P0038"/>
    <s v="AUC"/>
    <m/>
    <s v="CL005"/>
    <x v="1"/>
    <x v="0"/>
    <d v="1899-12-30T15:00:00"/>
    <d v="1899-12-30T15:15:00"/>
    <d v="1899-12-30T15:03:00"/>
    <n v="20"/>
    <n v="95"/>
    <s v="Yes"/>
    <n v="4"/>
    <s v="New referral"/>
    <s v="appointment_export_2026_03.csv"/>
    <n v="0"/>
    <n v="1"/>
    <x v="2"/>
    <s v="Northern"/>
    <s v="Aroha Rangi"/>
    <s v="Urban"/>
    <s v="Mon-Fri 08:00-18:00"/>
    <x v="5"/>
    <m/>
    <m/>
    <m/>
    <m/>
    <s v="Missing Service Code"/>
    <n v="38"/>
    <m/>
    <m/>
    <m/>
    <n v="1"/>
    <n v="0"/>
    <n v="1"/>
    <m/>
    <s v="Missing Standard Fee"/>
    <x v="3"/>
    <n v="2026"/>
    <n v="3"/>
    <s v="Mar"/>
  </r>
  <r>
    <s v="APT-202603-0080"/>
    <d v="2026-03-11T00:00:00"/>
    <d v="2026-02-08T00:00:00"/>
    <s v="P0062"/>
    <s v="WLG"/>
    <s v="PHY"/>
    <s v="CL036"/>
    <x v="1"/>
    <x v="0"/>
    <d v="1899-12-30T15:00:00"/>
    <d v="1899-12-30T15:12:00"/>
    <d v="1899-12-30T15:14:00"/>
    <n v="30"/>
    <n v="95"/>
    <s v="No"/>
    <n v="3"/>
    <s v="New referral"/>
    <s v="appointment_export_2026_03.csv"/>
    <n v="0"/>
    <n v="0"/>
    <x v="0"/>
    <s v="Central"/>
    <s v="Sophie Martin"/>
    <s v="Urban"/>
    <s v="Mon-Sat 08:00-18:00"/>
    <x v="0"/>
    <n v="21"/>
    <n v="95"/>
    <s v="Rehabilitation"/>
    <s v="Physiotherapist"/>
    <s v="Matched"/>
    <n v="31"/>
    <n v="0"/>
    <n v="2"/>
    <n v="1"/>
    <n v="1"/>
    <n v="0"/>
    <n v="1"/>
    <n v="0"/>
    <s v="Matches Standard"/>
    <x v="3"/>
    <n v="2026"/>
    <n v="3"/>
    <s v="Mar"/>
  </r>
  <r>
    <s v="APT-202603-0081"/>
    <d v="2026-03-30T00:00:00"/>
    <d v="2026-03-15T00:00:00"/>
    <s v="P0016"/>
    <s v="HAM"/>
    <s v="DIA"/>
    <s v="CL018"/>
    <x v="0"/>
    <x v="1"/>
    <d v="1899-12-30T12:30:00"/>
    <m/>
    <m/>
    <n v="0"/>
    <n v="80"/>
    <s v="Yes"/>
    <m/>
    <s v="Follow-up visit"/>
    <s v="appointment_export_2026_03.csv"/>
    <n v="0"/>
    <n v="0"/>
    <x v="1"/>
    <s v="Midland"/>
    <s v="Daniel Wong"/>
    <s v="Urban"/>
    <s v="Mon-Fri 08:00-17:30"/>
    <x v="3"/>
    <n v="10"/>
    <n v="80"/>
    <s v="Long-term conditions"/>
    <s v="Diabetes Nurse"/>
    <s v="Matched"/>
    <n v="15"/>
    <n v="0"/>
    <m/>
    <m/>
    <n v="0"/>
    <m/>
    <n v="1"/>
    <n v="0"/>
    <s v="Matches Standard"/>
    <x v="3"/>
    <n v="2026"/>
    <n v="3"/>
    <s v="Mar"/>
  </r>
  <r>
    <s v="APT-202603-0082"/>
    <d v="2026-03-09T00:00:00"/>
    <d v="2026-02-16T00:00:00"/>
    <s v="P0123"/>
    <s v="AUC"/>
    <s v="GEN"/>
    <s v="CL002"/>
    <x v="1"/>
    <x v="2"/>
    <d v="1899-12-30T14:00:00"/>
    <d v="1899-12-30T13:53:00"/>
    <d v="1899-12-30T14:21:00"/>
    <n v="60"/>
    <n v="65"/>
    <s v="No"/>
    <n v="2"/>
    <s v="New referral"/>
    <s v="appointment_export_2026_03.csv"/>
    <n v="0"/>
    <n v="0"/>
    <x v="2"/>
    <s v="Northern"/>
    <s v="Aroha Rangi"/>
    <s v="Urban"/>
    <s v="Mon-Fri 08:00-18:00"/>
    <x v="1"/>
    <n v="7"/>
    <n v="65"/>
    <s v="Primary care"/>
    <s v="Doctor or Nurse Practitioner"/>
    <s v="Matched"/>
    <n v="21"/>
    <n v="0"/>
    <n v="28"/>
    <n v="1"/>
    <n v="1"/>
    <n v="0"/>
    <n v="1"/>
    <n v="0"/>
    <s v="Matches Standard"/>
    <x v="3"/>
    <n v="2026"/>
    <n v="3"/>
    <s v="Mar"/>
  </r>
  <r>
    <s v="APT-202603-0083"/>
    <d v="2026-03-16T00:00:00"/>
    <d v="2026-02-12T00:00:00"/>
    <s v="P0013"/>
    <s v="WLG"/>
    <s v="MHS"/>
    <s v="CL034"/>
    <x v="1"/>
    <x v="3"/>
    <d v="1899-12-30T15:00:00"/>
    <d v="1899-12-30T15:01:00"/>
    <d v="1899-12-30T15:16:00"/>
    <n v="60"/>
    <n v="120"/>
    <s v="No"/>
    <m/>
    <s v="Care plan review"/>
    <s v="appointment_export_2026_03.csv"/>
    <n v="0"/>
    <n v="0"/>
    <x v="0"/>
    <s v="Central"/>
    <s v="Sophie Martin"/>
    <s v="Urban"/>
    <s v="Mon-Sat 08:00-18:00"/>
    <x v="2"/>
    <n v="14"/>
    <n v="120"/>
    <s v="Behavioural health"/>
    <s v="Mental Health Clinician"/>
    <s v="Matched"/>
    <n v="32"/>
    <n v="0"/>
    <n v="15"/>
    <n v="1"/>
    <n v="1"/>
    <n v="0"/>
    <n v="1"/>
    <n v="0"/>
    <s v="Matches Standard"/>
    <x v="3"/>
    <n v="2026"/>
    <n v="3"/>
    <s v="Mar"/>
  </r>
  <r>
    <s v="APT-202603-0084"/>
    <d v="2026-03-23T00:00:00"/>
    <d v="2026-02-22T00:00:00"/>
    <s v="P0119"/>
    <s v="PMR"/>
    <s v="CAR"/>
    <s v="CL030"/>
    <x v="1"/>
    <x v="1"/>
    <d v="1899-12-30T14:30:00"/>
    <d v="1899-12-30T14:42:00"/>
    <d v="1899-12-30T14:34:00"/>
    <n v="20"/>
    <n v="150"/>
    <s v="No"/>
    <n v="4"/>
    <s v="Routine review"/>
    <s v="appointment_export_2026_03.csv"/>
    <n v="0"/>
    <n v="0"/>
    <x v="3"/>
    <s v="Central"/>
    <s v="Mereana Thompson"/>
    <s v="Regional"/>
    <s v="Mon-Fri 08:30-17:00"/>
    <x v="4"/>
    <n v="28"/>
    <n v="150"/>
    <s v="Specialist outpatient"/>
    <s v="Cardiology Clinician"/>
    <s v="Matched"/>
    <n v="29"/>
    <n v="0"/>
    <m/>
    <m/>
    <n v="1"/>
    <n v="0"/>
    <n v="1"/>
    <n v="0"/>
    <s v="Matches Standard"/>
    <x v="3"/>
    <n v="2026"/>
    <n v="3"/>
    <s v="Mar"/>
  </r>
  <r>
    <s v="APT-202603-0085"/>
    <d v="2026-03-27T00:00:00"/>
    <d v="2026-03-11T00:00:00"/>
    <s v="P0077"/>
    <s v="WLG"/>
    <s v="PHY"/>
    <s v="CL035"/>
    <x v="2"/>
    <x v="0"/>
    <d v="1899-12-30T14:00:00"/>
    <m/>
    <m/>
    <n v="0"/>
    <n v="95"/>
    <s v="No"/>
    <m/>
    <s v="Patient requested appointment"/>
    <s v="appointment_export_2026_03.csv"/>
    <n v="0"/>
    <n v="0"/>
    <x v="0"/>
    <s v="Central"/>
    <s v="Sophie Martin"/>
    <s v="Urban"/>
    <s v="Mon-Sat 08:00-18:00"/>
    <x v="0"/>
    <n v="21"/>
    <n v="95"/>
    <s v="Rehabilitation"/>
    <s v="Physiotherapist"/>
    <s v="Matched"/>
    <n v="16"/>
    <n v="1"/>
    <m/>
    <m/>
    <n v="1"/>
    <n v="1"/>
    <n v="1"/>
    <n v="0"/>
    <s v="Matches Standard"/>
    <x v="3"/>
    <n v="2026"/>
    <n v="3"/>
    <s v="Mar"/>
  </r>
  <r>
    <s v="APT-202603-0086"/>
    <d v="2026-03-05T00:00:00"/>
    <d v="2026-02-10T00:00:00"/>
    <s v="P0216"/>
    <s v="PMR"/>
    <s v="PHY"/>
    <s v="CL025"/>
    <x v="1"/>
    <x v="2"/>
    <d v="1899-12-30T12:30:00"/>
    <d v="1899-12-30T12:25:00"/>
    <d v="1899-12-30T12:47:00"/>
    <n v="30"/>
    <n v="95"/>
    <s v="No"/>
    <n v="4"/>
    <s v="Routine review"/>
    <s v="appointment_export_2026_03.csv"/>
    <n v="0"/>
    <n v="0"/>
    <x v="3"/>
    <s v="Central"/>
    <s v="Mereana Thompson"/>
    <s v="Regional"/>
    <s v="Mon-Fri 08:30-17:00"/>
    <x v="0"/>
    <n v="21"/>
    <n v="95"/>
    <s v="Rehabilitation"/>
    <s v="Physiotherapist"/>
    <s v="Matched"/>
    <n v="23"/>
    <n v="0"/>
    <n v="22"/>
    <n v="1"/>
    <n v="1"/>
    <n v="0"/>
    <n v="1"/>
    <n v="0"/>
    <s v="Matches Standard"/>
    <x v="3"/>
    <n v="2026"/>
    <n v="3"/>
    <s v="Mar"/>
  </r>
  <r>
    <s v="APT-202603-0087"/>
    <d v="2026-03-16T00:00:00"/>
    <d v="2026-02-11T00:00:00"/>
    <s v="P0151"/>
    <s v="AUC"/>
    <s v="CAR"/>
    <s v="CL010"/>
    <x v="1"/>
    <x v="1"/>
    <d v="1899-12-30T09:00:00"/>
    <d v="1899-12-30T09:13:00"/>
    <d v="1899-12-30T09:36:00"/>
    <n v="20"/>
    <n v="150"/>
    <s v="No"/>
    <n v="5"/>
    <s v="New referral"/>
    <s v="appointment_export_2026_03.csv"/>
    <n v="0"/>
    <n v="0"/>
    <x v="2"/>
    <s v="Northern"/>
    <s v="Aroha Rangi"/>
    <s v="Urban"/>
    <s v="Mon-Fri 08:00-18:00"/>
    <x v="4"/>
    <n v="28"/>
    <n v="150"/>
    <s v="Specialist outpatient"/>
    <s v="Cardiology Clinician"/>
    <s v="Matched"/>
    <n v="33"/>
    <n v="0"/>
    <n v="23"/>
    <n v="1"/>
    <n v="1"/>
    <n v="0"/>
    <n v="1"/>
    <n v="0"/>
    <s v="Matches Standard"/>
    <x v="3"/>
    <n v="2026"/>
    <n v="3"/>
    <s v="Mar"/>
  </r>
  <r>
    <s v="APT-202603-0088"/>
    <d v="2026-03-10T00:00:00"/>
    <d v="2026-02-16T00:00:00"/>
    <s v="P0069"/>
    <s v="WLG"/>
    <s v="PHY"/>
    <s v="CL035"/>
    <x v="1"/>
    <x v="0"/>
    <d v="1899-12-30T11:00:00"/>
    <d v="1899-12-30T10:55:00"/>
    <d v="1899-12-30T11:01:00"/>
    <n v="30"/>
    <n v="95"/>
    <s v="No"/>
    <n v="4"/>
    <s v="Follow-up visit"/>
    <s v="appointment_export_2026_03.csv"/>
    <n v="0"/>
    <n v="0"/>
    <x v="0"/>
    <s v="Central"/>
    <s v="Sophie Martin"/>
    <s v="Urban"/>
    <s v="Mon-Sat 08:00-18:00"/>
    <x v="0"/>
    <n v="21"/>
    <n v="95"/>
    <s v="Rehabilitation"/>
    <s v="Physiotherapist"/>
    <s v="Matched"/>
    <n v="22"/>
    <n v="0"/>
    <n v="6"/>
    <n v="1"/>
    <n v="1"/>
    <n v="0"/>
    <n v="1"/>
    <n v="0"/>
    <s v="Matches Standard"/>
    <x v="3"/>
    <n v="2026"/>
    <n v="3"/>
    <s v="Mar"/>
  </r>
  <r>
    <s v="APT-202603-0089"/>
    <d v="2026-03-14T00:00:00"/>
    <d v="2026-01-31T00:00:00"/>
    <s v="P0019"/>
    <s v="HAM"/>
    <s v="CAR"/>
    <s v="CL019"/>
    <x v="1"/>
    <x v="3"/>
    <d v="1899-12-30T11:30:00"/>
    <d v="1899-12-30T11:39:00"/>
    <d v="1899-12-30T11:45:00"/>
    <n v="45"/>
    <n v="150"/>
    <s v="No"/>
    <n v="4"/>
    <s v="Routine review"/>
    <s v="appointment_export_2026_03.csv"/>
    <n v="0"/>
    <n v="0"/>
    <x v="1"/>
    <s v="Midland"/>
    <s v="Daniel Wong"/>
    <s v="Urban"/>
    <s v="Mon-Fri 08:00-17:30"/>
    <x v="4"/>
    <n v="28"/>
    <n v="150"/>
    <s v="Specialist outpatient"/>
    <s v="Cardiology Clinician"/>
    <s v="Matched"/>
    <n v="42"/>
    <n v="0"/>
    <n v="6"/>
    <n v="1"/>
    <n v="1"/>
    <n v="0"/>
    <n v="1"/>
    <n v="0"/>
    <s v="Matches Standard"/>
    <x v="3"/>
    <n v="2026"/>
    <n v="3"/>
    <s v="Mar"/>
  </r>
  <r>
    <s v="APT-202603-0090"/>
    <d v="2026-03-18T00:00:00"/>
    <d v="2026-01-30T00:00:00"/>
    <s v="P0193"/>
    <s v="PMR"/>
    <s v="GEN"/>
    <s v="CL022"/>
    <x v="1"/>
    <x v="0"/>
    <d v="1899-12-30T09:00:00"/>
    <d v="1899-12-30T09:01:00"/>
    <d v="1899-12-30T09:02:00"/>
    <n v="30"/>
    <n v="65"/>
    <s v="No"/>
    <n v="3"/>
    <s v="Patient requested appointment"/>
    <s v="appointment_export_2026_03.csv"/>
    <n v="0"/>
    <n v="0"/>
    <x v="3"/>
    <s v="Central"/>
    <s v="Mereana Thompson"/>
    <s v="Regional"/>
    <s v="Mon-Fri 08:30-17:00"/>
    <x v="1"/>
    <n v="7"/>
    <n v="65"/>
    <s v="Primary care"/>
    <s v="Doctor or Nurse Practitioner"/>
    <s v="Matched"/>
    <n v="47"/>
    <n v="0"/>
    <n v="1"/>
    <n v="1"/>
    <n v="1"/>
    <n v="0"/>
    <n v="1"/>
    <n v="0"/>
    <s v="Matches Standard"/>
    <x v="3"/>
    <n v="2026"/>
    <n v="3"/>
    <s v="Mar"/>
  </r>
  <r>
    <s v="APT-202603-0091"/>
    <d v="2026-03-23T00:00:00"/>
    <d v="2026-03-03T00:00:00"/>
    <s v="P0149"/>
    <s v="WLG"/>
    <s v="DIA"/>
    <s v="CL037"/>
    <x v="3"/>
    <x v="2"/>
    <d v="1899-12-30T10:30:00"/>
    <m/>
    <m/>
    <n v="0"/>
    <n v="80"/>
    <s v="Yes"/>
    <m/>
    <s v="New referral"/>
    <s v="appointment_export_2026_03.csv"/>
    <n v="0"/>
    <n v="0"/>
    <x v="0"/>
    <s v="Central"/>
    <s v="Sophie Martin"/>
    <s v="Urban"/>
    <s v="Mon-Sat 08:00-18:00"/>
    <x v="3"/>
    <n v="10"/>
    <n v="80"/>
    <s v="Long-term conditions"/>
    <s v="Diabetes Nurse"/>
    <s v="Matched"/>
    <n v="20"/>
    <n v="0"/>
    <m/>
    <m/>
    <n v="0"/>
    <m/>
    <n v="1"/>
    <n v="0"/>
    <s v="Matches Standard"/>
    <x v="3"/>
    <n v="2026"/>
    <n v="3"/>
    <s v="Mar"/>
  </r>
  <r>
    <s v="APT-202603-0092"/>
    <d v="2026-03-05T00:00:00"/>
    <d v="2026-01-19T00:00:00"/>
    <s v="P0076"/>
    <s v="HAM"/>
    <s v="GEN"/>
    <s v="CL012"/>
    <x v="2"/>
    <x v="1"/>
    <d v="1899-12-30T09:30:00"/>
    <m/>
    <m/>
    <n v="0"/>
    <n v="65"/>
    <s v="Yes"/>
    <m/>
    <s v="Follow-up visit"/>
    <s v="appointment_export_2026_03.csv"/>
    <n v="0"/>
    <n v="0"/>
    <x v="1"/>
    <s v="Midland"/>
    <s v="Daniel Wong"/>
    <s v="Urban"/>
    <s v="Mon-Fri 08:00-17:30"/>
    <x v="1"/>
    <n v="7"/>
    <n v="65"/>
    <s v="Primary care"/>
    <s v="Doctor or Nurse Practitioner"/>
    <s v="Matched"/>
    <n v="45"/>
    <n v="0"/>
    <m/>
    <m/>
    <n v="1"/>
    <n v="1"/>
    <n v="1"/>
    <n v="0"/>
    <s v="Matches Standard"/>
    <x v="3"/>
    <n v="2026"/>
    <n v="3"/>
    <s v="Mar"/>
  </r>
  <r>
    <s v="APT-202603-0093"/>
    <d v="2026-03-11T00:00:00"/>
    <d v="2026-02-22T00:00:00"/>
    <s v="P0108"/>
    <s v="AUC"/>
    <s v="PHY"/>
    <s v="CL006"/>
    <x v="2"/>
    <x v="0"/>
    <d v="1899-12-30T16:00:00"/>
    <d v="1899-12-30T15:52:00"/>
    <d v="1899-12-30T16:26:00"/>
    <n v="30"/>
    <n v="95"/>
    <s v="No"/>
    <n v="5"/>
    <s v="Patient requested appointment"/>
    <s v="appointment_export_2026_03.csv"/>
    <n v="0"/>
    <n v="0"/>
    <x v="2"/>
    <s v="Northern"/>
    <s v="Aroha Rangi"/>
    <s v="Urban"/>
    <s v="Mon-Fri 08:00-18:00"/>
    <x v="0"/>
    <n v="21"/>
    <n v="95"/>
    <s v="Rehabilitation"/>
    <s v="Physiotherapist"/>
    <s v="Matched"/>
    <n v="17"/>
    <n v="1"/>
    <m/>
    <m/>
    <n v="1"/>
    <n v="1"/>
    <n v="1"/>
    <n v="0"/>
    <s v="Matches Standard"/>
    <x v="3"/>
    <n v="2026"/>
    <n v="3"/>
    <s v="Mar"/>
  </r>
  <r>
    <s v="APT-202603-0094"/>
    <d v="2026-03-09T00:00:00"/>
    <d v="2026-02-28T00:00:00"/>
    <s v="P0058"/>
    <s v="WLG"/>
    <s v="MHS"/>
    <s v="CL033"/>
    <x v="1"/>
    <x v="0"/>
    <d v="1899-12-30T11:30:00"/>
    <d v="1899-12-30T11:44:00"/>
    <d v="1899-12-30T11:57:00"/>
    <n v="45"/>
    <n v="120"/>
    <s v="Yes"/>
    <n v="4"/>
    <s v="Care plan review"/>
    <s v="appointment_export_2026_03.csv"/>
    <n v="0"/>
    <n v="0"/>
    <x v="0"/>
    <s v="Central"/>
    <s v="Sophie Martin"/>
    <s v="Urban"/>
    <s v="Mon-Sat 08:00-18:00"/>
    <x v="2"/>
    <n v="14"/>
    <n v="120"/>
    <s v="Behavioural health"/>
    <s v="Mental Health Clinician"/>
    <s v="Matched"/>
    <n v="9"/>
    <n v="1"/>
    <n v="13"/>
    <n v="1"/>
    <n v="1"/>
    <n v="0"/>
    <n v="1"/>
    <n v="0"/>
    <s v="Matches Standard"/>
    <x v="3"/>
    <n v="2026"/>
    <n v="3"/>
    <s v="Mar"/>
  </r>
  <r>
    <s v="APT-202603-0095"/>
    <d v="2026-03-17T00:00:00"/>
    <d v="2026-03-06T00:00:00"/>
    <s v="P0087"/>
    <s v="HAM"/>
    <s v="PHY"/>
    <s v="CL016"/>
    <x v="1"/>
    <x v="2"/>
    <d v="1899-12-30T08:00:00"/>
    <d v="1899-12-30T08:07:00"/>
    <d v="1899-12-30T08:09:00"/>
    <n v="45"/>
    <n v="95"/>
    <s v="Yes"/>
    <n v="4"/>
    <s v="Follow-up visit"/>
    <s v="appointment_export_2026_03.csv"/>
    <n v="0"/>
    <n v="0"/>
    <x v="1"/>
    <s v="Midland"/>
    <s v="Daniel Wong"/>
    <s v="Urban"/>
    <s v="Mon-Fri 08:00-17:30"/>
    <x v="0"/>
    <n v="21"/>
    <n v="95"/>
    <s v="Rehabilitation"/>
    <s v="Physiotherapist"/>
    <s v="Matched"/>
    <n v="11"/>
    <n v="1"/>
    <n v="2"/>
    <n v="1"/>
    <n v="1"/>
    <n v="0"/>
    <n v="1"/>
    <n v="0"/>
    <s v="Matches Standard"/>
    <x v="3"/>
    <n v="2026"/>
    <n v="3"/>
    <s v="Mar"/>
  </r>
  <r>
    <s v="APT-202603-0096"/>
    <d v="2026-03-28T00:00:00"/>
    <d v="2026-03-05T00:00:00"/>
    <s v="P0217"/>
    <s v="WLG"/>
    <s v="GEN"/>
    <s v="CL031"/>
    <x v="1"/>
    <x v="0"/>
    <d v="1899-12-30T16:00:00"/>
    <d v="1899-12-30T16:08:00"/>
    <d v="1899-12-30T16:00:00"/>
    <n v="20"/>
    <n v="65"/>
    <s v="Yes"/>
    <n v="5"/>
    <s v="Routine review"/>
    <s v="appointment_export_2026_03.csv"/>
    <n v="0"/>
    <n v="0"/>
    <x v="0"/>
    <s v="Central"/>
    <s v="Sophie Martin"/>
    <s v="Urban"/>
    <s v="Mon-Sat 08:00-18:00"/>
    <x v="1"/>
    <n v="7"/>
    <n v="65"/>
    <s v="Primary care"/>
    <s v="Doctor or Nurse Practitioner"/>
    <s v="Matched"/>
    <n v="23"/>
    <n v="0"/>
    <m/>
    <m/>
    <n v="1"/>
    <n v="0"/>
    <n v="1"/>
    <n v="0"/>
    <s v="Matches Standard"/>
    <x v="3"/>
    <n v="2026"/>
    <n v="3"/>
    <s v="Mar"/>
  </r>
  <r>
    <s v="APT-202603-0097"/>
    <m/>
    <d v="2026-03-07T00:00:00"/>
    <s v="P0224"/>
    <s v="AUC"/>
    <s v="DIA"/>
    <s v="CL007"/>
    <x v="2"/>
    <x v="1"/>
    <d v="1899-12-30T09:30:00"/>
    <m/>
    <m/>
    <n v="0"/>
    <n v="80"/>
    <s v="No"/>
    <m/>
    <s v="Patient requested appointment"/>
    <s v="appointment_export_2026_03.csv"/>
    <n v="0"/>
    <n v="0"/>
    <x v="2"/>
    <s v="Northern"/>
    <s v="Aroha Rangi"/>
    <s v="Urban"/>
    <s v="Mon-Fri 08:00-18:00"/>
    <x v="3"/>
    <n v="10"/>
    <n v="80"/>
    <s v="Long-term conditions"/>
    <s v="Diabetes Nurse"/>
    <s v="Matched"/>
    <m/>
    <m/>
    <m/>
    <m/>
    <n v="1"/>
    <n v="1"/>
    <n v="1"/>
    <n v="0"/>
    <s v="Matches Standard"/>
    <x v="1"/>
    <m/>
    <m/>
    <m/>
  </r>
  <r>
    <s v="APT-202603-0098"/>
    <d v="2026-03-09T00:00:00"/>
    <d v="2026-02-20T00:00:00"/>
    <s v="P0147"/>
    <s v="PMR"/>
    <s v="GEN"/>
    <s v="CL021"/>
    <x v="2"/>
    <x v="1"/>
    <d v="1899-12-30T12:30:00"/>
    <m/>
    <m/>
    <n v="0"/>
    <n v="65"/>
    <s v="No"/>
    <m/>
    <s v="Care plan review"/>
    <s v="appointment_export_2026_03.csv"/>
    <n v="0"/>
    <n v="0"/>
    <x v="3"/>
    <s v="Central"/>
    <s v="Mereana Thompson"/>
    <s v="Regional"/>
    <s v="Mon-Fri 08:30-17:00"/>
    <x v="1"/>
    <n v="7"/>
    <n v="65"/>
    <s v="Primary care"/>
    <s v="Doctor or Nurse Practitioner"/>
    <s v="Matched"/>
    <n v="17"/>
    <n v="0"/>
    <m/>
    <m/>
    <n v="1"/>
    <n v="1"/>
    <n v="1"/>
    <n v="0"/>
    <s v="Matches Standard"/>
    <x v="3"/>
    <n v="2026"/>
    <n v="3"/>
    <s v="Mar"/>
  </r>
  <r>
    <s v="APT-202603-0099"/>
    <d v="2026-03-08T00:00:00"/>
    <d v="2026-02-04T00:00:00"/>
    <s v="P0053"/>
    <s v="WLG"/>
    <s v="GEN"/>
    <s v="CL031"/>
    <x v="3"/>
    <x v="1"/>
    <d v="1899-12-30T08:30:00"/>
    <m/>
    <m/>
    <n v="0"/>
    <n v="65"/>
    <s v="No"/>
    <m/>
    <s v="Routine review"/>
    <s v="appointment_export_2026_03.csv"/>
    <n v="0"/>
    <n v="0"/>
    <x v="0"/>
    <s v="Central"/>
    <s v="Sophie Martin"/>
    <s v="Urban"/>
    <s v="Mon-Sat 08:00-18:00"/>
    <x v="1"/>
    <n v="7"/>
    <n v="65"/>
    <s v="Primary care"/>
    <s v="Doctor or Nurse Practitioner"/>
    <s v="Matched"/>
    <n v="32"/>
    <n v="0"/>
    <m/>
    <m/>
    <n v="0"/>
    <m/>
    <n v="1"/>
    <n v="0"/>
    <s v="Matches Standard"/>
    <x v="3"/>
    <n v="2026"/>
    <n v="3"/>
    <s v="Mar"/>
  </r>
  <r>
    <s v="APT-202603-0100"/>
    <d v="2026-03-24T00:00:00"/>
    <d v="2026-03-07T00:00:00"/>
    <s v="P0196"/>
    <s v="PMR"/>
    <s v="MHS"/>
    <s v="CL024"/>
    <x v="1"/>
    <x v="1"/>
    <d v="1899-12-30T08:30:00"/>
    <d v="1899-12-30T08:30:00"/>
    <d v="1899-12-30T09:08:00"/>
    <n v="45"/>
    <n v="120"/>
    <s v="No"/>
    <n v="5"/>
    <s v="Routine review"/>
    <s v="appointment_export_2026_03.csv"/>
    <n v="0"/>
    <n v="0"/>
    <x v="3"/>
    <s v="Central"/>
    <s v="Mereana Thompson"/>
    <s v="Regional"/>
    <s v="Mon-Fri 08:30-17:00"/>
    <x v="2"/>
    <n v="14"/>
    <n v="120"/>
    <s v="Behavioural health"/>
    <s v="Mental Health Clinician"/>
    <s v="Matched"/>
    <n v="17"/>
    <n v="0"/>
    <n v="38"/>
    <n v="0"/>
    <n v="1"/>
    <n v="0"/>
    <n v="1"/>
    <n v="0"/>
    <s v="Matches Standard"/>
    <x v="3"/>
    <n v="2026"/>
    <n v="3"/>
    <s v="Mar"/>
  </r>
  <r>
    <s v="APT-202603-0101"/>
    <d v="2026-03-18T00:00:00"/>
    <d v="2026-02-28T00:00:00"/>
    <s v="P0183"/>
    <s v="WLG"/>
    <s v="PHY"/>
    <s v="CL999"/>
    <x v="1"/>
    <x v="0"/>
    <d v="1899-12-30T11:00:00"/>
    <d v="1899-12-30T10:59:00"/>
    <d v="1899-12-30T11:16:00"/>
    <n v="30"/>
    <n v="95"/>
    <s v="No"/>
    <n v="4"/>
    <s v="Routine review"/>
    <s v="appointment_export_2026_03.csv"/>
    <n v="0"/>
    <n v="0"/>
    <x v="0"/>
    <s v="Central"/>
    <s v="Sophie Martin"/>
    <s v="Urban"/>
    <s v="Mon-Sat 08:00-18:00"/>
    <x v="0"/>
    <n v="21"/>
    <n v="95"/>
    <s v="Rehabilitation"/>
    <s v="Physiotherapist"/>
    <s v="Matched"/>
    <n v="18"/>
    <n v="1"/>
    <n v="17"/>
    <n v="1"/>
    <n v="1"/>
    <n v="0"/>
    <n v="1"/>
    <n v="0"/>
    <s v="Matches Standard"/>
    <x v="3"/>
    <n v="2026"/>
    <n v="3"/>
    <s v="Mar"/>
  </r>
  <r>
    <s v="APT-202603-0102"/>
    <d v="2026-03-08T00:00:00"/>
    <d v="2026-02-05T00:00:00"/>
    <s v="P0231"/>
    <s v="AUC"/>
    <s v="GEN"/>
    <s v="CL002"/>
    <x v="2"/>
    <x v="3"/>
    <d v="1899-12-30T15:00:00"/>
    <m/>
    <m/>
    <n v="0"/>
    <n v="65"/>
    <s v="No"/>
    <m/>
    <s v="Patient requested appointment"/>
    <s v="appointment_export_2026_03.csv"/>
    <n v="0"/>
    <n v="0"/>
    <x v="2"/>
    <s v="Northern"/>
    <s v="Aroha Rangi"/>
    <s v="Urban"/>
    <s v="Mon-Fri 08:00-18:00"/>
    <x v="1"/>
    <n v="7"/>
    <n v="65"/>
    <s v="Primary care"/>
    <s v="Doctor or Nurse Practitioner"/>
    <s v="Matched"/>
    <n v="31"/>
    <n v="0"/>
    <m/>
    <m/>
    <n v="1"/>
    <n v="1"/>
    <n v="1"/>
    <n v="0"/>
    <s v="Matches Standard"/>
    <x v="3"/>
    <n v="2026"/>
    <n v="3"/>
    <s v="Mar"/>
  </r>
  <r>
    <s v="APT-202603-0103"/>
    <d v="2026-03-13T00:00:00"/>
    <d v="2026-02-15T00:00:00"/>
    <s v="P0145"/>
    <s v="HAM"/>
    <s v="MHS"/>
    <s v="CL014"/>
    <x v="0"/>
    <x v="3"/>
    <d v="1899-12-30T08:30:00"/>
    <m/>
    <m/>
    <n v="0"/>
    <n v="120"/>
    <s v="Yes"/>
    <m/>
    <s v="Care plan review"/>
    <s v="appointment_export_2026_03.csv"/>
    <n v="0"/>
    <n v="0"/>
    <x v="1"/>
    <s v="Midland"/>
    <s v="Daniel Wong"/>
    <s v="Urban"/>
    <s v="Mon-Fri 08:00-17:30"/>
    <x v="2"/>
    <n v="14"/>
    <n v="120"/>
    <s v="Behavioural health"/>
    <s v="Mental Health Clinician"/>
    <s v="Matched"/>
    <n v="26"/>
    <n v="0"/>
    <m/>
    <m/>
    <n v="0"/>
    <m/>
    <n v="1"/>
    <n v="0"/>
    <s v="Matches Standard"/>
    <x v="3"/>
    <n v="2026"/>
    <n v="3"/>
    <s v="Mar"/>
  </r>
  <r>
    <s v="APT-202603-0104"/>
    <d v="2026-03-06T00:00:00"/>
    <d v="2026-01-13T00:00:00"/>
    <s v="P0089"/>
    <s v="HAM"/>
    <s v="MHS"/>
    <s v="CL013"/>
    <x v="1"/>
    <x v="3"/>
    <d v="1899-12-30T10:30:00"/>
    <d v="1899-12-30T10:36:00"/>
    <d v="1899-12-30T11:01:00"/>
    <n v="30"/>
    <n v="120"/>
    <s v="No"/>
    <n v="2"/>
    <s v="Patient requested appointment"/>
    <s v="appointment_export_2026_03.csv"/>
    <n v="0"/>
    <n v="0"/>
    <x v="1"/>
    <s v="Midland"/>
    <s v="Daniel Wong"/>
    <s v="Urban"/>
    <s v="Mon-Fri 08:00-17:30"/>
    <x v="2"/>
    <n v="14"/>
    <n v="120"/>
    <s v="Behavioural health"/>
    <s v="Mental Health Clinician"/>
    <s v="Matched"/>
    <n v="52"/>
    <n v="0"/>
    <n v="25"/>
    <n v="1"/>
    <n v="1"/>
    <n v="0"/>
    <n v="1"/>
    <n v="0"/>
    <s v="Matches Standard"/>
    <x v="3"/>
    <n v="2026"/>
    <n v="3"/>
    <s v="Mar"/>
  </r>
  <r>
    <s v="APT-202603-0105"/>
    <d v="2026-03-11T00:00:00"/>
    <d v="2026-02-06T00:00:00"/>
    <s v="P0215"/>
    <s v="PMR"/>
    <s v="PHY"/>
    <s v="CL026"/>
    <x v="3"/>
    <x v="3"/>
    <d v="1899-12-30T15:30:00"/>
    <m/>
    <m/>
    <n v="0"/>
    <n v="95"/>
    <s v="Yes"/>
    <m/>
    <s v="New referral"/>
    <s v="appointment_export_2026_03.csv"/>
    <n v="0"/>
    <n v="0"/>
    <x v="3"/>
    <s v="Central"/>
    <s v="Mereana Thompson"/>
    <s v="Regional"/>
    <s v="Mon-Fri 08:30-17:00"/>
    <x v="0"/>
    <n v="21"/>
    <n v="95"/>
    <s v="Rehabilitation"/>
    <s v="Physiotherapist"/>
    <s v="Matched"/>
    <n v="33"/>
    <n v="0"/>
    <m/>
    <m/>
    <n v="0"/>
    <m/>
    <n v="1"/>
    <n v="0"/>
    <s v="Matches Standard"/>
    <x v="3"/>
    <n v="2026"/>
    <n v="3"/>
    <s v="Mar"/>
  </r>
  <r>
    <s v="APT-202603-0106"/>
    <d v="2026-03-02T00:00:00"/>
    <d v="2026-03-01T00:00:00"/>
    <s v="P0074"/>
    <s v="WLG"/>
    <s v="GEN"/>
    <s v="CL032"/>
    <x v="1"/>
    <x v="2"/>
    <d v="1899-12-30T13:00:00"/>
    <d v="1899-12-30T13:07:00"/>
    <d v="1899-12-30T13:03:00"/>
    <n v="30"/>
    <n v="65"/>
    <s v="No"/>
    <n v="5"/>
    <s v="New referral"/>
    <s v="appointment_export_2026_03.csv"/>
    <n v="0"/>
    <n v="0"/>
    <x v="0"/>
    <s v="Central"/>
    <s v="Sophie Martin"/>
    <s v="Urban"/>
    <s v="Mon-Sat 08:00-18:00"/>
    <x v="1"/>
    <n v="7"/>
    <n v="65"/>
    <s v="Primary care"/>
    <s v="Doctor or Nurse Practitioner"/>
    <s v="Matched"/>
    <n v="1"/>
    <n v="1"/>
    <m/>
    <m/>
    <n v="1"/>
    <n v="0"/>
    <n v="1"/>
    <n v="0"/>
    <s v="Matches Standard"/>
    <x v="3"/>
    <n v="2026"/>
    <n v="3"/>
    <s v="Mar"/>
  </r>
  <r>
    <s v="APT-202603-0107"/>
    <d v="2026-03-11T00:00:00"/>
    <d v="2026-02-28T00:00:00"/>
    <s v="P0208"/>
    <s v="PMR"/>
    <s v="MHS"/>
    <s v="CL024"/>
    <x v="1"/>
    <x v="2"/>
    <d v="1899-12-30T08:30:00"/>
    <d v="1899-12-30T08:29:00"/>
    <d v="1899-12-30T08:43:00"/>
    <n v="20"/>
    <m/>
    <s v="Yes"/>
    <n v="3"/>
    <s v="Patient requested appointment"/>
    <s v="appointment_export_2026_03.csv"/>
    <n v="0"/>
    <n v="0"/>
    <x v="3"/>
    <s v="Central"/>
    <s v="Mereana Thompson"/>
    <s v="Regional"/>
    <s v="Mon-Fri 08:30-17:00"/>
    <x v="2"/>
    <n v="14"/>
    <n v="120"/>
    <s v="Behavioural health"/>
    <s v="Mental Health Clinician"/>
    <s v="Matched"/>
    <n v="11"/>
    <n v="1"/>
    <n v="14"/>
    <n v="1"/>
    <n v="1"/>
    <n v="0"/>
    <n v="0"/>
    <m/>
    <s v="Missing Actual Fee"/>
    <x v="3"/>
    <n v="2026"/>
    <n v="3"/>
    <s v="Mar"/>
  </r>
  <r>
    <s v="APT-202603-0108"/>
    <d v="2026-03-31T00:00:00"/>
    <d v="2026-02-08T00:00:00"/>
    <s v="P0180"/>
    <s v="PMR"/>
    <s v="GEN"/>
    <s v="CL021"/>
    <x v="1"/>
    <x v="2"/>
    <d v="1899-12-30T11:30:00"/>
    <d v="1899-12-30T11:22:00"/>
    <d v="1899-12-30T11:32:00"/>
    <n v="30"/>
    <n v="65"/>
    <s v="No"/>
    <n v="5"/>
    <s v="Routine review"/>
    <s v="appointment_export_2026_03.csv"/>
    <n v="0"/>
    <n v="0"/>
    <x v="3"/>
    <s v="Central"/>
    <s v="Mereana Thompson"/>
    <s v="Regional"/>
    <s v="Mon-Fri 08:30-17:00"/>
    <x v="1"/>
    <n v="7"/>
    <n v="65"/>
    <s v="Primary care"/>
    <s v="Doctor or Nurse Practitioner"/>
    <s v="Matched"/>
    <n v="51"/>
    <n v="0"/>
    <n v="10"/>
    <n v="1"/>
    <n v="1"/>
    <n v="0"/>
    <n v="1"/>
    <n v="0"/>
    <s v="Matches Standard"/>
    <x v="3"/>
    <n v="2026"/>
    <n v="3"/>
    <s v="Mar"/>
  </r>
  <r>
    <s v="APT-202603-0109"/>
    <d v="2026-03-06T00:00:00"/>
    <d v="2026-03-03T00:00:00"/>
    <m/>
    <s v="PMR"/>
    <s v="GEN"/>
    <s v="CL022"/>
    <x v="1"/>
    <x v="3"/>
    <d v="1899-12-30T08:30:00"/>
    <d v="1899-12-30T08:36:00"/>
    <d v="1899-12-30T08:52:00"/>
    <n v="45"/>
    <n v="65"/>
    <s v="Yes"/>
    <n v="2"/>
    <s v="New referral"/>
    <s v="appointment_export_2026_03.csv"/>
    <n v="1"/>
    <n v="0"/>
    <x v="3"/>
    <s v="Central"/>
    <s v="Mereana Thompson"/>
    <s v="Regional"/>
    <s v="Mon-Fri 08:30-17:00"/>
    <x v="1"/>
    <n v="7"/>
    <n v="65"/>
    <s v="Primary care"/>
    <s v="Doctor or Nurse Practitioner"/>
    <s v="Matched"/>
    <n v="3"/>
    <n v="1"/>
    <n v="16"/>
    <n v="1"/>
    <n v="1"/>
    <n v="0"/>
    <n v="1"/>
    <n v="0"/>
    <s v="Matches Standard"/>
    <x v="3"/>
    <n v="2026"/>
    <n v="3"/>
    <s v="Mar"/>
  </r>
  <r>
    <s v="APT-202603-0110"/>
    <d v="2026-03-02T00:00:00"/>
    <d v="2026-01-10T00:00:00"/>
    <s v="P0155"/>
    <s v="HAM"/>
    <s v="PHY"/>
    <s v="CL015"/>
    <x v="1"/>
    <x v="0"/>
    <d v="1899-12-30T12:30:00"/>
    <d v="1899-12-30T12:23:00"/>
    <d v="1899-12-30T12:42:00"/>
    <n v="30"/>
    <n v="95"/>
    <s v="No"/>
    <n v="3"/>
    <s v="Routine review"/>
    <s v="appointment_export_2026_03.csv"/>
    <n v="0"/>
    <n v="0"/>
    <x v="1"/>
    <s v="Midland"/>
    <s v="Daniel Wong"/>
    <s v="Urban"/>
    <s v="Mon-Fri 08:00-17:30"/>
    <x v="0"/>
    <n v="21"/>
    <n v="95"/>
    <s v="Rehabilitation"/>
    <s v="Physiotherapist"/>
    <s v="Matched"/>
    <n v="51"/>
    <n v="0"/>
    <n v="19"/>
    <n v="1"/>
    <n v="1"/>
    <n v="0"/>
    <n v="1"/>
    <n v="0"/>
    <s v="Matches Standard"/>
    <x v="3"/>
    <n v="2026"/>
    <n v="3"/>
    <s v="Mar"/>
  </r>
  <r>
    <s v="APT-202603-0111"/>
    <d v="2026-03-12T00:00:00"/>
    <d v="2026-02-26T00:00:00"/>
    <s v="P0040"/>
    <s v="WLG"/>
    <s v="CAR"/>
    <s v="CL040"/>
    <x v="1"/>
    <x v="1"/>
    <d v="1899-12-30T12:00:00"/>
    <d v="1899-12-30T12:14:00"/>
    <d v="1899-12-30T12:19:00"/>
    <n v="45"/>
    <n v="150"/>
    <s v="Yes"/>
    <n v="4"/>
    <s v="Routine review"/>
    <s v="appointment_export_2026_03.csv"/>
    <n v="0"/>
    <n v="0"/>
    <x v="0"/>
    <s v="Central"/>
    <s v="Sophie Martin"/>
    <s v="Urban"/>
    <s v="Mon-Sat 08:00-18:00"/>
    <x v="4"/>
    <n v="28"/>
    <n v="150"/>
    <s v="Specialist outpatient"/>
    <s v="Cardiology Clinician"/>
    <s v="Matched"/>
    <n v="14"/>
    <n v="1"/>
    <n v="5"/>
    <n v="1"/>
    <n v="1"/>
    <n v="0"/>
    <n v="1"/>
    <n v="0"/>
    <s v="Matches Standard"/>
    <x v="3"/>
    <n v="2026"/>
    <n v="3"/>
    <s v="Mar"/>
  </r>
  <r>
    <s v="APT-202603-0112"/>
    <d v="2026-03-04T00:00:00"/>
    <d v="2026-02-22T00:00:00"/>
    <s v="P0073"/>
    <s v="WLG"/>
    <s v="GEN"/>
    <s v="CL031"/>
    <x v="2"/>
    <x v="2"/>
    <d v="1899-12-30T14:30:00"/>
    <m/>
    <m/>
    <n v="0"/>
    <n v="65"/>
    <s v="No"/>
    <m/>
    <s v="Routine review"/>
    <s v="appointment_export_2026_03.csv"/>
    <n v="0"/>
    <n v="0"/>
    <x v="0"/>
    <s v="Central"/>
    <s v="Sophie Martin"/>
    <s v="Urban"/>
    <s v="Mon-Sat 08:00-18:00"/>
    <x v="1"/>
    <n v="7"/>
    <n v="65"/>
    <s v="Primary care"/>
    <s v="Doctor or Nurse Practitioner"/>
    <s v="Matched"/>
    <n v="10"/>
    <n v="0"/>
    <m/>
    <m/>
    <n v="1"/>
    <n v="1"/>
    <n v="1"/>
    <n v="0"/>
    <s v="Matches Standard"/>
    <x v="3"/>
    <n v="2026"/>
    <n v="3"/>
    <s v="Mar"/>
  </r>
  <r>
    <s v="APT-202603-0113"/>
    <d v="2026-03-06T00:00:00"/>
    <m/>
    <s v="P0051"/>
    <s v="AUC"/>
    <s v="PHY"/>
    <s v="CL006"/>
    <x v="0"/>
    <x v="0"/>
    <d v="1899-12-30T11:00:00"/>
    <m/>
    <m/>
    <n v="0"/>
    <n v="95"/>
    <s v="No"/>
    <m/>
    <s v="New referral"/>
    <s v="appointment_export_2026_03.csv"/>
    <n v="0"/>
    <n v="0"/>
    <x v="2"/>
    <s v="Northern"/>
    <s v="Aroha Rangi"/>
    <s v="Urban"/>
    <s v="Mon-Fri 08:00-18:00"/>
    <x v="0"/>
    <n v="21"/>
    <n v="95"/>
    <s v="Rehabilitation"/>
    <s v="Physiotherapist"/>
    <s v="Matched"/>
    <m/>
    <m/>
    <m/>
    <m/>
    <n v="0"/>
    <m/>
    <n v="1"/>
    <n v="0"/>
    <s v="Matches Standard"/>
    <x v="3"/>
    <n v="2026"/>
    <n v="3"/>
    <s v="Mar"/>
  </r>
  <r>
    <s v="APT-202603-0114"/>
    <d v="2026-03-23T00:00:00"/>
    <d v="2026-02-07T00:00:00"/>
    <s v="P0128"/>
    <s v="WLG"/>
    <s v="CAR"/>
    <s v="CL039"/>
    <x v="1"/>
    <x v="3"/>
    <d v="1899-12-30T15:00:00"/>
    <d v="1899-12-30T14:50:00"/>
    <d v="1899-12-30T15:04:00"/>
    <n v="30"/>
    <n v="150"/>
    <s v="Yes"/>
    <n v="5"/>
    <s v="Routine review"/>
    <s v="appointment_export_2026_03.csv"/>
    <n v="0"/>
    <n v="0"/>
    <x v="0"/>
    <s v="Central"/>
    <s v="Sophie Martin"/>
    <s v="Urban"/>
    <s v="Mon-Sat 08:00-18:00"/>
    <x v="4"/>
    <n v="28"/>
    <n v="150"/>
    <s v="Specialist outpatient"/>
    <s v="Cardiology Clinician"/>
    <s v="Matched"/>
    <n v="44"/>
    <n v="0"/>
    <n v="14"/>
    <n v="1"/>
    <n v="1"/>
    <n v="0"/>
    <n v="1"/>
    <n v="0"/>
    <s v="Matches Standard"/>
    <x v="3"/>
    <n v="2026"/>
    <n v="3"/>
    <s v="Mar"/>
  </r>
  <r>
    <s v="APT-202603-0115"/>
    <d v="2026-03-02T00:00:00"/>
    <d v="2026-02-25T00:00:00"/>
    <s v="P0196"/>
    <s v="HAM"/>
    <s v="DIA"/>
    <s v="CL017"/>
    <x v="2"/>
    <x v="1"/>
    <d v="1899-12-30T13:30:00"/>
    <m/>
    <m/>
    <n v="0"/>
    <n v="80"/>
    <s v="No"/>
    <m/>
    <s v="Care plan review"/>
    <s v="appointment_export_2026_03.csv"/>
    <n v="0"/>
    <n v="0"/>
    <x v="1"/>
    <s v="Midland"/>
    <s v="Daniel Wong"/>
    <s v="Urban"/>
    <s v="Mon-Fri 08:00-17:30"/>
    <x v="3"/>
    <n v="10"/>
    <n v="80"/>
    <s v="Long-term conditions"/>
    <s v="Diabetes Nurse"/>
    <s v="Matched"/>
    <n v="5"/>
    <n v="1"/>
    <m/>
    <m/>
    <n v="1"/>
    <n v="1"/>
    <n v="1"/>
    <n v="0"/>
    <s v="Matches Standard"/>
    <x v="3"/>
    <n v="2026"/>
    <n v="3"/>
    <s v="Mar"/>
  </r>
  <r>
    <s v="APT-202603-0116"/>
    <d v="2026-03-11T00:00:00"/>
    <d v="2026-02-04T00:00:00"/>
    <s v="P0011"/>
    <s v="PMR"/>
    <s v="PHY"/>
    <s v="CL026"/>
    <x v="1"/>
    <x v="1"/>
    <d v="1899-12-30T13:30:00"/>
    <d v="1899-12-30T13:35:00"/>
    <d v="1899-12-30T13:40:00"/>
    <n v="30"/>
    <n v="95"/>
    <s v="No"/>
    <n v="5"/>
    <s v="Patient requested appointment"/>
    <s v="appointment_export_2026_03.csv"/>
    <n v="0"/>
    <n v="0"/>
    <x v="3"/>
    <s v="Central"/>
    <s v="Mereana Thompson"/>
    <s v="Regional"/>
    <s v="Mon-Fri 08:30-17:00"/>
    <x v="0"/>
    <n v="21"/>
    <n v="95"/>
    <s v="Rehabilitation"/>
    <s v="Physiotherapist"/>
    <s v="Matched"/>
    <n v="35"/>
    <n v="0"/>
    <n v="5"/>
    <n v="1"/>
    <n v="1"/>
    <n v="0"/>
    <n v="1"/>
    <n v="0"/>
    <s v="Matches Standard"/>
    <x v="3"/>
    <n v="2026"/>
    <n v="3"/>
    <s v="Mar"/>
  </r>
  <r>
    <s v="APT-202603-0117"/>
    <d v="2026-03-17T00:00:00"/>
    <d v="2026-02-07T00:00:00"/>
    <s v="P0199"/>
    <s v="WLG"/>
    <s v="PHY"/>
    <s v="CL036"/>
    <x v="1"/>
    <x v="2"/>
    <d v="1899-12-30T10:30:00"/>
    <d v="1899-12-30T10:41:00"/>
    <d v="1899-12-30T10:30:00"/>
    <n v="30"/>
    <n v="95"/>
    <s v="No"/>
    <n v="5"/>
    <s v="Patient requested appointment"/>
    <s v="appointment_export_2026_03.csv"/>
    <n v="0"/>
    <n v="0"/>
    <x v="0"/>
    <s v="Central"/>
    <s v="Sophie Martin"/>
    <s v="Urban"/>
    <s v="Mon-Sat 08:00-18:00"/>
    <x v="0"/>
    <n v="21"/>
    <n v="95"/>
    <s v="Rehabilitation"/>
    <s v="Physiotherapist"/>
    <s v="Matched"/>
    <n v="38"/>
    <n v="0"/>
    <m/>
    <m/>
    <n v="1"/>
    <n v="0"/>
    <n v="1"/>
    <n v="0"/>
    <s v="Matches Standard"/>
    <x v="3"/>
    <n v="2026"/>
    <n v="3"/>
    <s v="Mar"/>
  </r>
  <r>
    <s v="APT-202603-0118"/>
    <d v="2026-03-21T00:00:00"/>
    <d v="2026-03-17T00:00:00"/>
    <s v="P0012"/>
    <s v="WLG"/>
    <s v="GEN"/>
    <s v="CL031"/>
    <x v="2"/>
    <x v="1"/>
    <d v="1899-12-30T08:30:00"/>
    <m/>
    <m/>
    <n v="0"/>
    <n v="65"/>
    <s v="No"/>
    <m/>
    <s v="Routine review"/>
    <s v="appointment_export_2026_03.csv"/>
    <n v="0"/>
    <n v="0"/>
    <x v="0"/>
    <s v="Central"/>
    <s v="Sophie Martin"/>
    <s v="Urban"/>
    <s v="Mon-Sat 08:00-18:00"/>
    <x v="1"/>
    <n v="7"/>
    <n v="65"/>
    <s v="Primary care"/>
    <s v="Doctor or Nurse Practitioner"/>
    <s v="Matched"/>
    <n v="4"/>
    <n v="1"/>
    <m/>
    <m/>
    <n v="1"/>
    <n v="1"/>
    <n v="1"/>
    <n v="0"/>
    <s v="Matches Standard"/>
    <x v="3"/>
    <n v="2026"/>
    <n v="3"/>
    <s v="Mar"/>
  </r>
  <r>
    <s v="APT-202603-0119"/>
    <d v="2026-03-17T00:00:00"/>
    <d v="2026-02-20T00:00:00"/>
    <s v="P0119"/>
    <s v="HAM"/>
    <s v="CAR"/>
    <s v="CL020"/>
    <x v="1"/>
    <x v="3"/>
    <d v="1899-12-30T14:00:00"/>
    <d v="1899-12-30T14:06:00"/>
    <d v="1899-12-30T14:03:00"/>
    <n v="30"/>
    <n v="150"/>
    <s v="Yes"/>
    <n v="4"/>
    <s v="Follow-up visit"/>
    <s v="appointment_export_2026_03.csv"/>
    <n v="0"/>
    <n v="0"/>
    <x v="1"/>
    <s v="Midland"/>
    <s v="Daniel Wong"/>
    <s v="Urban"/>
    <s v="Mon-Fri 08:00-17:30"/>
    <x v="4"/>
    <n v="28"/>
    <n v="150"/>
    <s v="Specialist outpatient"/>
    <s v="Cardiology Clinician"/>
    <s v="Matched"/>
    <n v="25"/>
    <n v="1"/>
    <m/>
    <m/>
    <n v="1"/>
    <n v="0"/>
    <n v="1"/>
    <n v="0"/>
    <s v="Matches Standard"/>
    <x v="3"/>
    <n v="2026"/>
    <n v="3"/>
    <s v="Mar"/>
  </r>
  <r>
    <s v="APT-202603-0120"/>
    <d v="2026-03-08T00:00:00"/>
    <d v="2026-01-22T00:00:00"/>
    <s v="P0229"/>
    <s v="WLG"/>
    <s v="PHY"/>
    <s v="CL035"/>
    <x v="1"/>
    <x v="0"/>
    <d v="1899-12-30T15:30:00"/>
    <d v="1899-12-30T15:33:00"/>
    <d v="1899-12-30T16:02:00"/>
    <n v="30"/>
    <n v="95"/>
    <s v="No"/>
    <n v="4"/>
    <s v="Follow-up visit"/>
    <s v="appointment_export_2026_03.csv"/>
    <n v="0"/>
    <n v="0"/>
    <x v="0"/>
    <s v="Central"/>
    <s v="Sophie Martin"/>
    <s v="Urban"/>
    <s v="Mon-Sat 08:00-18:00"/>
    <x v="0"/>
    <n v="21"/>
    <n v="95"/>
    <s v="Rehabilitation"/>
    <s v="Physiotherapist"/>
    <s v="Matched"/>
    <n v="45"/>
    <n v="0"/>
    <n v="29"/>
    <n v="1"/>
    <n v="1"/>
    <n v="0"/>
    <n v="1"/>
    <n v="0"/>
    <s v="Matches Standard"/>
    <x v="3"/>
    <n v="2026"/>
    <n v="3"/>
    <s v="Mar"/>
  </r>
  <r>
    <s v="APT-202603-0121"/>
    <d v="2026-03-19T00:00:00"/>
    <d v="2026-02-27T00:00:00"/>
    <s v="P0111"/>
    <s v="PMR"/>
    <s v="MHS"/>
    <s v="CL024"/>
    <x v="1"/>
    <x v="0"/>
    <d v="1899-12-30T12:30:00"/>
    <d v="1899-12-30T12:36:00"/>
    <d v="1899-12-30T13:03:00"/>
    <n v="45"/>
    <n v="120"/>
    <s v="No"/>
    <n v="3"/>
    <s v="Follow-up visit"/>
    <s v="appointment_export_2026_03.csv"/>
    <n v="0"/>
    <n v="0"/>
    <x v="3"/>
    <s v="Central"/>
    <s v="Mereana Thompson"/>
    <s v="Regional"/>
    <s v="Mon-Fri 08:30-17:00"/>
    <x v="2"/>
    <n v="14"/>
    <n v="120"/>
    <s v="Behavioural health"/>
    <s v="Mental Health Clinician"/>
    <s v="Matched"/>
    <n v="20"/>
    <n v="0"/>
    <n v="27"/>
    <n v="1"/>
    <n v="1"/>
    <n v="0"/>
    <n v="1"/>
    <n v="0"/>
    <s v="Matches Standard"/>
    <x v="3"/>
    <n v="2026"/>
    <n v="3"/>
    <s v="Mar"/>
  </r>
  <r>
    <s v="APT-202603-0122"/>
    <d v="2026-03-16T00:00:00"/>
    <d v="2026-01-24T00:00:00"/>
    <s v="P0160"/>
    <s v="AUC"/>
    <s v="GEN"/>
    <s v="CL001"/>
    <x v="2"/>
    <x v="2"/>
    <d v="1899-12-30T12:00:00"/>
    <m/>
    <m/>
    <n v="0"/>
    <n v="65"/>
    <s v="No"/>
    <m/>
    <s v="New referral"/>
    <s v="appointment_export_2026_03.csv"/>
    <n v="0"/>
    <n v="0"/>
    <x v="2"/>
    <s v="Northern"/>
    <s v="Aroha Rangi"/>
    <s v="Urban"/>
    <s v="Mon-Fri 08:00-18:00"/>
    <x v="1"/>
    <n v="7"/>
    <n v="65"/>
    <s v="Primary care"/>
    <s v="Doctor or Nurse Practitioner"/>
    <s v="Matched"/>
    <n v="51"/>
    <n v="0"/>
    <m/>
    <m/>
    <n v="1"/>
    <n v="1"/>
    <n v="1"/>
    <n v="0"/>
    <s v="Matches Standard"/>
    <x v="3"/>
    <n v="2026"/>
    <n v="3"/>
    <s v="Mar"/>
  </r>
  <r>
    <s v="APT-202603-0123"/>
    <d v="2026-03-28T00:00:00"/>
    <d v="2026-03-03T00:00:00"/>
    <s v="P0153"/>
    <s v="AUC"/>
    <s v="CAR"/>
    <s v="CL009"/>
    <x v="0"/>
    <x v="2"/>
    <d v="1899-12-30T14:00:00"/>
    <m/>
    <m/>
    <n v="0"/>
    <n v="150"/>
    <s v="No"/>
    <m/>
    <s v="Care plan review"/>
    <s v="appointment_export_2026_03.csv"/>
    <n v="0"/>
    <n v="0"/>
    <x v="2"/>
    <s v="Northern"/>
    <s v="Aroha Rangi"/>
    <s v="Urban"/>
    <s v="Mon-Fri 08:00-18:00"/>
    <x v="4"/>
    <n v="28"/>
    <n v="150"/>
    <s v="Specialist outpatient"/>
    <s v="Cardiology Clinician"/>
    <s v="Matched"/>
    <n v="25"/>
    <n v="1"/>
    <m/>
    <m/>
    <n v="0"/>
    <m/>
    <n v="1"/>
    <n v="0"/>
    <s v="Matches Standard"/>
    <x v="3"/>
    <n v="2026"/>
    <n v="3"/>
    <s v="Mar"/>
  </r>
  <r>
    <s v="APT-202603-0124"/>
    <d v="2026-03-16T00:00:00"/>
    <d v="2026-03-01T00:00:00"/>
    <s v="P0185"/>
    <s v="AUC"/>
    <s v="MHS"/>
    <s v="CL003"/>
    <x v="3"/>
    <x v="2"/>
    <d v="1899-12-30T10:00:00"/>
    <d v="1899-12-30T09:56:00"/>
    <d v="1899-12-30T10:31:00"/>
    <n v="20"/>
    <n v="120"/>
    <s v="No"/>
    <n v="5"/>
    <s v="Routine review"/>
    <s v="appointment_export_2026_03.csv"/>
    <n v="0"/>
    <n v="0"/>
    <x v="2"/>
    <s v="Northern"/>
    <s v="Aroha Rangi"/>
    <s v="Urban"/>
    <s v="Mon-Fri 08:00-18:00"/>
    <x v="2"/>
    <n v="14"/>
    <n v="120"/>
    <s v="Behavioural health"/>
    <s v="Mental Health Clinician"/>
    <s v="Matched"/>
    <n v="15"/>
    <n v="0"/>
    <m/>
    <m/>
    <n v="0"/>
    <m/>
    <n v="1"/>
    <n v="0"/>
    <s v="Matches Standard"/>
    <x v="3"/>
    <n v="2026"/>
    <n v="3"/>
    <s v="Mar"/>
  </r>
  <r>
    <s v="APT-202603-0125"/>
    <d v="2026-03-02T00:00:00"/>
    <d v="2026-01-25T00:00:00"/>
    <s v="P0113"/>
    <s v="WLG"/>
    <s v="PHY"/>
    <s v="CL036"/>
    <x v="1"/>
    <x v="3"/>
    <d v="1899-12-30T08:00:00"/>
    <d v="1899-12-30T08:00:00"/>
    <d v="1899-12-30T08:36:00"/>
    <n v="30"/>
    <n v="95"/>
    <s v="Yes"/>
    <n v="3"/>
    <s v="Follow-up visit"/>
    <s v="appointment_export_2026_03.csv"/>
    <n v="0"/>
    <n v="0"/>
    <x v="0"/>
    <s v="Central"/>
    <s v="Sophie Martin"/>
    <s v="Urban"/>
    <s v="Mon-Sat 08:00-18:00"/>
    <x v="0"/>
    <n v="21"/>
    <n v="95"/>
    <s v="Rehabilitation"/>
    <s v="Physiotherapist"/>
    <s v="Matched"/>
    <n v="36"/>
    <n v="0"/>
    <n v="36"/>
    <n v="0"/>
    <n v="1"/>
    <n v="0"/>
    <n v="1"/>
    <n v="0"/>
    <s v="Matches Standard"/>
    <x v="3"/>
    <n v="2026"/>
    <n v="3"/>
    <s v="Mar"/>
  </r>
  <r>
    <s v="APT-202603-0126"/>
    <d v="2026-03-23T00:00:00"/>
    <d v="2026-02-22T00:00:00"/>
    <s v="P0128"/>
    <s v="WLG"/>
    <s v="CAR"/>
    <s v="CL039"/>
    <x v="1"/>
    <x v="3"/>
    <d v="1899-12-30T11:30:00"/>
    <d v="1899-12-30T11:40:00"/>
    <d v="1899-12-30T11:41:00"/>
    <n v="20"/>
    <n v="150"/>
    <s v="No"/>
    <n v="4"/>
    <s v="New referral"/>
    <s v="appointment_export_2026_03.csv"/>
    <n v="0"/>
    <n v="0"/>
    <x v="0"/>
    <s v="Central"/>
    <s v="Sophie Martin"/>
    <s v="Urban"/>
    <s v="Mon-Sat 08:00-18:00"/>
    <x v="4"/>
    <n v="28"/>
    <n v="150"/>
    <s v="Specialist outpatient"/>
    <s v="Cardiology Clinician"/>
    <s v="Matched"/>
    <n v="29"/>
    <n v="0"/>
    <n v="1"/>
    <n v="1"/>
    <n v="1"/>
    <n v="0"/>
    <n v="1"/>
    <n v="0"/>
    <s v="Matches Standard"/>
    <x v="3"/>
    <n v="2026"/>
    <n v="3"/>
    <s v="Mar"/>
  </r>
  <r>
    <s v="APT-202603-0127"/>
    <d v="2026-03-02T00:00:00"/>
    <d v="2026-01-07T00:00:00"/>
    <s v="P0014"/>
    <s v="PMR"/>
    <s v="MHS"/>
    <s v="CL024"/>
    <x v="2"/>
    <x v="0"/>
    <d v="1899-12-30T10:30:00"/>
    <m/>
    <m/>
    <n v="0"/>
    <n v="120"/>
    <s v="No"/>
    <m/>
    <s v="Follow-up visit"/>
    <s v="appointment_export_2026_03.csv"/>
    <n v="0"/>
    <n v="0"/>
    <x v="3"/>
    <s v="Central"/>
    <s v="Mereana Thompson"/>
    <s v="Regional"/>
    <s v="Mon-Fri 08:30-17:00"/>
    <x v="2"/>
    <n v="14"/>
    <n v="120"/>
    <s v="Behavioural health"/>
    <s v="Mental Health Clinician"/>
    <s v="Matched"/>
    <n v="54"/>
    <n v="0"/>
    <m/>
    <m/>
    <n v="1"/>
    <n v="1"/>
    <n v="1"/>
    <n v="0"/>
    <s v="Matches Standard"/>
    <x v="3"/>
    <n v="2026"/>
    <n v="3"/>
    <s v="Mar"/>
  </r>
  <r>
    <s v="APT-202603-0128"/>
    <d v="2026-03-25T00:00:00"/>
    <d v="2026-02-07T00:00:00"/>
    <s v="P0185"/>
    <s v="AUC"/>
    <s v="DIA"/>
    <s v="CL007"/>
    <x v="0"/>
    <x v="1"/>
    <d v="1899-12-30T16:00:00"/>
    <m/>
    <m/>
    <n v="0"/>
    <n v="80"/>
    <s v="No"/>
    <m/>
    <s v="Patient requested appointment"/>
    <s v="appointment_export_2026_03.csv"/>
    <n v="0"/>
    <n v="0"/>
    <x v="2"/>
    <s v="Northern"/>
    <s v="Aroha Rangi"/>
    <s v="Urban"/>
    <s v="Mon-Fri 08:00-18:00"/>
    <x v="3"/>
    <n v="10"/>
    <n v="80"/>
    <s v="Long-term conditions"/>
    <s v="Diabetes Nurse"/>
    <s v="Matched"/>
    <n v="46"/>
    <n v="0"/>
    <m/>
    <m/>
    <n v="0"/>
    <m/>
    <n v="1"/>
    <n v="0"/>
    <s v="Matches Standard"/>
    <x v="3"/>
    <n v="2026"/>
    <n v="3"/>
    <s v="Mar"/>
  </r>
  <r>
    <s v="APT-202603-0129"/>
    <d v="2026-03-01T00:00:00"/>
    <d v="2026-02-17T00:00:00"/>
    <s v="P0057"/>
    <s v="AUC"/>
    <s v="PHY"/>
    <s v="CL006"/>
    <x v="1"/>
    <x v="1"/>
    <d v="1899-12-30T12:30:00"/>
    <d v="1899-12-30T12:36:00"/>
    <d v="1899-12-30T12:45:00"/>
    <n v="20"/>
    <n v="95"/>
    <s v="Yes"/>
    <n v="4"/>
    <s v="New referral"/>
    <s v="appointment_export_2026_03.csv"/>
    <n v="0"/>
    <n v="0"/>
    <x v="2"/>
    <s v="Northern"/>
    <s v="Aroha Rangi"/>
    <s v="Urban"/>
    <s v="Mon-Fri 08:00-18:00"/>
    <x v="0"/>
    <n v="21"/>
    <n v="95"/>
    <s v="Rehabilitation"/>
    <s v="Physiotherapist"/>
    <s v="Matched"/>
    <n v="12"/>
    <n v="1"/>
    <n v="9"/>
    <n v="1"/>
    <n v="1"/>
    <n v="0"/>
    <n v="1"/>
    <n v="0"/>
    <s v="Matches Standard"/>
    <x v="3"/>
    <n v="2026"/>
    <n v="3"/>
    <s v="Mar"/>
  </r>
  <r>
    <s v="APT-202603-0130"/>
    <d v="2026-03-10T00:00:00"/>
    <d v="2026-02-09T00:00:00"/>
    <s v="P0042"/>
    <s v="HAM"/>
    <s v="MHS"/>
    <s v="CL014"/>
    <x v="2"/>
    <x v="2"/>
    <d v="1899-12-30T10:30:00"/>
    <m/>
    <m/>
    <n v="0"/>
    <n v="120"/>
    <s v="No"/>
    <m/>
    <s v="Follow-up visit"/>
    <s v="appointment_export_2026_03.csv"/>
    <n v="0"/>
    <n v="0"/>
    <x v="1"/>
    <s v="Midland"/>
    <s v="Daniel Wong"/>
    <s v="Urban"/>
    <s v="Mon-Fri 08:00-17:30"/>
    <x v="2"/>
    <n v="14"/>
    <n v="120"/>
    <s v="Behavioural health"/>
    <s v="Mental Health Clinician"/>
    <s v="Matched"/>
    <n v="29"/>
    <n v="0"/>
    <m/>
    <m/>
    <n v="1"/>
    <n v="1"/>
    <n v="1"/>
    <n v="0"/>
    <s v="Matches Standard"/>
    <x v="3"/>
    <n v="2026"/>
    <n v="3"/>
    <s v="Mar"/>
  </r>
  <r>
    <s v="APT-202603-0131"/>
    <d v="2026-03-07T00:00:00"/>
    <d v="2026-02-18T00:00:00"/>
    <s v="P9999"/>
    <s v="PMR"/>
    <s v="GEN"/>
    <s v="CL022"/>
    <x v="1"/>
    <x v="2"/>
    <d v="1899-12-30T14:30:00"/>
    <d v="1899-12-30T14:29:00"/>
    <d v="1899-12-30T14:47:00"/>
    <n v="30"/>
    <n v="65"/>
    <s v="Yes"/>
    <n v="5"/>
    <s v="Routine review"/>
    <s v="appointment_export_2026_03.csv"/>
    <n v="0"/>
    <n v="0"/>
    <x v="3"/>
    <s v="Central"/>
    <s v="Mereana Thompson"/>
    <s v="Regional"/>
    <s v="Mon-Fri 08:30-17:00"/>
    <x v="1"/>
    <n v="7"/>
    <n v="65"/>
    <s v="Primary care"/>
    <s v="Doctor or Nurse Practitioner"/>
    <s v="Matched"/>
    <n v="17"/>
    <n v="0"/>
    <n v="18"/>
    <n v="1"/>
    <n v="1"/>
    <n v="0"/>
    <n v="1"/>
    <n v="0"/>
    <s v="Matches Standard"/>
    <x v="3"/>
    <n v="2026"/>
    <n v="3"/>
    <s v="Mar"/>
  </r>
  <r>
    <s v="APT-202603-0132"/>
    <d v="2026-03-03T00:00:00"/>
    <d v="2026-02-17T00:00:00"/>
    <s v="P0211"/>
    <s v="PMR"/>
    <s v="DIA"/>
    <s v="CL028"/>
    <x v="1"/>
    <x v="0"/>
    <d v="1899-12-30T14:30:00"/>
    <d v="1899-12-30T14:25:00"/>
    <d v="1899-12-30T15:04:00"/>
    <n v="45"/>
    <n v="80"/>
    <s v="No"/>
    <n v="3"/>
    <s v="Routine review"/>
    <s v="appointment_export_2026_03.csv"/>
    <n v="0"/>
    <n v="0"/>
    <x v="3"/>
    <s v="Central"/>
    <s v="Mereana Thompson"/>
    <s v="Regional"/>
    <s v="Mon-Fri 08:30-17:00"/>
    <x v="3"/>
    <n v="10"/>
    <n v="80"/>
    <s v="Long-term conditions"/>
    <s v="Diabetes Nurse"/>
    <s v="Matched"/>
    <n v="14"/>
    <n v="0"/>
    <n v="39"/>
    <n v="0"/>
    <n v="1"/>
    <n v="0"/>
    <n v="1"/>
    <n v="0"/>
    <s v="Matches Standard"/>
    <x v="3"/>
    <n v="2026"/>
    <n v="3"/>
    <s v="Mar"/>
  </r>
  <r>
    <s v="APT-202603-0133"/>
    <d v="2026-03-08T00:00:00"/>
    <d v="2026-03-03T00:00:00"/>
    <s v="P0056"/>
    <s v="PMR"/>
    <s v="MHS"/>
    <s v="CL024"/>
    <x v="1"/>
    <x v="2"/>
    <d v="1899-12-30T12:30:00"/>
    <d v="1899-12-30T12:43:00"/>
    <d v="1899-12-30T12:43:00"/>
    <n v="30"/>
    <n v="120"/>
    <s v="No"/>
    <n v="5"/>
    <s v="Care plan review"/>
    <s v="appointment_export_2026_03.csv"/>
    <n v="0"/>
    <n v="0"/>
    <x v="3"/>
    <s v="Central"/>
    <s v="Mereana Thompson"/>
    <s v="Regional"/>
    <s v="Mon-Fri 08:30-17:00"/>
    <x v="2"/>
    <n v="14"/>
    <n v="120"/>
    <s v="Behavioural health"/>
    <s v="Mental Health Clinician"/>
    <s v="Matched"/>
    <n v="5"/>
    <n v="1"/>
    <n v="0"/>
    <n v="1"/>
    <n v="1"/>
    <n v="0"/>
    <n v="1"/>
    <n v="0"/>
    <s v="Matches Standard"/>
    <x v="3"/>
    <n v="2026"/>
    <n v="3"/>
    <s v="Mar"/>
  </r>
  <r>
    <s v="APT-202603-0134"/>
    <d v="2026-03-11T00:00:00"/>
    <d v="2026-02-17T00:00:00"/>
    <s v="P0205"/>
    <s v="PMR"/>
    <s v="PHY"/>
    <s v="CL025"/>
    <x v="1"/>
    <x v="1"/>
    <d v="1899-12-30T15:00:00"/>
    <d v="1899-12-30T14:55:00"/>
    <d v="1899-12-30T15:27:00"/>
    <n v="45"/>
    <n v="95"/>
    <s v="Yes"/>
    <n v="5"/>
    <s v="Patient requested appointment"/>
    <s v="appointment_export_2026_03.csv"/>
    <n v="0"/>
    <n v="0"/>
    <x v="3"/>
    <s v="Central"/>
    <s v="Mereana Thompson"/>
    <s v="Regional"/>
    <s v="Mon-Fri 08:30-17:00"/>
    <x v="0"/>
    <n v="21"/>
    <n v="95"/>
    <s v="Rehabilitation"/>
    <s v="Physiotherapist"/>
    <s v="Matched"/>
    <n v="22"/>
    <n v="0"/>
    <n v="32"/>
    <n v="0"/>
    <n v="1"/>
    <n v="0"/>
    <n v="1"/>
    <n v="0"/>
    <s v="Matches Standard"/>
    <x v="3"/>
    <n v="2026"/>
    <n v="3"/>
    <s v="Mar"/>
  </r>
  <r>
    <s v="APT-202603-0135"/>
    <d v="2026-03-13T00:00:00"/>
    <d v="2026-03-12T00:00:00"/>
    <s v="P0150"/>
    <s v="WLG"/>
    <s v="DIA"/>
    <s v="CL037"/>
    <x v="1"/>
    <x v="0"/>
    <d v="1899-12-30T08:00:00"/>
    <d v="1899-12-30T07:50:00"/>
    <d v="1899-12-30T08:39:00"/>
    <n v="45"/>
    <n v="80"/>
    <s v="No"/>
    <n v="5"/>
    <s v="Patient requested appointment"/>
    <s v="appointment_export_2026_03.csv"/>
    <n v="0"/>
    <n v="0"/>
    <x v="0"/>
    <s v="Central"/>
    <s v="Sophie Martin"/>
    <s v="Urban"/>
    <s v="Mon-Sat 08:00-18:00"/>
    <x v="3"/>
    <n v="10"/>
    <n v="80"/>
    <s v="Long-term conditions"/>
    <s v="Diabetes Nurse"/>
    <s v="Matched"/>
    <n v="1"/>
    <n v="1"/>
    <n v="49"/>
    <n v="0"/>
    <n v="1"/>
    <n v="0"/>
    <n v="1"/>
    <n v="0"/>
    <s v="Matches Standard"/>
    <x v="3"/>
    <n v="2026"/>
    <n v="3"/>
    <s v="Mar"/>
  </r>
  <r>
    <s v="APT-202603-0136"/>
    <d v="2026-03-07T00:00:00"/>
    <d v="2026-01-23T00:00:00"/>
    <s v="P0097"/>
    <s v="HAM"/>
    <s v="CAR"/>
    <s v="CL020"/>
    <x v="1"/>
    <x v="2"/>
    <d v="1899-12-30T11:00:00"/>
    <d v="1899-12-30T10:54:00"/>
    <d v="1899-12-30T11:21:00"/>
    <n v="30"/>
    <n v="150"/>
    <s v="No"/>
    <n v="3"/>
    <s v="Care plan review"/>
    <s v="appointment_export_2026_03.csv"/>
    <n v="0"/>
    <n v="0"/>
    <x v="1"/>
    <s v="Midland"/>
    <s v="Daniel Wong"/>
    <s v="Urban"/>
    <s v="Mon-Fri 08:00-17:30"/>
    <x v="4"/>
    <n v="28"/>
    <n v="150"/>
    <s v="Specialist outpatient"/>
    <s v="Cardiology Clinician"/>
    <s v="Matched"/>
    <n v="43"/>
    <n v="0"/>
    <n v="27"/>
    <n v="1"/>
    <n v="1"/>
    <n v="0"/>
    <n v="1"/>
    <n v="0"/>
    <s v="Matches Standard"/>
    <x v="3"/>
    <n v="2026"/>
    <n v="3"/>
    <s v="Mar"/>
  </r>
  <r>
    <s v="APT-202603-0137"/>
    <d v="2026-03-25T00:00:00"/>
    <d v="2026-02-03T00:00:00"/>
    <s v="P0184"/>
    <s v="PMR"/>
    <s v="MHS"/>
    <s v="CL024"/>
    <x v="0"/>
    <x v="3"/>
    <d v="1899-12-30T11:30:00"/>
    <m/>
    <m/>
    <m/>
    <n v="120"/>
    <s v="Yes"/>
    <m/>
    <s v="Patient requested appointment"/>
    <s v="appointment_export_2026_03.csv"/>
    <n v="0"/>
    <n v="0"/>
    <x v="3"/>
    <s v="Central"/>
    <s v="Mereana Thompson"/>
    <s v="Regional"/>
    <s v="Mon-Fri 08:30-17:00"/>
    <x v="2"/>
    <n v="14"/>
    <n v="120"/>
    <s v="Behavioural health"/>
    <s v="Mental Health Clinician"/>
    <s v="Matched"/>
    <n v="50"/>
    <n v="0"/>
    <m/>
    <m/>
    <n v="0"/>
    <m/>
    <n v="1"/>
    <n v="0"/>
    <s v="Matches Standard"/>
    <x v="3"/>
    <n v="2026"/>
    <n v="3"/>
    <s v="Mar"/>
  </r>
  <r>
    <s v="APT-202603-0138"/>
    <d v="2026-03-01T00:00:00"/>
    <d v="2026-01-27T00:00:00"/>
    <s v="P0021"/>
    <s v="HAM"/>
    <s v="PHY"/>
    <s v="CL015"/>
    <x v="1"/>
    <x v="3"/>
    <d v="1899-12-30T12:30:00"/>
    <d v="1899-12-30T12:39:00"/>
    <d v="1899-12-30T12:56:00"/>
    <n v="30"/>
    <n v="95"/>
    <s v="No"/>
    <n v="2"/>
    <s v="Care plan review"/>
    <s v="appointment_export_2026_03.csv"/>
    <n v="0"/>
    <n v="0"/>
    <x v="1"/>
    <s v="Midland"/>
    <s v="Daniel Wong"/>
    <s v="Urban"/>
    <s v="Mon-Fri 08:00-17:30"/>
    <x v="0"/>
    <n v="21"/>
    <n v="95"/>
    <s v="Rehabilitation"/>
    <s v="Physiotherapist"/>
    <s v="Matched"/>
    <n v="33"/>
    <n v="0"/>
    <n v="17"/>
    <n v="1"/>
    <n v="1"/>
    <n v="0"/>
    <n v="1"/>
    <n v="0"/>
    <s v="Matches Standard"/>
    <x v="3"/>
    <n v="2026"/>
    <n v="3"/>
    <s v="Mar"/>
  </r>
  <r>
    <s v="APT-202603-0140"/>
    <d v="2026-03-19T00:00:00"/>
    <d v="2026-02-15T00:00:00"/>
    <s v="P0101"/>
    <s v="AUC"/>
    <s v="PHY"/>
    <s v="CL005"/>
    <x v="1"/>
    <x v="1"/>
    <d v="1899-12-30T08:30:00"/>
    <d v="1899-12-30T08:33:00"/>
    <d v="1899-12-30T08:41:00"/>
    <n v="30"/>
    <n v="95"/>
    <s v="No"/>
    <n v="3"/>
    <s v="New referral"/>
    <s v="appointment_export_2026_03.csv"/>
    <n v="0"/>
    <n v="0"/>
    <x v="2"/>
    <s v="Northern"/>
    <s v="Aroha Rangi"/>
    <s v="Urban"/>
    <s v="Mon-Fri 08:00-18:00"/>
    <x v="0"/>
    <n v="21"/>
    <n v="95"/>
    <s v="Rehabilitation"/>
    <s v="Physiotherapist"/>
    <s v="Matched"/>
    <n v="32"/>
    <n v="0"/>
    <n v="8"/>
    <n v="1"/>
    <n v="1"/>
    <n v="0"/>
    <n v="1"/>
    <n v="0"/>
    <s v="Matches Standard"/>
    <x v="3"/>
    <n v="2026"/>
    <n v="3"/>
    <s v="Mar"/>
  </r>
  <r>
    <s v="APT-202603-0141"/>
    <d v="2026-03-11T00:00:00"/>
    <d v="2026-01-29T00:00:00"/>
    <s v="P0116"/>
    <s v="WLG"/>
    <s v="CAR"/>
    <s v="CL039"/>
    <x v="0"/>
    <x v="2"/>
    <d v="1899-12-30T11:00:00"/>
    <m/>
    <m/>
    <n v="0"/>
    <n v="150"/>
    <s v="No"/>
    <m/>
    <s v="Care plan review"/>
    <s v="appointment_export_2026_03.csv"/>
    <n v="0"/>
    <n v="0"/>
    <x v="0"/>
    <s v="Central"/>
    <s v="Sophie Martin"/>
    <s v="Urban"/>
    <s v="Mon-Sat 08:00-18:00"/>
    <x v="4"/>
    <n v="28"/>
    <n v="150"/>
    <s v="Specialist outpatient"/>
    <s v="Cardiology Clinician"/>
    <s v="Matched"/>
    <n v="41"/>
    <n v="0"/>
    <m/>
    <m/>
    <n v="0"/>
    <m/>
    <n v="1"/>
    <n v="0"/>
    <s v="Matches Standard"/>
    <x v="3"/>
    <n v="2026"/>
    <n v="3"/>
    <s v="Mar"/>
  </r>
  <r>
    <s v="APT-202603-0142"/>
    <d v="2026-03-01T00:00:00"/>
    <d v="2026-01-22T00:00:00"/>
    <s v="P0115"/>
    <s v="WLG"/>
    <s v="MHS"/>
    <s v="CL034"/>
    <x v="2"/>
    <x v="3"/>
    <d v="1899-12-30T15:30:00"/>
    <m/>
    <m/>
    <n v="0"/>
    <n v="120"/>
    <s v="No"/>
    <m/>
    <s v="New referral"/>
    <s v="appointment_export_2026_03.csv"/>
    <n v="0"/>
    <n v="0"/>
    <x v="0"/>
    <s v="Central"/>
    <s v="Sophie Martin"/>
    <s v="Urban"/>
    <s v="Mon-Sat 08:00-18:00"/>
    <x v="2"/>
    <n v="14"/>
    <n v="120"/>
    <s v="Behavioural health"/>
    <s v="Mental Health Clinician"/>
    <s v="Matched"/>
    <n v="38"/>
    <n v="0"/>
    <m/>
    <m/>
    <n v="1"/>
    <n v="1"/>
    <n v="1"/>
    <n v="0"/>
    <s v="Matches Standard"/>
    <x v="3"/>
    <n v="2026"/>
    <n v="3"/>
    <s v="Mar"/>
  </r>
  <r>
    <s v="APT-202603-0143"/>
    <d v="2026-03-11T00:00:00"/>
    <d v="2026-02-03T00:00:00"/>
    <s v="P0009"/>
    <s v="PMR"/>
    <s v="GEN"/>
    <s v="CL021"/>
    <x v="1"/>
    <x v="0"/>
    <d v="1899-12-30T09:00:00"/>
    <d v="1899-12-30T08:54:00"/>
    <d v="1899-12-30T09:12:00"/>
    <n v="20"/>
    <n v="65"/>
    <s v="No"/>
    <n v="4"/>
    <s v="New referral"/>
    <s v="appointment_export_2026_03.csv"/>
    <n v="0"/>
    <n v="0"/>
    <x v="3"/>
    <s v="Central"/>
    <s v="Mereana Thompson"/>
    <s v="Regional"/>
    <s v="Mon-Fri 08:30-17:00"/>
    <x v="1"/>
    <n v="7"/>
    <n v="65"/>
    <s v="Primary care"/>
    <s v="Doctor or Nurse Practitioner"/>
    <s v="Matched"/>
    <n v="36"/>
    <n v="0"/>
    <n v="18"/>
    <n v="1"/>
    <n v="1"/>
    <n v="0"/>
    <n v="1"/>
    <n v="0"/>
    <s v="Matches Standard"/>
    <x v="3"/>
    <n v="2026"/>
    <n v="3"/>
    <s v="Mar"/>
  </r>
  <r>
    <s v="APT-202603-0144"/>
    <d v="2026-03-20T00:00:00"/>
    <d v="2026-01-29T00:00:00"/>
    <s v="P0187"/>
    <s v="PMR"/>
    <s v="GEN"/>
    <s v="CL021"/>
    <x v="1"/>
    <x v="1"/>
    <d v="1899-12-30T16:00:00"/>
    <d v="1899-12-30T16:02:00"/>
    <d v="1899-12-30T16:39:00"/>
    <n v="20"/>
    <n v="65"/>
    <s v="No"/>
    <n v="2"/>
    <s v="Routine review"/>
    <s v="appointment_export_2026_03.csv"/>
    <n v="0"/>
    <n v="0"/>
    <x v="3"/>
    <s v="Central"/>
    <s v="Mereana Thompson"/>
    <s v="Regional"/>
    <s v="Mon-Fri 08:30-17:00"/>
    <x v="1"/>
    <n v="7"/>
    <n v="65"/>
    <s v="Primary care"/>
    <s v="Doctor or Nurse Practitioner"/>
    <s v="Matched"/>
    <n v="50"/>
    <n v="0"/>
    <n v="37"/>
    <n v="0"/>
    <n v="1"/>
    <n v="0"/>
    <n v="1"/>
    <n v="0"/>
    <s v="Matches Standard"/>
    <x v="3"/>
    <n v="2026"/>
    <n v="3"/>
    <s v="Mar"/>
  </r>
  <r>
    <s v="APT-202603-0145"/>
    <d v="2026-03-23T00:00:00"/>
    <d v="2026-02-22T00:00:00"/>
    <s v="P0028"/>
    <s v="WLG"/>
    <s v="GEN"/>
    <s v="CL032"/>
    <x v="1"/>
    <x v="1"/>
    <d v="1899-12-30T09:30:00"/>
    <d v="1899-12-30T09:42:00"/>
    <d v="1899-12-30T10:08:00"/>
    <n v="30"/>
    <n v="65"/>
    <s v="No"/>
    <n v="2"/>
    <s v="Care plan review"/>
    <s v="appointment_export_2026_03.csv"/>
    <n v="0"/>
    <n v="0"/>
    <x v="0"/>
    <s v="Central"/>
    <s v="Sophie Martin"/>
    <s v="Urban"/>
    <s v="Mon-Sat 08:00-18:00"/>
    <x v="1"/>
    <n v="7"/>
    <n v="65"/>
    <s v="Primary care"/>
    <s v="Doctor or Nurse Practitioner"/>
    <s v="Matched"/>
    <n v="29"/>
    <n v="0"/>
    <n v="26"/>
    <n v="1"/>
    <n v="1"/>
    <n v="0"/>
    <n v="1"/>
    <n v="0"/>
    <s v="Matches Standard"/>
    <x v="3"/>
    <n v="2026"/>
    <n v="3"/>
    <s v="Mar"/>
  </r>
  <r>
    <s v="APT-202603-0146"/>
    <d v="2026-03-31T00:00:00"/>
    <d v="2026-03-30T00:00:00"/>
    <s v="P0039"/>
    <s v="PMR"/>
    <s v="CAR"/>
    <s v="CL029"/>
    <x v="1"/>
    <x v="2"/>
    <d v="1899-12-30T13:30:00"/>
    <d v="1899-12-30T13:44:00"/>
    <d v="1899-12-30T13:35:00"/>
    <n v="20"/>
    <n v="150"/>
    <s v="Yes"/>
    <n v="4"/>
    <s v="Patient requested appointment"/>
    <s v="appointment_export_2026_03.csv"/>
    <n v="0"/>
    <n v="0"/>
    <x v="3"/>
    <s v="Central"/>
    <s v="Mereana Thompson"/>
    <s v="Regional"/>
    <s v="Mon-Fri 08:30-17:00"/>
    <x v="4"/>
    <n v="28"/>
    <n v="150"/>
    <s v="Specialist outpatient"/>
    <s v="Cardiology Clinician"/>
    <s v="Matched"/>
    <n v="1"/>
    <n v="1"/>
    <m/>
    <m/>
    <n v="1"/>
    <n v="0"/>
    <n v="1"/>
    <n v="0"/>
    <s v="Matches Standard"/>
    <x v="3"/>
    <n v="2026"/>
    <n v="3"/>
    <s v="Mar"/>
  </r>
  <r>
    <s v="APT-202603-0147"/>
    <d v="2026-03-01T00:00:00"/>
    <d v="2026-01-26T00:00:00"/>
    <s v="P0035"/>
    <s v="WLG"/>
    <s v="MHS"/>
    <s v="CL034"/>
    <x v="1"/>
    <x v="3"/>
    <d v="1899-12-30T08:30:00"/>
    <d v="1899-12-30T08:42:00"/>
    <d v="1899-12-30T08:47:00"/>
    <n v="30"/>
    <n v="120"/>
    <s v="Yes"/>
    <n v="5"/>
    <s v="Routine review"/>
    <s v="appointment_export_2026_03.csv"/>
    <n v="0"/>
    <n v="0"/>
    <x v="0"/>
    <s v="Central"/>
    <s v="Sophie Martin"/>
    <s v="Urban"/>
    <s v="Mon-Sat 08:00-18:00"/>
    <x v="2"/>
    <n v="14"/>
    <n v="120"/>
    <s v="Behavioural health"/>
    <s v="Mental Health Clinician"/>
    <s v="Matched"/>
    <n v="34"/>
    <n v="0"/>
    <n v="5"/>
    <n v="1"/>
    <n v="1"/>
    <n v="0"/>
    <n v="1"/>
    <n v="0"/>
    <s v="Matches Standard"/>
    <x v="3"/>
    <n v="2026"/>
    <n v="3"/>
    <s v="Mar"/>
  </r>
  <r>
    <s v="APT-202603-0148"/>
    <d v="2026-03-27T00:00:00"/>
    <d v="2026-03-10T00:00:00"/>
    <s v="P0113"/>
    <s v="HAM"/>
    <s v="DIA"/>
    <s v="CL017"/>
    <x v="1"/>
    <x v="1"/>
    <d v="1899-12-30T08:00:00"/>
    <d v="1899-12-30T07:58:00"/>
    <d v="1899-12-30T08:35:00"/>
    <n v="45"/>
    <n v="80"/>
    <s v="Yes"/>
    <n v="3"/>
    <s v="New referral"/>
    <s v="appointment_export_2026_03.csv"/>
    <n v="0"/>
    <n v="0"/>
    <x v="1"/>
    <s v="Midland"/>
    <s v="Daniel Wong"/>
    <s v="Urban"/>
    <s v="Mon-Fri 08:00-17:30"/>
    <x v="3"/>
    <n v="10"/>
    <n v="80"/>
    <s v="Long-term conditions"/>
    <s v="Diabetes Nurse"/>
    <s v="Matched"/>
    <n v="17"/>
    <n v="0"/>
    <n v="37"/>
    <n v="0"/>
    <n v="1"/>
    <n v="0"/>
    <n v="1"/>
    <n v="0"/>
    <s v="Matches Standard"/>
    <x v="3"/>
    <n v="2026"/>
    <n v="3"/>
    <s v="Mar"/>
  </r>
  <r>
    <s v="APT-202603-0149"/>
    <d v="2026-03-03T00:00:00"/>
    <d v="2026-02-18T00:00:00"/>
    <s v="P0058"/>
    <s v="WLG"/>
    <s v="CAR"/>
    <s v="CL040"/>
    <x v="1"/>
    <x v="2"/>
    <d v="1899-12-30T11:30:00"/>
    <d v="1899-12-30T11:39:00"/>
    <d v="1899-12-30T11:58:00"/>
    <n v="30"/>
    <m/>
    <s v="No"/>
    <n v="4"/>
    <s v="Patient requested appointment"/>
    <s v="appointment_export_2026_03.csv"/>
    <n v="0"/>
    <n v="0"/>
    <x v="0"/>
    <s v="Central"/>
    <s v="Sophie Martin"/>
    <s v="Urban"/>
    <s v="Mon-Sat 08:00-18:00"/>
    <x v="4"/>
    <n v="28"/>
    <n v="150"/>
    <s v="Specialist outpatient"/>
    <s v="Cardiology Clinician"/>
    <s v="Matched"/>
    <n v="13"/>
    <n v="1"/>
    <n v="19"/>
    <n v="1"/>
    <n v="1"/>
    <n v="0"/>
    <n v="0"/>
    <m/>
    <s v="Missing Actual Fee"/>
    <x v="3"/>
    <n v="2026"/>
    <n v="3"/>
    <s v="Mar"/>
  </r>
  <r>
    <s v="APT-202603-0150"/>
    <d v="2026-03-09T00:00:00"/>
    <d v="2026-02-28T00:00:00"/>
    <s v="P0134"/>
    <s v="AUC"/>
    <s v="DIA"/>
    <s v="CL008"/>
    <x v="1"/>
    <x v="0"/>
    <d v="1899-12-30T13:00:00"/>
    <d v="1899-12-30T12:56:00"/>
    <d v="1899-12-30T13:20:00"/>
    <n v="30"/>
    <n v="80"/>
    <s v="Yes"/>
    <n v="4"/>
    <s v="Patient requested appointment"/>
    <s v="appointment_export_2026_03.csv"/>
    <n v="0"/>
    <n v="0"/>
    <x v="2"/>
    <s v="Northern"/>
    <s v="Aroha Rangi"/>
    <s v="Urban"/>
    <s v="Mon-Fri 08:00-18:00"/>
    <x v="3"/>
    <n v="10"/>
    <n v="80"/>
    <s v="Long-term conditions"/>
    <s v="Diabetes Nurse"/>
    <s v="Matched"/>
    <n v="9"/>
    <n v="1"/>
    <n v="24"/>
    <n v="1"/>
    <n v="1"/>
    <n v="0"/>
    <n v="1"/>
    <n v="0"/>
    <s v="Matches Standard"/>
    <x v="3"/>
    <n v="2026"/>
    <n v="3"/>
    <s v="Mar"/>
  </r>
  <r>
    <s v="APT-202603-0151"/>
    <d v="2026-03-30T00:00:00"/>
    <d v="2026-02-10T00:00:00"/>
    <s v="P0191"/>
    <s v="AUC"/>
    <s v="PHY"/>
    <s v="CL006"/>
    <x v="1"/>
    <x v="3"/>
    <d v="1899-12-30T08:30:00"/>
    <d v="1899-12-30T08:30:00"/>
    <d v="1899-12-30T09:10:00"/>
    <n v="30"/>
    <n v="95"/>
    <s v="Yes"/>
    <n v="5"/>
    <s v="Patient requested appointment"/>
    <s v="appointment_export_2026_03.csv"/>
    <n v="0"/>
    <n v="0"/>
    <x v="2"/>
    <s v="Northern"/>
    <s v="Aroha Rangi"/>
    <s v="Urban"/>
    <s v="Mon-Fri 08:00-18:00"/>
    <x v="0"/>
    <n v="21"/>
    <n v="95"/>
    <s v="Rehabilitation"/>
    <s v="Physiotherapist"/>
    <s v="Matched"/>
    <n v="48"/>
    <n v="0"/>
    <n v="40"/>
    <n v="0"/>
    <n v="1"/>
    <n v="0"/>
    <n v="1"/>
    <n v="0"/>
    <s v="Matches Standard"/>
    <x v="3"/>
    <n v="2026"/>
    <n v="3"/>
    <s v="Mar"/>
  </r>
  <r>
    <s v="APT-202603-0152"/>
    <d v="2026-03-26T00:00:00"/>
    <d v="2026-03-05T00:00:00"/>
    <s v="P0204"/>
    <s v="AUC"/>
    <s v="CAR"/>
    <s v="CL010"/>
    <x v="0"/>
    <x v="1"/>
    <d v="1899-12-30T15:00:00"/>
    <m/>
    <m/>
    <n v="0"/>
    <n v="150"/>
    <s v="No"/>
    <m/>
    <s v="Follow-up visit"/>
    <s v="appointment_export_2026_03.csv"/>
    <n v="0"/>
    <n v="0"/>
    <x v="2"/>
    <s v="Northern"/>
    <s v="Aroha Rangi"/>
    <s v="Urban"/>
    <s v="Mon-Fri 08:00-18:00"/>
    <x v="4"/>
    <n v="28"/>
    <n v="150"/>
    <s v="Specialist outpatient"/>
    <s v="Cardiology Clinician"/>
    <s v="Matched"/>
    <n v="21"/>
    <n v="1"/>
    <m/>
    <m/>
    <n v="0"/>
    <m/>
    <n v="1"/>
    <n v="0"/>
    <s v="Matches Standard"/>
    <x v="3"/>
    <n v="2026"/>
    <n v="3"/>
    <s v="Mar"/>
  </r>
  <r>
    <s v="APT-202603-0153"/>
    <d v="2026-03-26T00:00:00"/>
    <d v="2026-02-27T00:00:00"/>
    <s v="P0031"/>
    <s v="PMR"/>
    <s v="PHY"/>
    <s v="CL026"/>
    <x v="3"/>
    <x v="3"/>
    <d v="1899-12-30T12:00:00"/>
    <m/>
    <m/>
    <n v="0"/>
    <n v="95"/>
    <s v="No"/>
    <m/>
    <s v="Care plan review"/>
    <s v="appointment_export_2026_03.csv"/>
    <n v="0"/>
    <n v="0"/>
    <x v="3"/>
    <s v="Central"/>
    <s v="Mereana Thompson"/>
    <s v="Regional"/>
    <s v="Mon-Fri 08:30-17:00"/>
    <x v="0"/>
    <n v="21"/>
    <n v="95"/>
    <s v="Rehabilitation"/>
    <s v="Physiotherapist"/>
    <s v="Matched"/>
    <n v="27"/>
    <n v="0"/>
    <m/>
    <m/>
    <n v="0"/>
    <m/>
    <n v="1"/>
    <n v="0"/>
    <s v="Matches Standard"/>
    <x v="3"/>
    <n v="2026"/>
    <n v="3"/>
    <s v="Mar"/>
  </r>
  <r>
    <s v="APT-202603-0154"/>
    <d v="2026-03-19T00:00:00"/>
    <d v="2026-02-06T00:00:00"/>
    <s v="P0105"/>
    <s v="WLG"/>
    <s v="CAR"/>
    <s v="CL040"/>
    <x v="1"/>
    <x v="0"/>
    <d v="1899-12-30T08:30:00"/>
    <d v="1899-12-30T08:24:00"/>
    <d v="1899-12-30T08:48:00"/>
    <n v="20"/>
    <n v="150"/>
    <s v="No"/>
    <n v="5"/>
    <s v="New referral"/>
    <s v="appointment_export_2026_03.csv"/>
    <n v="0"/>
    <n v="0"/>
    <x v="0"/>
    <s v="Central"/>
    <s v="Sophie Martin"/>
    <s v="Urban"/>
    <s v="Mon-Sat 08:00-18:00"/>
    <x v="4"/>
    <n v="28"/>
    <n v="150"/>
    <s v="Specialist outpatient"/>
    <s v="Cardiology Clinician"/>
    <s v="Matched"/>
    <n v="41"/>
    <n v="0"/>
    <n v="24"/>
    <n v="1"/>
    <n v="1"/>
    <n v="0"/>
    <n v="1"/>
    <n v="0"/>
    <s v="Matches Standard"/>
    <x v="3"/>
    <n v="2026"/>
    <n v="3"/>
    <s v="Mar"/>
  </r>
  <r>
    <s v="APT-202603-0155"/>
    <d v="2026-03-05T00:00:00"/>
    <d v="2026-01-15T00:00:00"/>
    <s v="P0230"/>
    <s v="WLG"/>
    <s v="CAR"/>
    <s v="CL039"/>
    <x v="2"/>
    <x v="3"/>
    <d v="1899-12-30T15:30:00"/>
    <d v="1899-12-30T15:32:00"/>
    <d v="1899-12-30T16:06:00"/>
    <n v="30"/>
    <n v="150"/>
    <s v="No"/>
    <n v="2"/>
    <s v="New referral"/>
    <s v="appointment_export_2026_03.csv"/>
    <n v="0"/>
    <n v="0"/>
    <x v="0"/>
    <s v="Central"/>
    <s v="Sophie Martin"/>
    <s v="Urban"/>
    <s v="Mon-Sat 08:00-18:00"/>
    <x v="4"/>
    <n v="28"/>
    <n v="150"/>
    <s v="Specialist outpatient"/>
    <s v="Cardiology Clinician"/>
    <s v="Matched"/>
    <n v="49"/>
    <n v="0"/>
    <m/>
    <m/>
    <n v="1"/>
    <n v="1"/>
    <n v="1"/>
    <n v="0"/>
    <s v="Matches Standard"/>
    <x v="3"/>
    <n v="2026"/>
    <n v="3"/>
    <s v="Mar"/>
  </r>
  <r>
    <s v="APT-202603-0156"/>
    <d v="2026-03-03T00:00:00"/>
    <d v="2026-01-27T00:00:00"/>
    <s v="P0153"/>
    <s v="WLG"/>
    <s v="DIA"/>
    <s v="CL038"/>
    <x v="0"/>
    <x v="0"/>
    <d v="1899-12-30T14:30:00"/>
    <m/>
    <m/>
    <n v="0"/>
    <n v="80"/>
    <s v="No"/>
    <m/>
    <s v="Patient requested appointment"/>
    <s v="appointment_export_2026_03.csv"/>
    <n v="0"/>
    <n v="0"/>
    <x v="0"/>
    <s v="Central"/>
    <s v="Sophie Martin"/>
    <s v="Urban"/>
    <s v="Mon-Sat 08:00-18:00"/>
    <x v="3"/>
    <n v="10"/>
    <n v="80"/>
    <s v="Long-term conditions"/>
    <s v="Diabetes Nurse"/>
    <s v="Matched"/>
    <n v="35"/>
    <n v="0"/>
    <m/>
    <m/>
    <n v="0"/>
    <m/>
    <n v="1"/>
    <n v="0"/>
    <s v="Matches Standard"/>
    <x v="3"/>
    <n v="2026"/>
    <n v="3"/>
    <s v="Mar"/>
  </r>
  <r>
    <s v="APT-202603-0157"/>
    <d v="2026-03-21T00:00:00"/>
    <d v="2026-03-12T00:00:00"/>
    <s v="P0118"/>
    <s v="PMR"/>
    <s v="PHY"/>
    <s v="CL025"/>
    <x v="1"/>
    <x v="1"/>
    <d v="1899-12-30T13:30:00"/>
    <d v="1899-12-30T13:30:00"/>
    <d v="1899-12-30T14:09:00"/>
    <n v="30"/>
    <n v="95"/>
    <s v="No"/>
    <n v="5"/>
    <s v="Follow-up visit"/>
    <s v="appointment_export_2026_03.csv"/>
    <n v="0"/>
    <n v="0"/>
    <x v="3"/>
    <s v="Central"/>
    <s v="Mereana Thompson"/>
    <s v="Regional"/>
    <s v="Mon-Fri 08:30-17:00"/>
    <x v="0"/>
    <n v="21"/>
    <n v="95"/>
    <s v="Rehabilitation"/>
    <s v="Physiotherapist"/>
    <s v="Matched"/>
    <n v="9"/>
    <n v="1"/>
    <n v="39"/>
    <n v="0"/>
    <n v="1"/>
    <n v="0"/>
    <n v="1"/>
    <n v="0"/>
    <s v="Matches Standard"/>
    <x v="3"/>
    <n v="2026"/>
    <n v="3"/>
    <s v="Mar"/>
  </r>
  <r>
    <s v="APT-202603-0158"/>
    <d v="2026-03-16T00:00:00"/>
    <d v="2026-02-02T00:00:00"/>
    <s v="P0001"/>
    <s v="HAM"/>
    <m/>
    <s v="CL013"/>
    <x v="2"/>
    <x v="2"/>
    <d v="1899-12-30T14:30:00"/>
    <m/>
    <m/>
    <n v="0"/>
    <n v="120"/>
    <s v="Yes"/>
    <m/>
    <s v="Follow-up visit"/>
    <s v="appointment_export_2026_03.csv"/>
    <n v="0"/>
    <n v="1"/>
    <x v="1"/>
    <s v="Midland"/>
    <s v="Daniel Wong"/>
    <s v="Urban"/>
    <s v="Mon-Fri 08:00-17:30"/>
    <x v="5"/>
    <m/>
    <m/>
    <m/>
    <m/>
    <s v="Missing Service Code"/>
    <n v="42"/>
    <m/>
    <m/>
    <m/>
    <n v="1"/>
    <n v="1"/>
    <n v="1"/>
    <m/>
    <s v="Missing Standard Fee"/>
    <x v="3"/>
    <n v="2026"/>
    <n v="3"/>
    <s v="Mar"/>
  </r>
  <r>
    <s v="APT-202603-0159"/>
    <d v="2026-03-26T00:00:00"/>
    <d v="2026-02-09T00:00:00"/>
    <s v="P0169"/>
    <s v="AUC"/>
    <s v="MHS"/>
    <s v="CL004"/>
    <x v="1"/>
    <x v="0"/>
    <d v="1899-12-30T09:00:00"/>
    <d v="1899-12-30T09:12:00"/>
    <d v="1899-12-30T09:40:00"/>
    <n v="20"/>
    <n v="120"/>
    <s v="No"/>
    <n v="5"/>
    <s v="Patient requested appointment"/>
    <s v="appointment_export_2026_03.csv"/>
    <n v="0"/>
    <n v="0"/>
    <x v="2"/>
    <s v="Northern"/>
    <s v="Aroha Rangi"/>
    <s v="Urban"/>
    <s v="Mon-Fri 08:00-18:00"/>
    <x v="2"/>
    <n v="14"/>
    <n v="120"/>
    <s v="Behavioural health"/>
    <s v="Mental Health Clinician"/>
    <s v="Matched"/>
    <n v="45"/>
    <n v="0"/>
    <n v="28"/>
    <n v="1"/>
    <n v="1"/>
    <n v="0"/>
    <n v="1"/>
    <n v="0"/>
    <s v="Matches Standard"/>
    <x v="3"/>
    <n v="2026"/>
    <n v="3"/>
    <s v="Mar"/>
  </r>
  <r>
    <s v="APT-202603-0160"/>
    <d v="2026-03-12T00:00:00"/>
    <d v="2026-01-23T00:00:00"/>
    <s v="P0093"/>
    <s v="PMR"/>
    <s v="PHY"/>
    <s v="CL025"/>
    <x v="0"/>
    <x v="1"/>
    <d v="1899-12-30T11:30:00"/>
    <m/>
    <m/>
    <n v="0"/>
    <n v="95"/>
    <s v="No"/>
    <m/>
    <s v="Patient requested appointment"/>
    <s v="appointment_export_2026_03.csv"/>
    <n v="0"/>
    <n v="0"/>
    <x v="3"/>
    <s v="Central"/>
    <s v="Mereana Thompson"/>
    <s v="Regional"/>
    <s v="Mon-Fri 08:30-17:00"/>
    <x v="0"/>
    <n v="21"/>
    <n v="95"/>
    <s v="Rehabilitation"/>
    <s v="Physiotherapist"/>
    <s v="Matched"/>
    <n v="48"/>
    <n v="0"/>
    <m/>
    <m/>
    <n v="0"/>
    <m/>
    <n v="1"/>
    <n v="0"/>
    <s v="Matches Standard"/>
    <x v="3"/>
    <n v="2026"/>
    <n v="3"/>
    <s v="Mar"/>
  </r>
  <r>
    <s v="APT-202604-0001"/>
    <d v="2026-04-08T00:00:00"/>
    <d v="2026-03-19T00:00:00"/>
    <s v="P0006"/>
    <s v="WLG"/>
    <s v="PHY"/>
    <s v="CL036"/>
    <x v="1"/>
    <x v="0"/>
    <d v="1899-12-30T13:00:00"/>
    <d v="1899-12-30T13:17:00"/>
    <d v="1899-12-30T13:08:00"/>
    <n v="20"/>
    <n v="95"/>
    <s v="Yes"/>
    <n v="2"/>
    <s v="Patient requested appointment"/>
    <s v="appointment_export_2026_04.csv"/>
    <n v="0"/>
    <n v="0"/>
    <x v="0"/>
    <s v="Central"/>
    <s v="Sophie Martin"/>
    <s v="Urban"/>
    <s v="Mon-Sat 08:00-18:00"/>
    <x v="0"/>
    <n v="21"/>
    <n v="95"/>
    <s v="Rehabilitation"/>
    <s v="Physiotherapist"/>
    <s v="Matched"/>
    <n v="20"/>
    <n v="1"/>
    <m/>
    <m/>
    <n v="1"/>
    <n v="0"/>
    <n v="1"/>
    <n v="0"/>
    <s v="Matches Standard"/>
    <x v="4"/>
    <n v="2026"/>
    <n v="4"/>
    <s v="Apr"/>
  </r>
  <r>
    <s v="APT-202604-0002"/>
    <d v="2026-04-03T00:00:00"/>
    <d v="2026-04-02T00:00:00"/>
    <s v="P0004"/>
    <s v="WLG"/>
    <s v="CAR"/>
    <s v="CL039"/>
    <x v="1"/>
    <x v="3"/>
    <d v="1899-12-30T16:00:00"/>
    <d v="1899-12-30T15:51:00"/>
    <d v="1899-12-30T16:04:00"/>
    <n v="45"/>
    <n v="150"/>
    <s v="No"/>
    <n v="3"/>
    <s v="Follow-up visit"/>
    <s v="appointment_export_2026_04.csv"/>
    <n v="0"/>
    <n v="0"/>
    <x v="0"/>
    <s v="Central"/>
    <s v="Sophie Martin"/>
    <s v="Urban"/>
    <s v="Mon-Sat 08:00-18:00"/>
    <x v="4"/>
    <n v="28"/>
    <n v="150"/>
    <s v="Specialist outpatient"/>
    <s v="Cardiology Clinician"/>
    <s v="Matched"/>
    <n v="1"/>
    <n v="1"/>
    <n v="13"/>
    <n v="1"/>
    <n v="1"/>
    <n v="0"/>
    <n v="1"/>
    <n v="0"/>
    <s v="Matches Standard"/>
    <x v="4"/>
    <n v="2026"/>
    <n v="4"/>
    <s v="Apr"/>
  </r>
  <r>
    <s v="APT-202604-0003"/>
    <d v="2026-04-21T00:00:00"/>
    <d v="2026-03-10T00:00:00"/>
    <s v="P0112"/>
    <s v="HAM"/>
    <s v="MHS"/>
    <s v="CL014"/>
    <x v="1"/>
    <x v="0"/>
    <d v="1899-12-30T14:00:00"/>
    <d v="1899-12-30T13:58:00"/>
    <d v="1899-12-30T14:36:00"/>
    <n v="30"/>
    <n v="120"/>
    <s v="No"/>
    <n v="2"/>
    <s v="Care plan review"/>
    <s v="appointment_export_2026_04.csv"/>
    <n v="0"/>
    <n v="0"/>
    <x v="1"/>
    <s v="Midland"/>
    <s v="Daniel Wong"/>
    <s v="Urban"/>
    <s v="Mon-Fri 08:00-17:30"/>
    <x v="2"/>
    <n v="14"/>
    <n v="120"/>
    <s v="Behavioural health"/>
    <s v="Mental Health Clinician"/>
    <s v="Matched"/>
    <n v="42"/>
    <n v="0"/>
    <n v="38"/>
    <n v="0"/>
    <n v="1"/>
    <n v="0"/>
    <n v="1"/>
    <n v="0"/>
    <s v="Matches Standard"/>
    <x v="4"/>
    <n v="2026"/>
    <n v="4"/>
    <s v="Apr"/>
  </r>
  <r>
    <s v="APT-202604-0004"/>
    <d v="2026-04-26T00:00:00"/>
    <d v="2026-03-17T00:00:00"/>
    <s v="P0144"/>
    <s v="AUC"/>
    <s v="PHY"/>
    <s v="CL006"/>
    <x v="1"/>
    <x v="3"/>
    <d v="1899-12-30T12:00:00"/>
    <d v="1899-12-30T11:53:00"/>
    <d v="1899-12-30T12:30:00"/>
    <n v="30"/>
    <n v="95"/>
    <s v="No"/>
    <n v="5"/>
    <s v="Follow-up visit"/>
    <s v="appointment_export_2026_04.csv"/>
    <n v="0"/>
    <n v="0"/>
    <x v="2"/>
    <s v="Northern"/>
    <s v="Aroha Rangi"/>
    <s v="Urban"/>
    <s v="Mon-Fri 08:00-18:00"/>
    <x v="0"/>
    <n v="21"/>
    <n v="95"/>
    <s v="Rehabilitation"/>
    <s v="Physiotherapist"/>
    <s v="Matched"/>
    <n v="40"/>
    <n v="0"/>
    <n v="37"/>
    <n v="0"/>
    <n v="1"/>
    <n v="0"/>
    <n v="1"/>
    <n v="0"/>
    <s v="Matches Standard"/>
    <x v="4"/>
    <n v="2026"/>
    <n v="4"/>
    <s v="Apr"/>
  </r>
  <r>
    <s v="APT-202604-0005"/>
    <d v="2026-04-07T00:00:00"/>
    <d v="2026-03-09T00:00:00"/>
    <s v="P0008"/>
    <s v="AUC"/>
    <s v="GEN"/>
    <s v="CL002"/>
    <x v="3"/>
    <x v="3"/>
    <d v="1899-12-30T11:30:00"/>
    <m/>
    <m/>
    <n v="0"/>
    <n v="65"/>
    <s v="No"/>
    <m/>
    <s v="Patient requested appointment"/>
    <s v="appointment_export_2026_04.csv"/>
    <n v="0"/>
    <n v="0"/>
    <x v="2"/>
    <s v="Northern"/>
    <s v="Aroha Rangi"/>
    <s v="Urban"/>
    <s v="Mon-Fri 08:00-18:00"/>
    <x v="1"/>
    <n v="7"/>
    <n v="65"/>
    <s v="Primary care"/>
    <s v="Doctor or Nurse Practitioner"/>
    <s v="Matched"/>
    <n v="29"/>
    <n v="0"/>
    <m/>
    <m/>
    <n v="0"/>
    <m/>
    <n v="1"/>
    <n v="0"/>
    <s v="Matches Standard"/>
    <x v="4"/>
    <n v="2026"/>
    <n v="4"/>
    <s v="Apr"/>
  </r>
  <r>
    <s v="APT-202604-0006"/>
    <d v="2026-04-20T00:00:00"/>
    <d v="2026-03-31T00:00:00"/>
    <s v="P0135"/>
    <s v="AUC"/>
    <s v="CAR"/>
    <s v="CL010"/>
    <x v="1"/>
    <x v="3"/>
    <d v="1899-12-30T13:30:00"/>
    <d v="1899-12-30T13:42:00"/>
    <d v="1899-12-30T13:48:00"/>
    <n v="30"/>
    <n v="150"/>
    <s v="Yes"/>
    <n v="3"/>
    <s v="Routine review"/>
    <s v="appointment_export_2026_04.csv"/>
    <n v="0"/>
    <n v="0"/>
    <x v="2"/>
    <s v="Northern"/>
    <s v="Aroha Rangi"/>
    <s v="Urban"/>
    <s v="Mon-Fri 08:00-18:00"/>
    <x v="4"/>
    <n v="28"/>
    <n v="150"/>
    <s v="Specialist outpatient"/>
    <s v="Cardiology Clinician"/>
    <s v="Matched"/>
    <n v="20"/>
    <n v="1"/>
    <n v="6"/>
    <n v="1"/>
    <n v="1"/>
    <n v="0"/>
    <n v="1"/>
    <n v="0"/>
    <s v="Matches Standard"/>
    <x v="4"/>
    <n v="2026"/>
    <n v="4"/>
    <s v="Apr"/>
  </r>
  <r>
    <s v="APT-202604-0007"/>
    <d v="2026-04-28T00:00:00"/>
    <d v="2026-03-18T00:00:00"/>
    <s v="P0149"/>
    <s v="WLG"/>
    <s v="GEN"/>
    <s v="CL031"/>
    <x v="2"/>
    <x v="1"/>
    <d v="1899-12-30T08:30:00"/>
    <m/>
    <m/>
    <n v="0"/>
    <n v="65"/>
    <s v="No"/>
    <m/>
    <s v="Patient requested appointment"/>
    <s v="appointment_export_2026_04.csv"/>
    <n v="0"/>
    <n v="0"/>
    <x v="0"/>
    <s v="Central"/>
    <s v="Sophie Martin"/>
    <s v="Urban"/>
    <s v="Mon-Sat 08:00-18:00"/>
    <x v="1"/>
    <n v="7"/>
    <n v="65"/>
    <s v="Primary care"/>
    <s v="Doctor or Nurse Practitioner"/>
    <s v="Matched"/>
    <n v="41"/>
    <n v="0"/>
    <m/>
    <m/>
    <n v="1"/>
    <n v="1"/>
    <n v="1"/>
    <n v="0"/>
    <s v="Matches Standard"/>
    <x v="4"/>
    <n v="2026"/>
    <n v="4"/>
    <s v="Apr"/>
  </r>
  <r>
    <s v="APT-202604-0008"/>
    <d v="2026-04-08T00:00:00"/>
    <d v="2026-02-18T00:00:00"/>
    <s v="P0163"/>
    <s v="HAM"/>
    <s v="GEN"/>
    <s v="CL011"/>
    <x v="0"/>
    <x v="2"/>
    <d v="1899-12-30T11:30:00"/>
    <m/>
    <m/>
    <n v="0"/>
    <n v="65"/>
    <s v="Yes"/>
    <m/>
    <s v="New referral"/>
    <s v="appointment_export_2026_04.csv"/>
    <n v="0"/>
    <n v="0"/>
    <x v="1"/>
    <s v="Midland"/>
    <s v="Daniel Wong"/>
    <s v="Urban"/>
    <s v="Mon-Fri 08:00-17:30"/>
    <x v="1"/>
    <n v="7"/>
    <n v="65"/>
    <s v="Primary care"/>
    <s v="Doctor or Nurse Practitioner"/>
    <s v="Matched"/>
    <n v="49"/>
    <n v="0"/>
    <m/>
    <m/>
    <n v="0"/>
    <m/>
    <n v="1"/>
    <n v="0"/>
    <s v="Matches Standard"/>
    <x v="4"/>
    <n v="2026"/>
    <n v="4"/>
    <s v="Apr"/>
  </r>
  <r>
    <s v="APT-202604-0009"/>
    <d v="2026-04-30T00:00:00"/>
    <d v="2026-04-13T00:00:00"/>
    <s v="P0102"/>
    <s v="PMR"/>
    <s v="CAR"/>
    <s v="CL029"/>
    <x v="1"/>
    <x v="0"/>
    <d v="1899-12-30T14:30:00"/>
    <d v="1899-12-30T14:22:00"/>
    <d v="1899-12-30T14:36:00"/>
    <n v="30"/>
    <n v="150"/>
    <s v="Yes"/>
    <n v="4"/>
    <s v="Care plan review"/>
    <s v="appointment_export_2026_04.csv"/>
    <n v="0"/>
    <n v="0"/>
    <x v="3"/>
    <s v="Central"/>
    <s v="Mereana Thompson"/>
    <s v="Regional"/>
    <s v="Mon-Fri 08:30-17:00"/>
    <x v="4"/>
    <n v="28"/>
    <n v="150"/>
    <s v="Specialist outpatient"/>
    <s v="Cardiology Clinician"/>
    <s v="Matched"/>
    <n v="17"/>
    <n v="1"/>
    <n v="14"/>
    <n v="1"/>
    <n v="1"/>
    <n v="0"/>
    <n v="1"/>
    <n v="0"/>
    <s v="Matches Standard"/>
    <x v="4"/>
    <n v="2026"/>
    <n v="4"/>
    <s v="Apr"/>
  </r>
  <r>
    <s v="APT-202604-0010"/>
    <d v="2026-04-29T00:00:00"/>
    <d v="2026-04-27T00:00:00"/>
    <s v="P0060"/>
    <s v="WLG"/>
    <s v="MHS"/>
    <s v="CL033"/>
    <x v="1"/>
    <x v="2"/>
    <d v="1899-12-30T09:30:00"/>
    <d v="1899-12-30T09:21:00"/>
    <d v="1899-12-30T10:02:00"/>
    <n v="60"/>
    <n v="120"/>
    <s v="No"/>
    <n v="2"/>
    <s v="Care plan review"/>
    <s v="appointment_export_2026_04.csv"/>
    <n v="0"/>
    <n v="0"/>
    <x v="0"/>
    <s v="Central"/>
    <s v="Sophie Martin"/>
    <s v="Urban"/>
    <s v="Mon-Sat 08:00-18:00"/>
    <x v="2"/>
    <n v="14"/>
    <n v="120"/>
    <s v="Behavioural health"/>
    <s v="Mental Health Clinician"/>
    <s v="Matched"/>
    <n v="2"/>
    <n v="1"/>
    <n v="41"/>
    <n v="0"/>
    <n v="1"/>
    <n v="0"/>
    <n v="1"/>
    <n v="0"/>
    <s v="Matches Standard"/>
    <x v="4"/>
    <n v="2026"/>
    <n v="4"/>
    <s v="Apr"/>
  </r>
  <r>
    <s v="APT-202604-0011"/>
    <d v="2026-04-19T00:00:00"/>
    <d v="2026-02-26T00:00:00"/>
    <s v="P0002"/>
    <s v="AUC"/>
    <s v="DIA"/>
    <s v="CL008"/>
    <x v="1"/>
    <x v="1"/>
    <d v="1899-12-30T12:00:00"/>
    <d v="1899-12-30T12:18:00"/>
    <d v="1899-12-30T12:31:00"/>
    <n v="30"/>
    <n v="80"/>
    <s v="No"/>
    <n v="5"/>
    <s v="Patient requested appointment"/>
    <s v="appointment_export_2026_04.csv"/>
    <n v="0"/>
    <n v="0"/>
    <x v="2"/>
    <s v="Northern"/>
    <s v="Aroha Rangi"/>
    <s v="Urban"/>
    <s v="Mon-Fri 08:00-18:00"/>
    <x v="3"/>
    <n v="10"/>
    <n v="80"/>
    <s v="Long-term conditions"/>
    <s v="Diabetes Nurse"/>
    <s v="Matched"/>
    <n v="52"/>
    <n v="0"/>
    <n v="13"/>
    <n v="1"/>
    <n v="1"/>
    <n v="0"/>
    <n v="1"/>
    <n v="0"/>
    <s v="Matches Standard"/>
    <x v="4"/>
    <n v="2026"/>
    <n v="4"/>
    <s v="Apr"/>
  </r>
  <r>
    <s v="APT-202604-0012"/>
    <d v="2026-04-26T00:00:00"/>
    <d v="2026-03-15T00:00:00"/>
    <s v="P0230"/>
    <s v="HAM"/>
    <s v="GEN"/>
    <s v="CL012"/>
    <x v="1"/>
    <x v="0"/>
    <d v="1899-12-30T12:30:00"/>
    <d v="1899-12-30T12:22:00"/>
    <d v="1899-12-30T12:30:00"/>
    <n v="45"/>
    <n v="65"/>
    <s v="No"/>
    <n v="5"/>
    <s v="Patient requested appointment"/>
    <s v="appointment_export_2026_04.csv"/>
    <n v="0"/>
    <n v="0"/>
    <x v="1"/>
    <s v="Midland"/>
    <s v="Daniel Wong"/>
    <s v="Urban"/>
    <s v="Mon-Fri 08:00-17:30"/>
    <x v="1"/>
    <n v="7"/>
    <n v="65"/>
    <s v="Primary care"/>
    <s v="Doctor or Nurse Practitioner"/>
    <s v="Matched"/>
    <n v="42"/>
    <n v="0"/>
    <n v="8"/>
    <n v="1"/>
    <n v="1"/>
    <n v="0"/>
    <n v="1"/>
    <n v="0"/>
    <s v="Matches Standard"/>
    <x v="4"/>
    <n v="2026"/>
    <n v="4"/>
    <s v="Apr"/>
  </r>
  <r>
    <s v="APT-202604-0013"/>
    <d v="2026-04-25T00:00:00"/>
    <d v="2026-04-13T00:00:00"/>
    <s v="P0023"/>
    <s v="HAM"/>
    <s v="MHS"/>
    <s v="CL013"/>
    <x v="1"/>
    <x v="0"/>
    <d v="1899-12-30T08:30:00"/>
    <d v="1899-12-30T08:23:00"/>
    <d v="1899-12-30T09:09:00"/>
    <n v="30"/>
    <n v="120"/>
    <s v="No"/>
    <n v="2"/>
    <s v="New referral"/>
    <s v="appointment_export_2026_04.csv"/>
    <n v="0"/>
    <n v="0"/>
    <x v="1"/>
    <s v="Midland"/>
    <s v="Daniel Wong"/>
    <s v="Urban"/>
    <s v="Mon-Fri 08:00-17:30"/>
    <x v="2"/>
    <n v="14"/>
    <n v="120"/>
    <s v="Behavioural health"/>
    <s v="Mental Health Clinician"/>
    <s v="Matched"/>
    <n v="12"/>
    <n v="1"/>
    <n v="46"/>
    <n v="0"/>
    <n v="1"/>
    <n v="0"/>
    <n v="1"/>
    <n v="0"/>
    <s v="Matches Standard"/>
    <x v="4"/>
    <n v="2026"/>
    <n v="4"/>
    <s v="Apr"/>
  </r>
  <r>
    <s v="APT-202604-0014"/>
    <d v="2026-04-29T00:00:00"/>
    <d v="2026-03-23T00:00:00"/>
    <s v="P0168"/>
    <s v="HAM"/>
    <s v="DIA"/>
    <s v="CL017"/>
    <x v="2"/>
    <x v="3"/>
    <d v="1899-12-30T14:00:00"/>
    <m/>
    <m/>
    <n v="0"/>
    <n v="80"/>
    <s v="Yes"/>
    <m/>
    <s v="Routine review"/>
    <s v="appointment_export_2026_04.csv"/>
    <n v="0"/>
    <n v="0"/>
    <x v="1"/>
    <s v="Midland"/>
    <s v="Daniel Wong"/>
    <s v="Urban"/>
    <s v="Mon-Fri 08:00-17:30"/>
    <x v="3"/>
    <n v="10"/>
    <n v="80"/>
    <s v="Long-term conditions"/>
    <s v="Diabetes Nurse"/>
    <s v="Matched"/>
    <n v="37"/>
    <n v="0"/>
    <m/>
    <m/>
    <n v="1"/>
    <n v="1"/>
    <n v="1"/>
    <n v="0"/>
    <s v="Matches Standard"/>
    <x v="4"/>
    <n v="2026"/>
    <n v="4"/>
    <s v="Apr"/>
  </r>
  <r>
    <s v="APT-202604-0015"/>
    <d v="2026-04-30T00:00:00"/>
    <d v="2026-04-18T00:00:00"/>
    <s v="P0169"/>
    <s v="PMR"/>
    <s v="DIA"/>
    <s v="CL027"/>
    <x v="1"/>
    <x v="0"/>
    <d v="1899-12-30T12:00:00"/>
    <d v="1899-12-30T11:55:00"/>
    <d v="1899-12-30T12:34:00"/>
    <n v="20"/>
    <n v="80"/>
    <s v="No"/>
    <n v="5"/>
    <s v="Patient requested appointment"/>
    <s v="appointment_export_2026_04.csv"/>
    <n v="0"/>
    <n v="0"/>
    <x v="3"/>
    <s v="Central"/>
    <s v="Mereana Thompson"/>
    <s v="Regional"/>
    <s v="Mon-Fri 08:30-17:00"/>
    <x v="3"/>
    <n v="10"/>
    <n v="80"/>
    <s v="Long-term conditions"/>
    <s v="Diabetes Nurse"/>
    <s v="Matched"/>
    <n v="12"/>
    <n v="0"/>
    <n v="39"/>
    <n v="0"/>
    <n v="1"/>
    <n v="0"/>
    <n v="1"/>
    <n v="0"/>
    <s v="Matches Standard"/>
    <x v="4"/>
    <n v="2026"/>
    <n v="4"/>
    <s v="Apr"/>
  </r>
  <r>
    <s v="APT-202604-0016"/>
    <d v="2026-04-28T00:00:00"/>
    <d v="2026-03-25T00:00:00"/>
    <s v="P0187"/>
    <s v="AUC"/>
    <s v="MHS"/>
    <s v="CL004"/>
    <x v="1"/>
    <x v="0"/>
    <d v="1899-12-30T14:00:00"/>
    <d v="1899-12-30T14:14:00"/>
    <d v="1899-12-30T14:21:00"/>
    <n v="30"/>
    <n v="120"/>
    <s v="No"/>
    <n v="2"/>
    <s v="Patient requested appointment"/>
    <s v="appointment_export_2026_04.csv"/>
    <n v="0"/>
    <n v="0"/>
    <x v="2"/>
    <s v="Northern"/>
    <s v="Aroha Rangi"/>
    <s v="Urban"/>
    <s v="Mon-Fri 08:00-18:00"/>
    <x v="2"/>
    <n v="14"/>
    <n v="120"/>
    <s v="Behavioural health"/>
    <s v="Mental Health Clinician"/>
    <s v="Matched"/>
    <n v="34"/>
    <n v="0"/>
    <n v="7"/>
    <n v="1"/>
    <n v="1"/>
    <n v="0"/>
    <n v="1"/>
    <n v="0"/>
    <s v="Matches Standard"/>
    <x v="4"/>
    <n v="2026"/>
    <n v="4"/>
    <s v="Apr"/>
  </r>
  <r>
    <s v="APT-202604-0017"/>
    <d v="2026-04-04T00:00:00"/>
    <d v="2026-03-22T00:00:00"/>
    <s v="P0227"/>
    <s v="HAM"/>
    <s v="MHS"/>
    <s v="CL013"/>
    <x v="2"/>
    <x v="1"/>
    <d v="1899-12-30T13:30:00"/>
    <m/>
    <m/>
    <n v="0"/>
    <n v="120"/>
    <s v="No"/>
    <m/>
    <s v="Patient requested appointment"/>
    <s v="appointment_export_2026_04.csv"/>
    <n v="0"/>
    <n v="0"/>
    <x v="1"/>
    <s v="Midland"/>
    <s v="Daniel Wong"/>
    <s v="Urban"/>
    <s v="Mon-Fri 08:00-17:30"/>
    <x v="2"/>
    <n v="14"/>
    <n v="120"/>
    <s v="Behavioural health"/>
    <s v="Mental Health Clinician"/>
    <s v="Matched"/>
    <n v="13"/>
    <n v="1"/>
    <m/>
    <m/>
    <n v="1"/>
    <n v="1"/>
    <n v="1"/>
    <n v="0"/>
    <s v="Matches Standard"/>
    <x v="4"/>
    <n v="2026"/>
    <n v="4"/>
    <s v="Apr"/>
  </r>
  <r>
    <s v="APT-202604-0018"/>
    <d v="2026-04-13T00:00:00"/>
    <d v="2026-04-08T00:00:00"/>
    <s v="P0072"/>
    <s v="HAM"/>
    <s v="DIA"/>
    <s v="CL018"/>
    <x v="1"/>
    <x v="1"/>
    <d v="1899-12-30T11:00:00"/>
    <d v="1899-12-30T11:05:00"/>
    <d v="1899-12-30T11:23:00"/>
    <n v="20"/>
    <n v="80"/>
    <s v="Yes"/>
    <n v="2"/>
    <s v="Care plan review"/>
    <s v="appointment_export_2026_04.csv"/>
    <n v="0"/>
    <n v="0"/>
    <x v="1"/>
    <s v="Midland"/>
    <s v="Daniel Wong"/>
    <s v="Urban"/>
    <s v="Mon-Fri 08:00-17:30"/>
    <x v="3"/>
    <n v="10"/>
    <n v="80"/>
    <s v="Long-term conditions"/>
    <s v="Diabetes Nurse"/>
    <s v="Matched"/>
    <n v="5"/>
    <n v="1"/>
    <n v="18"/>
    <n v="1"/>
    <n v="1"/>
    <n v="0"/>
    <n v="1"/>
    <n v="0"/>
    <s v="Matches Standard"/>
    <x v="4"/>
    <n v="2026"/>
    <n v="4"/>
    <s v="Apr"/>
  </r>
  <r>
    <s v="APT-202604-0019"/>
    <d v="2026-04-03T00:00:00"/>
    <d v="2026-02-21T00:00:00"/>
    <s v="P0045"/>
    <s v="WLG"/>
    <s v="CAR"/>
    <s v="CL039"/>
    <x v="1"/>
    <x v="0"/>
    <d v="1899-12-30T15:30:00"/>
    <d v="1899-12-30T15:30:00"/>
    <d v="1899-12-30T16:08:00"/>
    <n v="30"/>
    <n v="150"/>
    <s v="No"/>
    <n v="5"/>
    <s v="Follow-up visit"/>
    <s v="appointment_export_2026_04.csv"/>
    <n v="0"/>
    <n v="0"/>
    <x v="0"/>
    <s v="Central"/>
    <s v="Sophie Martin"/>
    <s v="Urban"/>
    <s v="Mon-Sat 08:00-18:00"/>
    <x v="4"/>
    <n v="28"/>
    <n v="150"/>
    <s v="Specialist outpatient"/>
    <s v="Cardiology Clinician"/>
    <s v="Matched"/>
    <n v="41"/>
    <n v="0"/>
    <n v="38"/>
    <n v="0"/>
    <n v="1"/>
    <n v="0"/>
    <n v="1"/>
    <n v="0"/>
    <s v="Matches Standard"/>
    <x v="4"/>
    <n v="2026"/>
    <n v="4"/>
    <s v="Apr"/>
  </r>
  <r>
    <s v="APT-202604-0020"/>
    <d v="2026-04-12T00:00:00"/>
    <d v="2026-03-22T00:00:00"/>
    <s v="P0061"/>
    <s v="PMR"/>
    <s v="GEN"/>
    <s v="CL021"/>
    <x v="3"/>
    <x v="3"/>
    <d v="1899-12-30T11:30:00"/>
    <m/>
    <m/>
    <n v="0"/>
    <n v="65"/>
    <s v="No"/>
    <m/>
    <s v="Patient requested appointment"/>
    <s v="appointment_export_2026_04.csv"/>
    <n v="0"/>
    <n v="0"/>
    <x v="3"/>
    <s v="Central"/>
    <s v="Mereana Thompson"/>
    <s v="Regional"/>
    <s v="Mon-Fri 08:30-17:00"/>
    <x v="1"/>
    <n v="7"/>
    <n v="65"/>
    <s v="Primary care"/>
    <s v="Doctor or Nurse Practitioner"/>
    <s v="Matched"/>
    <n v="21"/>
    <n v="0"/>
    <m/>
    <m/>
    <n v="0"/>
    <m/>
    <n v="1"/>
    <n v="0"/>
    <s v="Matches Standard"/>
    <x v="4"/>
    <n v="2026"/>
    <n v="4"/>
    <s v="Apr"/>
  </r>
  <r>
    <s v="APT-202604-0021"/>
    <d v="2026-04-17T00:00:00"/>
    <d v="2026-03-09T00:00:00"/>
    <s v="P0096"/>
    <s v="HAM"/>
    <s v="PHY"/>
    <s v="CL016"/>
    <x v="1"/>
    <x v="3"/>
    <d v="1899-12-30T08:30:00"/>
    <d v="1899-12-30T08:46:00"/>
    <d v="1899-12-30T08:53:00"/>
    <n v="30"/>
    <n v="95"/>
    <s v="No"/>
    <n v="4"/>
    <s v="New referral"/>
    <s v="appointment_export_2026_04.csv"/>
    <n v="0"/>
    <n v="0"/>
    <x v="1"/>
    <s v="Midland"/>
    <s v="Daniel Wong"/>
    <s v="Urban"/>
    <s v="Mon-Fri 08:00-17:30"/>
    <x v="0"/>
    <n v="21"/>
    <n v="95"/>
    <s v="Rehabilitation"/>
    <s v="Physiotherapist"/>
    <s v="Matched"/>
    <n v="39"/>
    <n v="0"/>
    <n v="7"/>
    <n v="1"/>
    <n v="1"/>
    <n v="0"/>
    <n v="1"/>
    <n v="0"/>
    <s v="Matches Standard"/>
    <x v="4"/>
    <n v="2026"/>
    <n v="4"/>
    <s v="Apr"/>
  </r>
  <r>
    <s v="APT-202604-0022"/>
    <d v="2026-04-24T00:00:00"/>
    <d v="2026-03-11T00:00:00"/>
    <s v="P0115"/>
    <s v="HAM"/>
    <s v="DIA"/>
    <s v="CL018"/>
    <x v="1"/>
    <x v="0"/>
    <d v="1899-12-30T09:00:00"/>
    <d v="1899-12-30T09:00:00"/>
    <d v="1899-12-30T09:16:00"/>
    <n v="45"/>
    <n v="80"/>
    <s v="No"/>
    <n v="5"/>
    <s v="Follow-up visit"/>
    <s v="appointment_export_2026_04.csv"/>
    <n v="0"/>
    <n v="0"/>
    <x v="1"/>
    <s v="Midland"/>
    <s v="Daniel Wong"/>
    <s v="Urban"/>
    <s v="Mon-Fri 08:00-17:30"/>
    <x v="3"/>
    <n v="10"/>
    <n v="80"/>
    <s v="Long-term conditions"/>
    <s v="Diabetes Nurse"/>
    <s v="Matched"/>
    <n v="44"/>
    <n v="0"/>
    <n v="16"/>
    <n v="1"/>
    <n v="1"/>
    <n v="0"/>
    <n v="1"/>
    <n v="0"/>
    <s v="Matches Standard"/>
    <x v="4"/>
    <n v="2026"/>
    <n v="4"/>
    <s v="Apr"/>
  </r>
  <r>
    <s v="APT-202604-0023"/>
    <d v="2026-04-14T00:00:00"/>
    <d v="2026-03-11T00:00:00"/>
    <s v="P0026"/>
    <s v="AUC"/>
    <s v="MHS"/>
    <s v="CL004"/>
    <x v="1"/>
    <x v="2"/>
    <d v="1899-12-30T16:00:00"/>
    <d v="1899-12-30T16:12:00"/>
    <d v="1899-12-30T16:15:00"/>
    <n v="30"/>
    <n v="120"/>
    <s v="No"/>
    <n v="2"/>
    <s v="Care plan review"/>
    <s v="appointment_export_2026_04.csv"/>
    <n v="0"/>
    <n v="0"/>
    <x v="2"/>
    <s v="Northern"/>
    <s v="Aroha Rangi"/>
    <s v="Urban"/>
    <s v="Mon-Fri 08:00-18:00"/>
    <x v="2"/>
    <n v="14"/>
    <n v="120"/>
    <s v="Behavioural health"/>
    <s v="Mental Health Clinician"/>
    <s v="Matched"/>
    <n v="34"/>
    <n v="0"/>
    <n v="3"/>
    <n v="1"/>
    <n v="1"/>
    <n v="0"/>
    <n v="1"/>
    <n v="0"/>
    <s v="Matches Standard"/>
    <x v="4"/>
    <n v="2026"/>
    <n v="4"/>
    <s v="Apr"/>
  </r>
  <r>
    <s v="APT-202604-0024"/>
    <d v="2026-04-15T00:00:00"/>
    <d v="2026-03-17T00:00:00"/>
    <s v="P0032"/>
    <s v="HAM"/>
    <s v="DIA"/>
    <s v="CL018"/>
    <x v="3"/>
    <x v="1"/>
    <d v="1899-12-30T08:00:00"/>
    <m/>
    <m/>
    <n v="0"/>
    <n v="80"/>
    <s v="No"/>
    <m/>
    <s v="Routine review"/>
    <s v="appointment_export_2026_04.csv"/>
    <n v="0"/>
    <n v="0"/>
    <x v="1"/>
    <s v="Midland"/>
    <s v="Daniel Wong"/>
    <s v="Urban"/>
    <s v="Mon-Fri 08:00-17:30"/>
    <x v="3"/>
    <n v="10"/>
    <n v="80"/>
    <s v="Long-term conditions"/>
    <s v="Diabetes Nurse"/>
    <s v="Matched"/>
    <n v="29"/>
    <n v="0"/>
    <m/>
    <m/>
    <n v="0"/>
    <m/>
    <n v="1"/>
    <n v="0"/>
    <s v="Matches Standard"/>
    <x v="4"/>
    <n v="2026"/>
    <n v="4"/>
    <s v="Apr"/>
  </r>
  <r>
    <s v="APT-202604-0025"/>
    <d v="2026-04-12T00:00:00"/>
    <d v="2026-04-01T00:00:00"/>
    <s v="P0232"/>
    <s v="WLG"/>
    <s v="MHS"/>
    <s v="CL034"/>
    <x v="1"/>
    <x v="1"/>
    <d v="1899-12-30T13:30:00"/>
    <d v="1899-12-30T13:31:00"/>
    <d v="1899-12-30T13:37:00"/>
    <n v="30"/>
    <n v="120"/>
    <s v="No"/>
    <n v="5"/>
    <s v="New referral"/>
    <s v="appointment_export_2026_04.csv"/>
    <n v="0"/>
    <n v="0"/>
    <x v="0"/>
    <s v="Central"/>
    <s v="Sophie Martin"/>
    <s v="Urban"/>
    <s v="Mon-Sat 08:00-18:00"/>
    <x v="2"/>
    <n v="14"/>
    <n v="120"/>
    <s v="Behavioural health"/>
    <s v="Mental Health Clinician"/>
    <s v="Matched"/>
    <n v="11"/>
    <n v="1"/>
    <n v="6"/>
    <n v="1"/>
    <n v="1"/>
    <n v="0"/>
    <n v="1"/>
    <n v="0"/>
    <s v="Matches Standard"/>
    <x v="4"/>
    <n v="2026"/>
    <n v="4"/>
    <s v="Apr"/>
  </r>
  <r>
    <s v="APT-202604-0026"/>
    <d v="2026-04-24T00:00:00"/>
    <d v="2026-04-15T00:00:00"/>
    <s v="P0207"/>
    <s v="AUC"/>
    <s v="MHS"/>
    <s v="CL004"/>
    <x v="1"/>
    <x v="2"/>
    <d v="1899-12-30T11:00:00"/>
    <d v="1899-12-30T11:03:00"/>
    <d v="1899-12-30T11:39:00"/>
    <n v="45"/>
    <n v="120"/>
    <s v="No"/>
    <n v="4"/>
    <s v="New referral"/>
    <s v="appointment_export_2026_04.csv"/>
    <n v="0"/>
    <n v="0"/>
    <x v="2"/>
    <s v="Northern"/>
    <s v="Aroha Rangi"/>
    <s v="Urban"/>
    <s v="Mon-Fri 08:00-18:00"/>
    <x v="2"/>
    <n v="14"/>
    <n v="120"/>
    <s v="Behavioural health"/>
    <s v="Mental Health Clinician"/>
    <s v="Matched"/>
    <n v="9"/>
    <n v="1"/>
    <n v="36"/>
    <n v="0"/>
    <n v="1"/>
    <n v="0"/>
    <n v="1"/>
    <n v="0"/>
    <s v="Matches Standard"/>
    <x v="4"/>
    <n v="2026"/>
    <n v="4"/>
    <s v="Apr"/>
  </r>
  <r>
    <s v="APT-202604-0027"/>
    <d v="2026-04-05T00:00:00"/>
    <d v="2026-02-27T00:00:00"/>
    <s v="P0190"/>
    <s v="HAM"/>
    <s v="GEN"/>
    <s v="CL012"/>
    <x v="2"/>
    <x v="2"/>
    <d v="1899-12-30T13:00:00"/>
    <m/>
    <m/>
    <n v="0"/>
    <n v="65"/>
    <s v="No"/>
    <m/>
    <s v="Patient requested appointment"/>
    <s v="appointment_export_2026_04.csv"/>
    <n v="0"/>
    <n v="0"/>
    <x v="1"/>
    <s v="Midland"/>
    <s v="Daniel Wong"/>
    <s v="Urban"/>
    <s v="Mon-Fri 08:00-17:30"/>
    <x v="1"/>
    <n v="7"/>
    <n v="65"/>
    <s v="Primary care"/>
    <s v="Doctor or Nurse Practitioner"/>
    <s v="Matched"/>
    <n v="37"/>
    <n v="0"/>
    <m/>
    <m/>
    <n v="1"/>
    <n v="1"/>
    <n v="1"/>
    <n v="0"/>
    <s v="Matches Standard"/>
    <x v="4"/>
    <n v="2026"/>
    <n v="4"/>
    <s v="Apr"/>
  </r>
  <r>
    <s v="APT-202604-0028"/>
    <d v="2026-04-22T00:00:00"/>
    <d v="2026-02-26T00:00:00"/>
    <s v="P0143"/>
    <s v="PMR"/>
    <s v="MHS"/>
    <s v="CL023"/>
    <x v="1"/>
    <x v="0"/>
    <d v="1899-12-30T15:00:00"/>
    <d v="1899-12-30T15:12:00"/>
    <d v="1899-12-30T15:22:00"/>
    <n v="45"/>
    <n v="120"/>
    <s v="Yes"/>
    <n v="4"/>
    <s v="Routine review"/>
    <s v="appointment_export_2026_04.csv"/>
    <n v="0"/>
    <n v="0"/>
    <x v="3"/>
    <s v="Central"/>
    <s v="Mereana Thompson"/>
    <s v="Regional"/>
    <s v="Mon-Fri 08:30-17:00"/>
    <x v="2"/>
    <n v="14"/>
    <n v="120"/>
    <s v="Behavioural health"/>
    <s v="Mental Health Clinician"/>
    <s v="Matched"/>
    <n v="55"/>
    <n v="0"/>
    <n v="10"/>
    <n v="1"/>
    <n v="1"/>
    <n v="0"/>
    <n v="1"/>
    <n v="0"/>
    <s v="Matches Standard"/>
    <x v="4"/>
    <n v="2026"/>
    <n v="4"/>
    <s v="Apr"/>
  </r>
  <r>
    <s v="APT-202604-0029"/>
    <d v="2026-04-14T00:00:00"/>
    <d v="2026-04-03T00:00:00"/>
    <s v="P0068"/>
    <s v="PMR"/>
    <s v="PHY"/>
    <s v="CL026"/>
    <x v="1"/>
    <x v="1"/>
    <d v="1899-12-30T10:00:00"/>
    <d v="1899-12-30T09:51:00"/>
    <d v="1899-12-30T10:12:00"/>
    <n v="60"/>
    <n v="95"/>
    <s v="No"/>
    <n v="4"/>
    <s v="Care plan review"/>
    <s v="appointment_export_2026_04.csv"/>
    <n v="0"/>
    <n v="0"/>
    <x v="3"/>
    <s v="Central"/>
    <s v="Mereana Thompson"/>
    <s v="Regional"/>
    <s v="Mon-Fri 08:30-17:00"/>
    <x v="0"/>
    <n v="21"/>
    <n v="95"/>
    <s v="Rehabilitation"/>
    <s v="Physiotherapist"/>
    <s v="Matched"/>
    <n v="11"/>
    <n v="1"/>
    <n v="21"/>
    <n v="1"/>
    <n v="1"/>
    <n v="0"/>
    <n v="1"/>
    <n v="0"/>
    <s v="Matches Standard"/>
    <x v="4"/>
    <n v="2026"/>
    <n v="4"/>
    <s v="Apr"/>
  </r>
  <r>
    <s v="APT-202604-0030"/>
    <d v="2026-04-22T00:00:00"/>
    <d v="2026-03-05T00:00:00"/>
    <s v="P0061"/>
    <s v="AUC"/>
    <s v="PHY"/>
    <s v="CL005"/>
    <x v="2"/>
    <x v="3"/>
    <d v="1899-12-30T13:00:00"/>
    <m/>
    <m/>
    <n v="0"/>
    <n v="95"/>
    <s v="No"/>
    <m/>
    <s v="New referral"/>
    <s v="appointment_export_2026_04.csv"/>
    <n v="0"/>
    <n v="0"/>
    <x v="2"/>
    <s v="Northern"/>
    <s v="Aroha Rangi"/>
    <s v="Urban"/>
    <s v="Mon-Fri 08:00-18:00"/>
    <x v="0"/>
    <n v="21"/>
    <n v="95"/>
    <s v="Rehabilitation"/>
    <s v="Physiotherapist"/>
    <s v="Matched"/>
    <n v="48"/>
    <n v="0"/>
    <m/>
    <m/>
    <n v="1"/>
    <n v="1"/>
    <n v="1"/>
    <n v="0"/>
    <s v="Matches Standard"/>
    <x v="4"/>
    <n v="2026"/>
    <n v="4"/>
    <s v="Apr"/>
  </r>
  <r>
    <s v="APT-202604-0031"/>
    <d v="2026-04-11T00:00:00"/>
    <d v="2026-02-15T00:00:00"/>
    <s v="P0053"/>
    <s v="AUC"/>
    <s v="PHY"/>
    <s v="CL006"/>
    <x v="3"/>
    <x v="3"/>
    <d v="1899-12-30T11:30:00"/>
    <d v="1899-12-30T11:21:00"/>
    <d v="1899-12-30T11:52:00"/>
    <n v="60"/>
    <n v="95"/>
    <s v="Yes"/>
    <n v="4"/>
    <s v="Care plan review"/>
    <s v="appointment_export_2026_04.csv"/>
    <n v="0"/>
    <n v="0"/>
    <x v="2"/>
    <s v="Northern"/>
    <s v="Aroha Rangi"/>
    <s v="Urban"/>
    <s v="Mon-Fri 08:00-18:00"/>
    <x v="0"/>
    <n v="21"/>
    <n v="95"/>
    <s v="Rehabilitation"/>
    <s v="Physiotherapist"/>
    <s v="Matched"/>
    <n v="55"/>
    <n v="0"/>
    <m/>
    <m/>
    <n v="0"/>
    <m/>
    <n v="1"/>
    <n v="0"/>
    <s v="Matches Standard"/>
    <x v="4"/>
    <n v="2026"/>
    <n v="4"/>
    <s v="Apr"/>
  </r>
  <r>
    <s v="APT-202604-0032"/>
    <d v="2026-04-26T00:00:00"/>
    <d v="2026-03-09T00:00:00"/>
    <s v="P0215"/>
    <s v="AUC"/>
    <s v="CAR"/>
    <s v="CL009"/>
    <x v="2"/>
    <x v="3"/>
    <d v="1899-12-30T15:00:00"/>
    <m/>
    <m/>
    <n v="0"/>
    <n v="150"/>
    <s v="No"/>
    <m/>
    <s v="Follow-up visit"/>
    <s v="appointment_export_2026_04.csv"/>
    <n v="0"/>
    <n v="0"/>
    <x v="2"/>
    <s v="Northern"/>
    <s v="Aroha Rangi"/>
    <s v="Urban"/>
    <s v="Mon-Fri 08:00-18:00"/>
    <x v="4"/>
    <n v="28"/>
    <n v="150"/>
    <s v="Specialist outpatient"/>
    <s v="Cardiology Clinician"/>
    <s v="Matched"/>
    <n v="48"/>
    <n v="0"/>
    <m/>
    <m/>
    <n v="1"/>
    <n v="1"/>
    <n v="1"/>
    <n v="0"/>
    <s v="Matches Standard"/>
    <x v="4"/>
    <n v="2026"/>
    <n v="4"/>
    <s v="Apr"/>
  </r>
  <r>
    <s v="APT-202604-0033"/>
    <d v="2026-04-08T00:00:00"/>
    <d v="2026-03-27T00:00:00"/>
    <s v="P0148"/>
    <s v="AUC"/>
    <s v="GEN"/>
    <s v="CL001"/>
    <x v="1"/>
    <x v="3"/>
    <d v="1899-12-30T09:00:00"/>
    <d v="1899-12-30T08:56:00"/>
    <d v="1899-12-30T09:15:00"/>
    <n v="20"/>
    <n v="65"/>
    <s v="Yes"/>
    <n v="5"/>
    <s v="Patient requested appointment"/>
    <s v="appointment_export_2026_04.csv"/>
    <n v="0"/>
    <n v="0"/>
    <x v="2"/>
    <s v="Northern"/>
    <s v="Aroha Rangi"/>
    <s v="Urban"/>
    <s v="Mon-Fri 08:00-18:00"/>
    <x v="1"/>
    <n v="7"/>
    <n v="65"/>
    <s v="Primary care"/>
    <s v="Doctor or Nurse Practitioner"/>
    <s v="Matched"/>
    <n v="12"/>
    <n v="0"/>
    <n v="19"/>
    <n v="1"/>
    <n v="1"/>
    <n v="0"/>
    <n v="1"/>
    <n v="0"/>
    <s v="Matches Standard"/>
    <x v="4"/>
    <n v="2026"/>
    <n v="4"/>
    <s v="Apr"/>
  </r>
  <r>
    <s v="APT-202604-0034"/>
    <d v="2026-04-17T00:00:00"/>
    <d v="2026-03-09T00:00:00"/>
    <s v="P0227"/>
    <s v="PMR"/>
    <s v="MHS"/>
    <s v="CL024"/>
    <x v="1"/>
    <x v="3"/>
    <d v="1899-12-30T14:30:00"/>
    <d v="1899-12-30T14:21:00"/>
    <d v="1899-12-30T14:33:00"/>
    <n v="20"/>
    <n v="120"/>
    <s v="No"/>
    <n v="5"/>
    <s v="Care plan review"/>
    <s v="appointment_export_2026_04.csv"/>
    <n v="0"/>
    <n v="0"/>
    <x v="3"/>
    <s v="Central"/>
    <s v="Mereana Thompson"/>
    <s v="Regional"/>
    <s v="Mon-Fri 08:30-17:00"/>
    <x v="2"/>
    <n v="14"/>
    <n v="120"/>
    <s v="Behavioural health"/>
    <s v="Mental Health Clinician"/>
    <s v="Matched"/>
    <n v="39"/>
    <n v="0"/>
    <n v="12"/>
    <n v="1"/>
    <n v="1"/>
    <n v="0"/>
    <n v="1"/>
    <n v="0"/>
    <s v="Matches Standard"/>
    <x v="4"/>
    <n v="2026"/>
    <n v="4"/>
    <s v="Apr"/>
  </r>
  <r>
    <s v="APT-202604-0035"/>
    <d v="2026-04-15T00:00:00"/>
    <d v="2026-04-02T00:00:00"/>
    <s v="P0057"/>
    <s v="AUC"/>
    <s v="DIA"/>
    <s v="CL008"/>
    <x v="1"/>
    <x v="0"/>
    <d v="1899-12-30T15:00:00"/>
    <d v="1899-12-30T15:13:00"/>
    <d v="1899-12-30T15:28:00"/>
    <n v="20"/>
    <n v="80"/>
    <s v="Yes"/>
    <n v="2"/>
    <s v="New referral"/>
    <s v="appointment_export_2026_04.csv"/>
    <n v="0"/>
    <n v="0"/>
    <x v="2"/>
    <s v="Northern"/>
    <s v="Aroha Rangi"/>
    <s v="Urban"/>
    <s v="Mon-Fri 08:00-18:00"/>
    <x v="3"/>
    <n v="10"/>
    <n v="80"/>
    <s v="Long-term conditions"/>
    <s v="Diabetes Nurse"/>
    <s v="Matched"/>
    <n v="13"/>
    <n v="0"/>
    <n v="15"/>
    <n v="1"/>
    <n v="1"/>
    <n v="0"/>
    <n v="1"/>
    <n v="0"/>
    <s v="Matches Standard"/>
    <x v="4"/>
    <n v="2026"/>
    <n v="4"/>
    <s v="Apr"/>
  </r>
  <r>
    <s v="APT-202604-0036"/>
    <d v="2026-04-10T00:00:00"/>
    <d v="2026-04-09T00:00:00"/>
    <s v="P0155"/>
    <s v="AUC"/>
    <s v="PHY"/>
    <s v="CL005"/>
    <x v="1"/>
    <x v="0"/>
    <d v="1899-12-30T14:30:00"/>
    <d v="1899-12-30T14:20:00"/>
    <d v="1899-12-30T14:53:00"/>
    <n v="20"/>
    <n v="95"/>
    <s v="No"/>
    <n v="5"/>
    <s v="Routine review"/>
    <s v="appointment_export_2026_04.csv"/>
    <n v="0"/>
    <n v="0"/>
    <x v="2"/>
    <s v="Northern"/>
    <s v="Aroha Rangi"/>
    <s v="Urban"/>
    <s v="Mon-Fri 08:00-18:00"/>
    <x v="0"/>
    <n v="21"/>
    <n v="95"/>
    <s v="Rehabilitation"/>
    <s v="Physiotherapist"/>
    <s v="Matched"/>
    <n v="1"/>
    <n v="1"/>
    <n v="33"/>
    <n v="0"/>
    <n v="1"/>
    <n v="0"/>
    <n v="1"/>
    <n v="0"/>
    <s v="Matches Standard"/>
    <x v="4"/>
    <n v="2026"/>
    <n v="4"/>
    <s v="Apr"/>
  </r>
  <r>
    <s v="APT-202604-0037"/>
    <d v="2026-04-09T00:00:00"/>
    <d v="2026-03-19T00:00:00"/>
    <s v="P0226"/>
    <s v="HAM"/>
    <s v="CAR"/>
    <s v="CL019"/>
    <x v="1"/>
    <x v="0"/>
    <d v="1899-12-30T14:30:00"/>
    <d v="1899-12-30T14:40:00"/>
    <d v="1899-12-30T15:00:00"/>
    <n v="60"/>
    <n v="150"/>
    <s v="No"/>
    <n v="4"/>
    <s v="Care plan review"/>
    <s v="appointment_export_2026_04.csv"/>
    <n v="0"/>
    <n v="0"/>
    <x v="1"/>
    <s v="Midland"/>
    <s v="Daniel Wong"/>
    <s v="Urban"/>
    <s v="Mon-Fri 08:00-17:30"/>
    <x v="4"/>
    <n v="28"/>
    <n v="150"/>
    <s v="Specialist outpatient"/>
    <s v="Cardiology Clinician"/>
    <s v="Matched"/>
    <n v="21"/>
    <n v="1"/>
    <n v="20"/>
    <n v="1"/>
    <n v="1"/>
    <n v="0"/>
    <n v="1"/>
    <n v="0"/>
    <s v="Matches Standard"/>
    <x v="4"/>
    <n v="2026"/>
    <n v="4"/>
    <s v="Apr"/>
  </r>
  <r>
    <s v="APT-202604-0038"/>
    <d v="2026-04-13T00:00:00"/>
    <d v="2026-03-26T00:00:00"/>
    <s v="P0183"/>
    <s v="HAM"/>
    <s v="GEN"/>
    <s v="CL011"/>
    <x v="1"/>
    <x v="1"/>
    <d v="1899-12-30T09:00:00"/>
    <d v="1899-12-30T08:59:00"/>
    <d v="1899-12-30T09:18:00"/>
    <n v="20"/>
    <n v="65"/>
    <s v="No"/>
    <n v="5"/>
    <s v="Patient requested appointment"/>
    <s v="appointment_export_2026_04.csv"/>
    <n v="0"/>
    <n v="0"/>
    <x v="1"/>
    <s v="Midland"/>
    <s v="Daniel Wong"/>
    <s v="Urban"/>
    <s v="Mon-Fri 08:00-17:30"/>
    <x v="1"/>
    <n v="7"/>
    <n v="65"/>
    <s v="Primary care"/>
    <s v="Doctor or Nurse Practitioner"/>
    <s v="Matched"/>
    <n v="18"/>
    <n v="0"/>
    <n v="19"/>
    <n v="1"/>
    <n v="1"/>
    <n v="0"/>
    <n v="1"/>
    <n v="0"/>
    <s v="Matches Standard"/>
    <x v="4"/>
    <n v="2026"/>
    <n v="4"/>
    <s v="Apr"/>
  </r>
  <r>
    <s v="APT-202604-0039"/>
    <d v="2026-04-06T00:00:00"/>
    <d v="2026-02-16T00:00:00"/>
    <s v="P0222"/>
    <s v="WLG"/>
    <s v="PHY"/>
    <s v="CL035"/>
    <x v="1"/>
    <x v="3"/>
    <d v="1899-12-30T14:30:00"/>
    <d v="1899-12-30T14:21:00"/>
    <d v="1899-12-30T14:34:00"/>
    <n v="30"/>
    <n v="95"/>
    <s v="Yes"/>
    <n v="5"/>
    <s v="New referral"/>
    <s v="appointment_export_2026_04.csv"/>
    <n v="0"/>
    <n v="0"/>
    <x v="0"/>
    <s v="Central"/>
    <s v="Sophie Martin"/>
    <s v="Urban"/>
    <s v="Mon-Sat 08:00-18:00"/>
    <x v="0"/>
    <n v="21"/>
    <n v="95"/>
    <s v="Rehabilitation"/>
    <s v="Physiotherapist"/>
    <s v="Matched"/>
    <n v="49"/>
    <n v="0"/>
    <n v="13"/>
    <n v="1"/>
    <n v="1"/>
    <n v="0"/>
    <n v="1"/>
    <n v="0"/>
    <s v="Matches Standard"/>
    <x v="4"/>
    <n v="2026"/>
    <n v="4"/>
    <s v="Apr"/>
  </r>
  <r>
    <s v="APT-202604-0040"/>
    <d v="2026-04-04T00:00:00"/>
    <d v="2026-02-18T00:00:00"/>
    <s v="P0070"/>
    <s v="PMR"/>
    <s v="GEN"/>
    <s v="CL022"/>
    <x v="1"/>
    <x v="3"/>
    <d v="1899-12-30T10:30:00"/>
    <d v="1899-12-30T10:32:00"/>
    <d v="1899-12-30T10:50:00"/>
    <n v="30"/>
    <n v="65"/>
    <s v="No"/>
    <n v="4"/>
    <s v="Care plan review"/>
    <s v="appointment_export_2026_04.csv"/>
    <n v="0"/>
    <n v="0"/>
    <x v="3"/>
    <s v="Central"/>
    <s v="Mereana Thompson"/>
    <s v="Regional"/>
    <s v="Mon-Fri 08:30-17:00"/>
    <x v="1"/>
    <n v="7"/>
    <n v="65"/>
    <s v="Primary care"/>
    <s v="Doctor or Nurse Practitioner"/>
    <s v="Matched"/>
    <n v="45"/>
    <n v="0"/>
    <n v="18"/>
    <n v="1"/>
    <n v="1"/>
    <n v="0"/>
    <n v="1"/>
    <n v="0"/>
    <s v="Matches Standard"/>
    <x v="4"/>
    <n v="2026"/>
    <n v="4"/>
    <s v="Apr"/>
  </r>
  <r>
    <s v="APT-202604-0041"/>
    <d v="2026-04-09T00:00:00"/>
    <d v="2026-03-27T00:00:00"/>
    <s v="P0091"/>
    <s v="PMR"/>
    <s v="CAR"/>
    <s v="CL029"/>
    <x v="1"/>
    <x v="3"/>
    <d v="1899-12-30T13:30:00"/>
    <d v="1899-12-30T13:29:00"/>
    <d v="1899-12-30T13:59:00"/>
    <n v="30"/>
    <n v="150"/>
    <s v="No"/>
    <n v="5"/>
    <s v="New referral"/>
    <s v="appointment_export_2026_04.csv"/>
    <n v="0"/>
    <n v="0"/>
    <x v="3"/>
    <s v="Central"/>
    <s v="Mereana Thompson"/>
    <s v="Regional"/>
    <s v="Mon-Fri 08:30-17:00"/>
    <x v="4"/>
    <n v="28"/>
    <n v="150"/>
    <s v="Specialist outpatient"/>
    <s v="Cardiology Clinician"/>
    <s v="Matched"/>
    <n v="13"/>
    <n v="1"/>
    <n v="30"/>
    <n v="1"/>
    <n v="1"/>
    <n v="0"/>
    <n v="1"/>
    <n v="0"/>
    <s v="Matches Standard"/>
    <x v="4"/>
    <n v="2026"/>
    <n v="4"/>
    <s v="Apr"/>
  </r>
  <r>
    <s v="APT-202604-0042"/>
    <d v="2026-04-02T00:00:00"/>
    <d v="2026-02-21T00:00:00"/>
    <s v="P0208"/>
    <s v="WLG"/>
    <s v="MHS"/>
    <s v="CL033"/>
    <x v="0"/>
    <x v="0"/>
    <d v="1899-12-30T09:00:00"/>
    <m/>
    <m/>
    <n v="0"/>
    <n v="120"/>
    <s v="No"/>
    <m/>
    <s v="New referral"/>
    <s v="appointment_export_2026_04.csv"/>
    <n v="0"/>
    <n v="0"/>
    <x v="0"/>
    <s v="Central"/>
    <s v="Sophie Martin"/>
    <s v="Urban"/>
    <s v="Mon-Sat 08:00-18:00"/>
    <x v="2"/>
    <n v="14"/>
    <n v="120"/>
    <s v="Behavioural health"/>
    <s v="Mental Health Clinician"/>
    <s v="Matched"/>
    <n v="40"/>
    <n v="0"/>
    <m/>
    <m/>
    <n v="0"/>
    <m/>
    <n v="1"/>
    <n v="0"/>
    <s v="Matches Standard"/>
    <x v="4"/>
    <n v="2026"/>
    <n v="4"/>
    <s v="Apr"/>
  </r>
  <r>
    <s v="APT-202604-0043"/>
    <d v="2026-04-10T00:00:00"/>
    <d v="2026-02-23T00:00:00"/>
    <s v="P0094"/>
    <s v="HAM"/>
    <s v="DIA"/>
    <s v="CL017"/>
    <x v="1"/>
    <x v="1"/>
    <d v="1899-12-30T13:30:00"/>
    <d v="1899-12-30T13:26:00"/>
    <d v="1899-12-30T13:55:00"/>
    <n v="20"/>
    <n v="80"/>
    <s v="No"/>
    <n v="3"/>
    <s v="Follow-up visit"/>
    <s v="appointment_export_2026_04.csv"/>
    <n v="0"/>
    <n v="0"/>
    <x v="1"/>
    <s v="Midland"/>
    <s v="Daniel Wong"/>
    <s v="Urban"/>
    <s v="Mon-Fri 08:00-17:30"/>
    <x v="3"/>
    <n v="10"/>
    <n v="80"/>
    <s v="Long-term conditions"/>
    <s v="Diabetes Nurse"/>
    <s v="Matched"/>
    <n v="46"/>
    <n v="0"/>
    <n v="29"/>
    <n v="1"/>
    <n v="1"/>
    <n v="0"/>
    <n v="1"/>
    <n v="0"/>
    <s v="Matches Standard"/>
    <x v="4"/>
    <n v="2026"/>
    <n v="4"/>
    <s v="Apr"/>
  </r>
  <r>
    <s v="APT-202604-0044"/>
    <d v="2026-04-12T00:00:00"/>
    <d v="2026-03-10T00:00:00"/>
    <s v="P0067"/>
    <s v="WLG"/>
    <s v="PHY"/>
    <s v="CL036"/>
    <x v="1"/>
    <x v="0"/>
    <d v="1899-12-30T11:30:00"/>
    <d v="1899-12-30T11:47:00"/>
    <d v="1899-12-30T12:03:00"/>
    <n v="60"/>
    <n v="95"/>
    <s v="No"/>
    <n v="3"/>
    <s v="Patient requested appointment"/>
    <s v="appointment_export_2026_04.csv"/>
    <n v="0"/>
    <n v="0"/>
    <x v="0"/>
    <s v="Central"/>
    <s v="Sophie Martin"/>
    <s v="Urban"/>
    <s v="Mon-Sat 08:00-18:00"/>
    <x v="0"/>
    <n v="21"/>
    <n v="95"/>
    <s v="Rehabilitation"/>
    <s v="Physiotherapist"/>
    <s v="Matched"/>
    <n v="33"/>
    <n v="0"/>
    <n v="16"/>
    <n v="1"/>
    <n v="1"/>
    <n v="0"/>
    <n v="1"/>
    <n v="0"/>
    <s v="Matches Standard"/>
    <x v="4"/>
    <n v="2026"/>
    <n v="4"/>
    <s v="Apr"/>
  </r>
  <r>
    <s v="APT-202604-0045"/>
    <d v="2026-04-13T00:00:00"/>
    <d v="2026-02-22T00:00:00"/>
    <s v="P0008"/>
    <s v="AUC"/>
    <s v="CAR"/>
    <s v="CL010"/>
    <x v="1"/>
    <x v="2"/>
    <d v="1899-12-30T15:30:00"/>
    <d v="1899-12-30T15:42:00"/>
    <d v="1899-12-30T15:48:00"/>
    <n v="20"/>
    <n v="150"/>
    <s v="Yes"/>
    <n v="2"/>
    <s v="Follow-up visit"/>
    <s v="appointment_export_2026_04.csv"/>
    <n v="0"/>
    <n v="0"/>
    <x v="2"/>
    <s v="Northern"/>
    <s v="Aroha Rangi"/>
    <s v="Urban"/>
    <s v="Mon-Fri 08:00-18:00"/>
    <x v="4"/>
    <n v="28"/>
    <n v="150"/>
    <s v="Specialist outpatient"/>
    <s v="Cardiology Clinician"/>
    <s v="Matched"/>
    <n v="50"/>
    <n v="0"/>
    <n v="6"/>
    <n v="1"/>
    <n v="1"/>
    <n v="0"/>
    <n v="1"/>
    <n v="0"/>
    <s v="Matches Standard"/>
    <x v="4"/>
    <n v="2026"/>
    <n v="4"/>
    <s v="Apr"/>
  </r>
  <r>
    <s v="APT-202604-0046"/>
    <d v="2026-04-11T00:00:00"/>
    <d v="2026-03-01T00:00:00"/>
    <s v="P0156"/>
    <s v="PMR"/>
    <s v="PHY"/>
    <s v="CL025"/>
    <x v="1"/>
    <x v="0"/>
    <d v="1899-12-30T15:00:00"/>
    <d v="1899-12-30T15:15:00"/>
    <d v="1899-12-30T15:11:00"/>
    <n v="60"/>
    <n v="95"/>
    <s v="No"/>
    <n v="5"/>
    <s v="Care plan review"/>
    <s v="appointment_export_2026_04.csv"/>
    <n v="0"/>
    <n v="0"/>
    <x v="3"/>
    <s v="Central"/>
    <s v="Mereana Thompson"/>
    <s v="Regional"/>
    <s v="Mon-Fri 08:30-17:00"/>
    <x v="0"/>
    <n v="21"/>
    <n v="95"/>
    <s v="Rehabilitation"/>
    <s v="Physiotherapist"/>
    <s v="Matched"/>
    <n v="41"/>
    <n v="0"/>
    <m/>
    <m/>
    <n v="1"/>
    <n v="0"/>
    <n v="1"/>
    <n v="0"/>
    <s v="Matches Standard"/>
    <x v="4"/>
    <n v="2026"/>
    <n v="4"/>
    <s v="Apr"/>
  </r>
  <r>
    <s v="APT-202604-0047"/>
    <d v="2026-04-21T00:00:00"/>
    <d v="2026-03-31T00:00:00"/>
    <s v="P0063"/>
    <s v="AUC"/>
    <s v="GEN"/>
    <s v="CL001"/>
    <x v="1"/>
    <x v="0"/>
    <d v="1899-12-30T09:00:00"/>
    <d v="1899-12-30T08:57:00"/>
    <d v="1899-12-30T09:13:00"/>
    <n v="20"/>
    <n v="65"/>
    <s v="Yes"/>
    <n v="5"/>
    <s v="Routine review"/>
    <s v="appointment_export_2026_04.csv"/>
    <n v="0"/>
    <n v="0"/>
    <x v="2"/>
    <s v="Northern"/>
    <s v="Aroha Rangi"/>
    <s v="Urban"/>
    <s v="Mon-Fri 08:00-18:00"/>
    <x v="1"/>
    <n v="7"/>
    <n v="65"/>
    <s v="Primary care"/>
    <s v="Doctor or Nurse Practitioner"/>
    <s v="Matched"/>
    <n v="21"/>
    <n v="0"/>
    <n v="16"/>
    <n v="1"/>
    <n v="1"/>
    <n v="0"/>
    <n v="1"/>
    <n v="0"/>
    <s v="Matches Standard"/>
    <x v="4"/>
    <n v="2026"/>
    <n v="4"/>
    <s v="Apr"/>
  </r>
  <r>
    <s v="APT-202604-0048"/>
    <d v="2026-04-08T00:00:00"/>
    <d v="2026-03-02T00:00:00"/>
    <s v="P0032"/>
    <s v="PMR"/>
    <s v="PHY"/>
    <s v="CL025"/>
    <x v="1"/>
    <x v="3"/>
    <d v="1899-12-30T15:30:00"/>
    <d v="1899-12-30T15:48:00"/>
    <d v="1899-12-30T15:30:00"/>
    <n v="60"/>
    <n v="95"/>
    <s v="No"/>
    <n v="5"/>
    <s v="Care plan review"/>
    <s v="appointment_export_2026_04.csv"/>
    <n v="0"/>
    <n v="0"/>
    <x v="3"/>
    <s v="Central"/>
    <s v="Mereana Thompson"/>
    <s v="Regional"/>
    <s v="Mon-Fri 08:30-17:00"/>
    <x v="0"/>
    <n v="21"/>
    <n v="95"/>
    <s v="Rehabilitation"/>
    <s v="Physiotherapist"/>
    <s v="Matched"/>
    <n v="37"/>
    <n v="0"/>
    <m/>
    <m/>
    <n v="1"/>
    <n v="0"/>
    <n v="1"/>
    <n v="0"/>
    <s v="Matches Standard"/>
    <x v="4"/>
    <n v="2026"/>
    <n v="4"/>
    <s v="Apr"/>
  </r>
  <r>
    <s v="APT-202604-0049"/>
    <d v="2026-04-20T00:00:00"/>
    <d v="2026-03-20T00:00:00"/>
    <s v="P0213"/>
    <s v="WLG"/>
    <s v="CAR"/>
    <s v="CL040"/>
    <x v="0"/>
    <x v="1"/>
    <d v="1899-12-30T11:00:00"/>
    <m/>
    <m/>
    <n v="0"/>
    <n v="150"/>
    <s v="No"/>
    <m/>
    <s v="Care plan review"/>
    <s v="appointment_export_2026_04.csv"/>
    <n v="0"/>
    <n v="0"/>
    <x v="0"/>
    <s v="Central"/>
    <s v="Sophie Martin"/>
    <s v="Urban"/>
    <s v="Mon-Sat 08:00-18:00"/>
    <x v="4"/>
    <n v="28"/>
    <n v="150"/>
    <s v="Specialist outpatient"/>
    <s v="Cardiology Clinician"/>
    <s v="Matched"/>
    <n v="31"/>
    <n v="0"/>
    <m/>
    <m/>
    <n v="0"/>
    <m/>
    <n v="1"/>
    <n v="0"/>
    <s v="Matches Standard"/>
    <x v="4"/>
    <n v="2026"/>
    <n v="4"/>
    <s v="Apr"/>
  </r>
  <r>
    <s v="APT-202604-0050"/>
    <d v="2026-04-27T00:00:00"/>
    <d v="2026-04-09T00:00:00"/>
    <s v="P0228"/>
    <s v="PMR"/>
    <s v="DIA"/>
    <s v="CL028"/>
    <x v="1"/>
    <x v="1"/>
    <d v="1899-12-30T12:30:00"/>
    <d v="1899-12-30T12:20:00"/>
    <d v="1899-12-30T12:31:00"/>
    <n v="30"/>
    <n v="80"/>
    <s v="No"/>
    <n v="4"/>
    <s v="Patient requested appointment"/>
    <s v="appointment_export_2026_04.csv"/>
    <n v="0"/>
    <n v="0"/>
    <x v="3"/>
    <s v="Central"/>
    <s v="Mereana Thompson"/>
    <s v="Regional"/>
    <s v="Mon-Fri 08:30-17:00"/>
    <x v="3"/>
    <n v="10"/>
    <n v="80"/>
    <s v="Long-term conditions"/>
    <s v="Diabetes Nurse"/>
    <s v="Matched"/>
    <n v="18"/>
    <n v="0"/>
    <n v="11"/>
    <n v="1"/>
    <n v="1"/>
    <n v="0"/>
    <n v="1"/>
    <n v="0"/>
    <s v="Matches Standard"/>
    <x v="4"/>
    <n v="2026"/>
    <n v="4"/>
    <s v="Apr"/>
  </r>
  <r>
    <s v="APT-202604-0051"/>
    <d v="2026-04-21T00:00:00"/>
    <d v="2026-04-04T00:00:00"/>
    <s v="P0121"/>
    <s v="WLG"/>
    <s v="GEN"/>
    <s v="CL032"/>
    <x v="1"/>
    <x v="1"/>
    <d v="1899-12-30T13:30:00"/>
    <d v="1899-12-30T13:38:00"/>
    <d v="1899-12-30T13:51:00"/>
    <n v="20"/>
    <n v="65"/>
    <s v="No"/>
    <n v="5"/>
    <s v="Follow-up visit"/>
    <s v="appointment_export_2026_04.csv"/>
    <n v="0"/>
    <n v="0"/>
    <x v="0"/>
    <s v="Central"/>
    <s v="Sophie Martin"/>
    <s v="Urban"/>
    <s v="Mon-Sat 08:00-18:00"/>
    <x v="1"/>
    <n v="7"/>
    <n v="65"/>
    <s v="Primary care"/>
    <s v="Doctor or Nurse Practitioner"/>
    <s v="Matched"/>
    <n v="17"/>
    <n v="0"/>
    <n v="13"/>
    <n v="1"/>
    <n v="1"/>
    <n v="0"/>
    <n v="1"/>
    <n v="0"/>
    <s v="Matches Standard"/>
    <x v="4"/>
    <n v="2026"/>
    <n v="4"/>
    <s v="Apr"/>
  </r>
  <r>
    <s v="APT-202604-0052"/>
    <d v="2026-04-08T00:00:00"/>
    <d v="2026-02-21T00:00:00"/>
    <s v="P0234"/>
    <s v="PMR"/>
    <s v="CAR"/>
    <s v="CL029"/>
    <x v="1"/>
    <x v="1"/>
    <d v="1899-12-30T15:30:00"/>
    <d v="1899-12-30T15:28:00"/>
    <d v="1899-12-30T15:47:00"/>
    <n v="30"/>
    <n v="150"/>
    <s v="No"/>
    <n v="4"/>
    <s v="Follow-up visit"/>
    <s v="appointment_export_2026_04.csv"/>
    <n v="0"/>
    <n v="0"/>
    <x v="3"/>
    <s v="Central"/>
    <s v="Mereana Thompson"/>
    <s v="Regional"/>
    <s v="Mon-Fri 08:30-17:00"/>
    <x v="4"/>
    <n v="28"/>
    <n v="150"/>
    <s v="Specialist outpatient"/>
    <s v="Cardiology Clinician"/>
    <s v="Matched"/>
    <n v="46"/>
    <n v="0"/>
    <n v="19"/>
    <n v="1"/>
    <n v="1"/>
    <n v="0"/>
    <n v="1"/>
    <n v="0"/>
    <s v="Matches Standard"/>
    <x v="4"/>
    <n v="2026"/>
    <n v="4"/>
    <s v="Apr"/>
  </r>
  <r>
    <s v="APT-202604-0053"/>
    <d v="2026-04-07T00:00:00"/>
    <d v="2026-02-20T00:00:00"/>
    <s v="P0050"/>
    <s v="WLG"/>
    <s v="PHY"/>
    <s v="CL035"/>
    <x v="1"/>
    <x v="2"/>
    <d v="1899-12-30T14:30:00"/>
    <d v="1899-12-30T14:34:00"/>
    <d v="1899-12-30T15:06:00"/>
    <n v="60"/>
    <n v="95"/>
    <s v="No"/>
    <n v="5"/>
    <s v="Patient requested appointment"/>
    <s v="appointment_export_2026_04.csv"/>
    <n v="0"/>
    <n v="0"/>
    <x v="0"/>
    <s v="Central"/>
    <s v="Sophie Martin"/>
    <s v="Urban"/>
    <s v="Mon-Sat 08:00-18:00"/>
    <x v="0"/>
    <n v="21"/>
    <n v="95"/>
    <s v="Rehabilitation"/>
    <s v="Physiotherapist"/>
    <s v="Matched"/>
    <n v="46"/>
    <n v="0"/>
    <n v="32"/>
    <n v="0"/>
    <n v="1"/>
    <n v="0"/>
    <n v="1"/>
    <n v="0"/>
    <s v="Matches Standard"/>
    <x v="4"/>
    <n v="2026"/>
    <n v="4"/>
    <s v="Apr"/>
  </r>
  <r>
    <s v="APT-202604-0054"/>
    <d v="2026-04-09T00:00:00"/>
    <d v="2026-02-21T00:00:00"/>
    <s v="P0153"/>
    <s v="PMR"/>
    <s v="MHS"/>
    <s v="CL023"/>
    <x v="0"/>
    <x v="2"/>
    <d v="1899-12-30T10:30:00"/>
    <m/>
    <m/>
    <n v="0"/>
    <n v="120"/>
    <s v="No"/>
    <m/>
    <s v="Patient requested appointment"/>
    <s v="appointment_export_2026_04.csv"/>
    <n v="0"/>
    <n v="0"/>
    <x v="3"/>
    <s v="Central"/>
    <s v="Mereana Thompson"/>
    <s v="Regional"/>
    <s v="Mon-Fri 08:30-17:00"/>
    <x v="2"/>
    <n v="14"/>
    <n v="120"/>
    <s v="Behavioural health"/>
    <s v="Mental Health Clinician"/>
    <s v="Matched"/>
    <n v="47"/>
    <n v="0"/>
    <m/>
    <m/>
    <n v="0"/>
    <m/>
    <n v="1"/>
    <n v="0"/>
    <s v="Matches Standard"/>
    <x v="4"/>
    <n v="2026"/>
    <n v="4"/>
    <s v="Apr"/>
  </r>
  <r>
    <s v="APT-202604-0055"/>
    <d v="2026-04-02T00:00:00"/>
    <d v="2026-02-12T00:00:00"/>
    <s v="P0219"/>
    <s v="WLG"/>
    <s v="DIA"/>
    <s v="CL038"/>
    <x v="2"/>
    <x v="2"/>
    <d v="1899-12-30T12:30:00"/>
    <m/>
    <m/>
    <n v="0"/>
    <n v="80"/>
    <s v="No"/>
    <m/>
    <s v="Routine review"/>
    <s v="appointment_export_2026_04.csv"/>
    <n v="0"/>
    <n v="0"/>
    <x v="0"/>
    <s v="Central"/>
    <s v="Sophie Martin"/>
    <s v="Urban"/>
    <s v="Mon-Sat 08:00-18:00"/>
    <x v="3"/>
    <n v="10"/>
    <n v="80"/>
    <s v="Long-term conditions"/>
    <s v="Diabetes Nurse"/>
    <s v="Matched"/>
    <n v="49"/>
    <n v="0"/>
    <m/>
    <m/>
    <n v="1"/>
    <n v="1"/>
    <n v="1"/>
    <n v="0"/>
    <s v="Matches Standard"/>
    <x v="4"/>
    <n v="2026"/>
    <n v="4"/>
    <s v="Apr"/>
  </r>
  <r>
    <s v="APT-202604-0056"/>
    <d v="2026-04-20T00:00:00"/>
    <d v="2026-02-28T00:00:00"/>
    <s v="P0061"/>
    <s v="PMR"/>
    <s v="DIA"/>
    <s v="CL028"/>
    <x v="1"/>
    <x v="3"/>
    <d v="1899-12-30T14:30:00"/>
    <d v="1899-12-30T14:29:00"/>
    <d v="1899-12-30T14:44:00"/>
    <n v="30"/>
    <n v="80"/>
    <s v="No"/>
    <n v="4"/>
    <s v="Patient requested appointment"/>
    <s v="appointment_export_2026_04.csv"/>
    <n v="0"/>
    <n v="0"/>
    <x v="3"/>
    <s v="Central"/>
    <s v="Mereana Thompson"/>
    <s v="Regional"/>
    <s v="Mon-Fri 08:30-17:00"/>
    <x v="3"/>
    <n v="10"/>
    <n v="80"/>
    <s v="Long-term conditions"/>
    <s v="Diabetes Nurse"/>
    <s v="Matched"/>
    <n v="51"/>
    <n v="0"/>
    <n v="15"/>
    <n v="1"/>
    <n v="1"/>
    <n v="0"/>
    <n v="1"/>
    <n v="0"/>
    <s v="Matches Standard"/>
    <x v="4"/>
    <n v="2026"/>
    <n v="4"/>
    <s v="Apr"/>
  </r>
  <r>
    <s v="APT-202604-0057"/>
    <d v="2026-04-24T00:00:00"/>
    <d v="2026-04-12T00:00:00"/>
    <s v="P0152"/>
    <s v="HAM"/>
    <s v="CAR"/>
    <s v="CL020"/>
    <x v="1"/>
    <x v="0"/>
    <d v="1899-12-30T12:30:00"/>
    <d v="1899-12-30T12:40:00"/>
    <d v="1899-12-30T12:41:00"/>
    <n v="30"/>
    <n v="150"/>
    <s v="No"/>
    <n v="4"/>
    <s v="Patient requested appointment"/>
    <s v="appointment_export_2026_04.csv"/>
    <n v="0"/>
    <n v="0"/>
    <x v="1"/>
    <s v="Midland"/>
    <s v="Daniel Wong"/>
    <s v="Urban"/>
    <s v="Mon-Fri 08:00-17:30"/>
    <x v="4"/>
    <n v="28"/>
    <n v="150"/>
    <s v="Specialist outpatient"/>
    <s v="Cardiology Clinician"/>
    <s v="Matched"/>
    <n v="12"/>
    <n v="1"/>
    <n v="1"/>
    <n v="1"/>
    <n v="1"/>
    <n v="0"/>
    <n v="1"/>
    <n v="0"/>
    <s v="Matches Standard"/>
    <x v="4"/>
    <n v="2026"/>
    <n v="4"/>
    <s v="Apr"/>
  </r>
  <r>
    <s v="APT-202604-0058"/>
    <d v="2026-04-10T00:00:00"/>
    <d v="2026-02-27T00:00:00"/>
    <s v="P0115"/>
    <s v="HAM"/>
    <s v="MHS"/>
    <s v="CL013"/>
    <x v="1"/>
    <x v="0"/>
    <d v="1899-12-30T09:00:00"/>
    <d v="1899-12-30T09:13:00"/>
    <d v="1899-12-30T09:01:00"/>
    <n v="20"/>
    <n v="120"/>
    <s v="No"/>
    <n v="2"/>
    <s v="Patient requested appointment"/>
    <s v="appointment_export_2026_04.csv"/>
    <n v="0"/>
    <n v="0"/>
    <x v="1"/>
    <s v="Midland"/>
    <s v="Daniel Wong"/>
    <s v="Urban"/>
    <s v="Mon-Fri 08:00-17:30"/>
    <x v="2"/>
    <n v="14"/>
    <n v="120"/>
    <s v="Behavioural health"/>
    <s v="Mental Health Clinician"/>
    <s v="Matched"/>
    <n v="42"/>
    <n v="0"/>
    <m/>
    <m/>
    <n v="1"/>
    <n v="0"/>
    <n v="1"/>
    <n v="0"/>
    <s v="Matches Standard"/>
    <x v="4"/>
    <n v="2026"/>
    <n v="4"/>
    <s v="Apr"/>
  </r>
  <r>
    <s v="APT-202604-0059"/>
    <d v="2026-04-30T00:00:00"/>
    <d v="2026-03-24T00:00:00"/>
    <s v="P0212"/>
    <s v="AUC"/>
    <s v="CAR"/>
    <s v="CL010"/>
    <x v="1"/>
    <x v="1"/>
    <d v="1899-12-30T15:30:00"/>
    <d v="1899-12-30T15:21:00"/>
    <d v="1899-12-30T16:07:00"/>
    <n v="60"/>
    <n v="150"/>
    <s v="No"/>
    <n v="2"/>
    <s v="Follow-up visit"/>
    <s v="appointment_export_2026_04.csv"/>
    <n v="0"/>
    <n v="0"/>
    <x v="2"/>
    <s v="Northern"/>
    <s v="Aroha Rangi"/>
    <s v="Urban"/>
    <s v="Mon-Fri 08:00-18:00"/>
    <x v="4"/>
    <n v="28"/>
    <n v="150"/>
    <s v="Specialist outpatient"/>
    <s v="Cardiology Clinician"/>
    <s v="Matched"/>
    <n v="37"/>
    <n v="0"/>
    <n v="46"/>
    <n v="0"/>
    <n v="1"/>
    <n v="0"/>
    <n v="1"/>
    <n v="0"/>
    <s v="Matches Standard"/>
    <x v="4"/>
    <n v="2026"/>
    <n v="4"/>
    <s v="Apr"/>
  </r>
  <r>
    <s v="APT-202604-0060"/>
    <d v="2026-04-05T00:00:00"/>
    <d v="2026-03-10T00:00:00"/>
    <s v="P0112"/>
    <s v="HAM"/>
    <s v="CAR"/>
    <s v="CL019"/>
    <x v="2"/>
    <x v="1"/>
    <d v="1899-12-30T14:00:00"/>
    <m/>
    <m/>
    <n v="0"/>
    <n v="150"/>
    <s v="No"/>
    <m/>
    <s v="Care plan review"/>
    <s v="appointment_export_2026_04.csv"/>
    <n v="0"/>
    <n v="0"/>
    <x v="1"/>
    <s v="Midland"/>
    <s v="Daniel Wong"/>
    <s v="Urban"/>
    <s v="Mon-Fri 08:00-17:30"/>
    <x v="4"/>
    <n v="28"/>
    <n v="150"/>
    <s v="Specialist outpatient"/>
    <s v="Cardiology Clinician"/>
    <s v="Matched"/>
    <n v="26"/>
    <n v="1"/>
    <m/>
    <m/>
    <n v="1"/>
    <n v="1"/>
    <n v="1"/>
    <n v="0"/>
    <s v="Matches Standard"/>
    <x v="4"/>
    <n v="2026"/>
    <n v="4"/>
    <s v="Apr"/>
  </r>
  <r>
    <s v="APT-202604-0061"/>
    <d v="2026-04-11T00:00:00"/>
    <d v="2026-02-19T00:00:00"/>
    <s v="P0004"/>
    <s v="PMR"/>
    <s v="GEN"/>
    <s v="CL022"/>
    <x v="1"/>
    <x v="3"/>
    <d v="1899-12-30T16:00:00"/>
    <d v="1899-12-30T15:53:00"/>
    <d v="1899-12-30T16:22:00"/>
    <n v="30"/>
    <n v="65"/>
    <s v="Yes"/>
    <n v="2"/>
    <s v="Follow-up visit"/>
    <s v="appointment_export_2026_04.csv"/>
    <n v="0"/>
    <n v="0"/>
    <x v="3"/>
    <s v="Central"/>
    <s v="Mereana Thompson"/>
    <s v="Regional"/>
    <s v="Mon-Fri 08:30-17:00"/>
    <x v="1"/>
    <n v="7"/>
    <n v="65"/>
    <s v="Primary care"/>
    <s v="Doctor or Nurse Practitioner"/>
    <s v="Matched"/>
    <n v="51"/>
    <n v="0"/>
    <n v="29"/>
    <n v="1"/>
    <n v="1"/>
    <n v="0"/>
    <n v="1"/>
    <n v="0"/>
    <s v="Matches Standard"/>
    <x v="4"/>
    <n v="2026"/>
    <n v="4"/>
    <s v="Apr"/>
  </r>
  <r>
    <s v="APT-202604-0062"/>
    <d v="2026-04-17T00:00:00"/>
    <d v="2026-04-10T00:00:00"/>
    <s v="P0019"/>
    <s v="HAM"/>
    <s v="CAR"/>
    <s v="CL020"/>
    <x v="1"/>
    <x v="0"/>
    <d v="1899-12-30T13:30:00"/>
    <d v="1899-12-30T13:30:00"/>
    <d v="1899-12-30T14:00:00"/>
    <n v="45"/>
    <n v="150"/>
    <s v="No"/>
    <n v="4"/>
    <s v="Follow-up visit"/>
    <s v="appointment_export_2026_04.csv"/>
    <n v="0"/>
    <n v="0"/>
    <x v="1"/>
    <s v="Midland"/>
    <s v="Daniel Wong"/>
    <s v="Urban"/>
    <s v="Mon-Fri 08:00-17:30"/>
    <x v="4"/>
    <n v="28"/>
    <n v="150"/>
    <s v="Specialist outpatient"/>
    <s v="Cardiology Clinician"/>
    <s v="Matched"/>
    <n v="7"/>
    <n v="1"/>
    <n v="30"/>
    <n v="1"/>
    <n v="1"/>
    <n v="0"/>
    <n v="1"/>
    <n v="0"/>
    <s v="Matches Standard"/>
    <x v="4"/>
    <n v="2026"/>
    <n v="4"/>
    <s v="Apr"/>
  </r>
  <r>
    <s v="APT-202604-0063"/>
    <d v="2026-04-23T00:00:00"/>
    <d v="2026-04-16T00:00:00"/>
    <s v="P0044"/>
    <s v="AUC"/>
    <s v="GEN"/>
    <s v="CL001"/>
    <x v="0"/>
    <x v="3"/>
    <d v="1899-12-30T10:00:00"/>
    <m/>
    <m/>
    <n v="0"/>
    <n v="65"/>
    <s v="Yes"/>
    <m/>
    <s v="Care plan review"/>
    <s v="appointment_export_2026_04.csv"/>
    <n v="0"/>
    <n v="0"/>
    <x v="2"/>
    <s v="Northern"/>
    <s v="Aroha Rangi"/>
    <s v="Urban"/>
    <s v="Mon-Fri 08:00-18:00"/>
    <x v="1"/>
    <n v="7"/>
    <n v="65"/>
    <s v="Primary care"/>
    <s v="Doctor or Nurse Practitioner"/>
    <s v="Matched"/>
    <n v="7"/>
    <n v="1"/>
    <m/>
    <m/>
    <n v="0"/>
    <m/>
    <n v="1"/>
    <n v="0"/>
    <s v="Matches Standard"/>
    <x v="4"/>
    <n v="2026"/>
    <n v="4"/>
    <s v="Apr"/>
  </r>
  <r>
    <s v="APT-202604-0064"/>
    <d v="2026-04-18T00:00:00"/>
    <d v="2026-04-01T00:00:00"/>
    <s v="P0142"/>
    <s v="HAM"/>
    <s v="MHS"/>
    <s v="CL014"/>
    <x v="1"/>
    <x v="2"/>
    <d v="1899-12-30T10:00:00"/>
    <d v="1899-12-30T10:06:00"/>
    <d v="1899-12-30T10:03:00"/>
    <n v="60"/>
    <n v="120"/>
    <s v="Yes"/>
    <n v="5"/>
    <s v="Patient requested appointment"/>
    <s v="appointment_export_2026_04.csv"/>
    <n v="0"/>
    <n v="0"/>
    <x v="1"/>
    <s v="Midland"/>
    <s v="Daniel Wong"/>
    <s v="Urban"/>
    <s v="Mon-Fri 08:00-17:30"/>
    <x v="2"/>
    <n v="14"/>
    <n v="120"/>
    <s v="Behavioural health"/>
    <s v="Mental Health Clinician"/>
    <s v="Matched"/>
    <n v="17"/>
    <n v="0"/>
    <m/>
    <m/>
    <n v="1"/>
    <n v="0"/>
    <n v="1"/>
    <n v="0"/>
    <s v="Matches Standard"/>
    <x v="4"/>
    <n v="2026"/>
    <n v="4"/>
    <s v="Apr"/>
  </r>
  <r>
    <s v="APT-202604-0065"/>
    <d v="2026-04-19T00:00:00"/>
    <d v="2026-04-06T00:00:00"/>
    <s v="P0216"/>
    <s v="HAM"/>
    <s v="GEN"/>
    <s v="CL011"/>
    <x v="3"/>
    <x v="1"/>
    <d v="1899-12-30T11:30:00"/>
    <m/>
    <m/>
    <n v="0"/>
    <n v="65"/>
    <s v="No"/>
    <m/>
    <s v="Routine review"/>
    <s v="appointment_export_2026_04.csv"/>
    <n v="0"/>
    <n v="0"/>
    <x v="1"/>
    <s v="Midland"/>
    <s v="Daniel Wong"/>
    <s v="Urban"/>
    <s v="Mon-Fri 08:00-17:30"/>
    <x v="1"/>
    <n v="7"/>
    <n v="65"/>
    <s v="Primary care"/>
    <s v="Doctor or Nurse Practitioner"/>
    <s v="Matched"/>
    <n v="13"/>
    <n v="0"/>
    <m/>
    <m/>
    <n v="0"/>
    <m/>
    <n v="1"/>
    <n v="0"/>
    <s v="Matches Standard"/>
    <x v="4"/>
    <n v="2026"/>
    <n v="4"/>
    <s v="Apr"/>
  </r>
  <r>
    <s v="APT-202604-0066"/>
    <d v="2026-04-03T00:00:00"/>
    <d v="2026-02-13T00:00:00"/>
    <s v="P0097"/>
    <s v="HAM"/>
    <s v="MHS"/>
    <s v="CL014"/>
    <x v="3"/>
    <x v="0"/>
    <d v="1899-12-30T12:00:00"/>
    <m/>
    <m/>
    <n v="0"/>
    <n v="120"/>
    <s v="No"/>
    <m/>
    <s v="New referral"/>
    <s v="appointment_export_2026_04.csv"/>
    <n v="0"/>
    <n v="0"/>
    <x v="1"/>
    <s v="Midland"/>
    <s v="Daniel Wong"/>
    <s v="Urban"/>
    <s v="Mon-Fri 08:00-17:30"/>
    <x v="2"/>
    <n v="14"/>
    <n v="120"/>
    <s v="Behavioural health"/>
    <s v="Mental Health Clinician"/>
    <s v="Matched"/>
    <n v="49"/>
    <n v="0"/>
    <m/>
    <m/>
    <n v="0"/>
    <m/>
    <n v="1"/>
    <n v="0"/>
    <s v="Matches Standard"/>
    <x v="4"/>
    <n v="2026"/>
    <n v="4"/>
    <s v="Apr"/>
  </r>
  <r>
    <s v="APT-202604-0067"/>
    <d v="2026-04-10T00:00:00"/>
    <d v="2026-03-11T00:00:00"/>
    <s v="P0088"/>
    <s v="AUC"/>
    <s v="PHY"/>
    <s v="CL006"/>
    <x v="1"/>
    <x v="0"/>
    <d v="1899-12-30T08:30:00"/>
    <d v="1899-12-30T08:43:00"/>
    <d v="1899-12-30T09:10:00"/>
    <n v="45"/>
    <n v="95"/>
    <s v="No"/>
    <n v="5"/>
    <s v="Patient requested appointment"/>
    <s v="appointment_export_2026_04.csv"/>
    <n v="0"/>
    <n v="0"/>
    <x v="2"/>
    <s v="Northern"/>
    <s v="Aroha Rangi"/>
    <s v="Urban"/>
    <s v="Mon-Fri 08:00-18:00"/>
    <x v="0"/>
    <n v="21"/>
    <n v="95"/>
    <s v="Rehabilitation"/>
    <s v="Physiotherapist"/>
    <s v="Matched"/>
    <n v="30"/>
    <n v="0"/>
    <n v="27"/>
    <n v="1"/>
    <n v="1"/>
    <n v="0"/>
    <n v="1"/>
    <n v="0"/>
    <s v="Matches Standard"/>
    <x v="4"/>
    <n v="2026"/>
    <n v="4"/>
    <s v="Apr"/>
  </r>
  <r>
    <s v="APT-202604-0068"/>
    <d v="2026-04-24T00:00:00"/>
    <d v="2026-03-13T00:00:00"/>
    <s v="P0003"/>
    <s v="HAM"/>
    <s v="CAR"/>
    <s v="CL020"/>
    <x v="2"/>
    <x v="3"/>
    <d v="1899-12-30T08:30:00"/>
    <m/>
    <m/>
    <n v="0"/>
    <n v="150"/>
    <s v="No"/>
    <m/>
    <s v="Patient requested appointment"/>
    <s v="appointment_export_2026_04.csv"/>
    <n v="0"/>
    <n v="0"/>
    <x v="1"/>
    <s v="Midland"/>
    <s v="Daniel Wong"/>
    <s v="Urban"/>
    <s v="Mon-Fri 08:00-17:30"/>
    <x v="4"/>
    <n v="28"/>
    <n v="150"/>
    <s v="Specialist outpatient"/>
    <s v="Cardiology Clinician"/>
    <s v="Matched"/>
    <n v="42"/>
    <n v="0"/>
    <m/>
    <m/>
    <n v="1"/>
    <n v="1"/>
    <n v="1"/>
    <n v="0"/>
    <s v="Matches Standard"/>
    <x v="4"/>
    <n v="2026"/>
    <n v="4"/>
    <s v="Apr"/>
  </r>
  <r>
    <s v="APT-202604-0069"/>
    <d v="2026-04-24T00:00:00"/>
    <d v="2026-04-21T00:00:00"/>
    <s v="P0214"/>
    <s v="PMR"/>
    <s v="PHY"/>
    <s v="CL026"/>
    <x v="1"/>
    <x v="1"/>
    <d v="1899-12-30T13:30:00"/>
    <d v="1899-12-30T13:37:00"/>
    <d v="1899-12-30T14:08:00"/>
    <n v="60"/>
    <n v="95"/>
    <s v="No"/>
    <n v="4"/>
    <s v="Care plan review"/>
    <s v="appointment_export_2026_04.csv"/>
    <n v="0"/>
    <n v="0"/>
    <x v="3"/>
    <s v="Central"/>
    <s v="Mereana Thompson"/>
    <s v="Regional"/>
    <s v="Mon-Fri 08:30-17:00"/>
    <x v="0"/>
    <n v="21"/>
    <n v="95"/>
    <s v="Rehabilitation"/>
    <s v="Physiotherapist"/>
    <s v="Matched"/>
    <n v="3"/>
    <n v="1"/>
    <n v="31"/>
    <n v="0"/>
    <n v="1"/>
    <n v="0"/>
    <n v="1"/>
    <n v="0"/>
    <s v="Matches Standard"/>
    <x v="4"/>
    <n v="2026"/>
    <n v="4"/>
    <s v="Apr"/>
  </r>
  <r>
    <s v="APT-202604-0070"/>
    <d v="2026-04-20T00:00:00"/>
    <d v="2026-04-03T00:00:00"/>
    <s v="P0027"/>
    <s v="PMR"/>
    <s v="CAR"/>
    <s v="CL030"/>
    <x v="0"/>
    <x v="0"/>
    <d v="1899-12-30T12:30:00"/>
    <m/>
    <m/>
    <n v="0"/>
    <n v="150"/>
    <s v="No"/>
    <m/>
    <s v="Care plan review"/>
    <s v="appointment_export_2026_04.csv"/>
    <n v="0"/>
    <n v="0"/>
    <x v="3"/>
    <s v="Central"/>
    <s v="Mereana Thompson"/>
    <s v="Regional"/>
    <s v="Mon-Fri 08:30-17:00"/>
    <x v="4"/>
    <n v="28"/>
    <n v="150"/>
    <s v="Specialist outpatient"/>
    <s v="Cardiology Clinician"/>
    <s v="Matched"/>
    <n v="17"/>
    <n v="1"/>
    <m/>
    <m/>
    <n v="0"/>
    <m/>
    <n v="1"/>
    <n v="0"/>
    <s v="Matches Standard"/>
    <x v="4"/>
    <n v="2026"/>
    <n v="4"/>
    <s v="Apr"/>
  </r>
  <r>
    <s v="APT-202604-0071"/>
    <d v="2026-04-10T00:00:00"/>
    <d v="2026-03-01T00:00:00"/>
    <s v="P0036"/>
    <s v="WLG"/>
    <s v="CAR"/>
    <s v="CL040"/>
    <x v="1"/>
    <x v="3"/>
    <d v="1899-12-30T15:00:00"/>
    <d v="1899-12-30T15:08:00"/>
    <d v="1899-12-30T15:37:00"/>
    <n v="30"/>
    <n v="150"/>
    <s v="Yes"/>
    <n v="4"/>
    <s v="New referral"/>
    <s v="appointment_export_2026_04.csv"/>
    <n v="0"/>
    <n v="0"/>
    <x v="0"/>
    <s v="Central"/>
    <s v="Sophie Martin"/>
    <s v="Urban"/>
    <s v="Mon-Sat 08:00-18:00"/>
    <x v="4"/>
    <n v="28"/>
    <n v="150"/>
    <s v="Specialist outpatient"/>
    <s v="Cardiology Clinician"/>
    <s v="Matched"/>
    <n v="40"/>
    <n v="0"/>
    <n v="29"/>
    <n v="1"/>
    <n v="1"/>
    <n v="0"/>
    <n v="1"/>
    <n v="0"/>
    <s v="Matches Standard"/>
    <x v="4"/>
    <n v="2026"/>
    <n v="4"/>
    <s v="Apr"/>
  </r>
  <r>
    <s v="APT-202604-0072"/>
    <d v="2026-04-30T00:00:00"/>
    <d v="2026-04-05T00:00:00"/>
    <s v="P0067"/>
    <s v="WLG"/>
    <s v="GEN"/>
    <s v="CL031"/>
    <x v="1"/>
    <x v="1"/>
    <d v="1899-12-30T09:00:00"/>
    <d v="1899-12-30T08:57:00"/>
    <d v="1899-12-30T09:16:00"/>
    <n v="60"/>
    <n v="65"/>
    <s v="No"/>
    <n v="4"/>
    <s v="Patient requested appointment"/>
    <s v="appointment_export_2026_04.csv"/>
    <n v="0"/>
    <n v="0"/>
    <x v="0"/>
    <s v="Central"/>
    <s v="Sophie Martin"/>
    <s v="Urban"/>
    <s v="Mon-Sat 08:00-18:00"/>
    <x v="1"/>
    <n v="7"/>
    <n v="65"/>
    <s v="Primary care"/>
    <s v="Doctor or Nurse Practitioner"/>
    <s v="Matched"/>
    <n v="25"/>
    <n v="0"/>
    <n v="19"/>
    <n v="1"/>
    <n v="1"/>
    <n v="0"/>
    <n v="1"/>
    <n v="0"/>
    <s v="Matches Standard"/>
    <x v="4"/>
    <n v="2026"/>
    <n v="4"/>
    <s v="Apr"/>
  </r>
  <r>
    <s v="APT-202604-0073"/>
    <d v="2026-04-16T00:00:00"/>
    <d v="2026-03-06T00:00:00"/>
    <s v="P0232"/>
    <s v="HAM"/>
    <s v="CAR"/>
    <s v="CL019"/>
    <x v="0"/>
    <x v="1"/>
    <d v="1899-12-30T12:00:00"/>
    <m/>
    <m/>
    <n v="0"/>
    <n v="150"/>
    <s v="No"/>
    <m/>
    <s v="Follow-up visit"/>
    <s v="appointment_export_2026_04.csv"/>
    <n v="0"/>
    <n v="0"/>
    <x v="1"/>
    <s v="Midland"/>
    <s v="Daniel Wong"/>
    <s v="Urban"/>
    <s v="Mon-Fri 08:00-17:30"/>
    <x v="4"/>
    <n v="28"/>
    <n v="150"/>
    <s v="Specialist outpatient"/>
    <s v="Cardiology Clinician"/>
    <s v="Matched"/>
    <n v="41"/>
    <n v="0"/>
    <m/>
    <m/>
    <n v="0"/>
    <m/>
    <n v="1"/>
    <n v="0"/>
    <s v="Matches Standard"/>
    <x v="4"/>
    <n v="2026"/>
    <n v="4"/>
    <s v="Apr"/>
  </r>
  <r>
    <s v="APT-202604-0074"/>
    <d v="2026-04-25T00:00:00"/>
    <d v="2026-04-24T00:00:00"/>
    <s v="P0157"/>
    <s v="HAM"/>
    <s v="GEN"/>
    <s v="CL012"/>
    <x v="1"/>
    <x v="2"/>
    <d v="1899-12-30T11:00:00"/>
    <d v="1899-12-30T11:14:00"/>
    <d v="1899-12-30T11:30:00"/>
    <n v="30"/>
    <n v="65"/>
    <s v="No"/>
    <n v="3"/>
    <s v="Routine review"/>
    <s v="appointment_export_2026_04.csv"/>
    <n v="0"/>
    <n v="0"/>
    <x v="1"/>
    <s v="Midland"/>
    <s v="Daniel Wong"/>
    <s v="Urban"/>
    <s v="Mon-Fri 08:00-17:30"/>
    <x v="1"/>
    <n v="7"/>
    <n v="65"/>
    <s v="Primary care"/>
    <s v="Doctor or Nurse Practitioner"/>
    <s v="Matched"/>
    <n v="1"/>
    <n v="1"/>
    <n v="16"/>
    <n v="1"/>
    <n v="1"/>
    <n v="0"/>
    <n v="1"/>
    <n v="0"/>
    <s v="Matches Standard"/>
    <x v="4"/>
    <n v="2026"/>
    <n v="4"/>
    <s v="Apr"/>
  </r>
  <r>
    <s v="APT-202604-0075"/>
    <d v="2026-04-04T00:00:00"/>
    <d v="2026-02-16T00:00:00"/>
    <s v="P0174"/>
    <s v="WLG"/>
    <s v="GEN"/>
    <s v="CL031"/>
    <x v="1"/>
    <x v="3"/>
    <d v="1899-12-30T15:00:00"/>
    <d v="1899-12-30T15:12:00"/>
    <d v="1899-12-30T15:13:00"/>
    <n v="45"/>
    <n v="65"/>
    <s v="No"/>
    <n v="2"/>
    <s v="New referral"/>
    <s v="appointment_export_2026_04.csv"/>
    <n v="0"/>
    <n v="0"/>
    <x v="0"/>
    <s v="Central"/>
    <s v="Sophie Martin"/>
    <s v="Urban"/>
    <s v="Mon-Sat 08:00-18:00"/>
    <x v="1"/>
    <n v="7"/>
    <n v="65"/>
    <s v="Primary care"/>
    <s v="Doctor or Nurse Practitioner"/>
    <s v="Matched"/>
    <n v="47"/>
    <n v="0"/>
    <n v="1"/>
    <n v="1"/>
    <n v="1"/>
    <n v="0"/>
    <n v="1"/>
    <n v="0"/>
    <s v="Matches Standard"/>
    <x v="4"/>
    <n v="2026"/>
    <n v="4"/>
    <s v="Apr"/>
  </r>
  <r>
    <s v="APT-202604-0076"/>
    <d v="2026-04-12T00:00:00"/>
    <d v="2026-04-03T00:00:00"/>
    <s v="P0141"/>
    <s v="PMR"/>
    <s v="GEN"/>
    <s v="CL021"/>
    <x v="1"/>
    <x v="0"/>
    <d v="1899-12-30T13:30:00"/>
    <d v="1899-12-30T13:43:00"/>
    <d v="1899-12-30T13:34:00"/>
    <n v="20"/>
    <n v="65"/>
    <s v="Yes"/>
    <n v="5"/>
    <s v="Routine review"/>
    <s v="appointment_export_2026_04.csv"/>
    <n v="0"/>
    <n v="0"/>
    <x v="3"/>
    <s v="Central"/>
    <s v="Mereana Thompson"/>
    <s v="Regional"/>
    <s v="Mon-Fri 08:30-17:00"/>
    <x v="1"/>
    <n v="7"/>
    <n v="65"/>
    <s v="Primary care"/>
    <s v="Doctor or Nurse Practitioner"/>
    <s v="Matched"/>
    <n v="9"/>
    <n v="0"/>
    <m/>
    <m/>
    <n v="1"/>
    <n v="0"/>
    <n v="1"/>
    <n v="0"/>
    <s v="Matches Standard"/>
    <x v="4"/>
    <n v="2026"/>
    <n v="4"/>
    <s v="Apr"/>
  </r>
  <r>
    <s v="APT-202604-0077"/>
    <d v="2026-04-21T00:00:00"/>
    <d v="2026-03-09T00:00:00"/>
    <s v="P0133"/>
    <s v="HAM"/>
    <s v="PHY"/>
    <s v="CL015"/>
    <x v="1"/>
    <x v="1"/>
    <d v="1899-12-30T14:30:00"/>
    <d v="1899-12-30T14:34:00"/>
    <d v="1899-12-30T14:40:00"/>
    <n v="45"/>
    <n v="95"/>
    <s v="No"/>
    <n v="3"/>
    <s v="Follow-up visit"/>
    <s v="appointment_export_2026_04.csv"/>
    <n v="0"/>
    <n v="0"/>
    <x v="1"/>
    <s v="Midland"/>
    <s v="Daniel Wong"/>
    <s v="Urban"/>
    <s v="Mon-Fri 08:00-17:30"/>
    <x v="0"/>
    <n v="21"/>
    <n v="95"/>
    <s v="Rehabilitation"/>
    <s v="Physiotherapist"/>
    <s v="Matched"/>
    <n v="43"/>
    <n v="0"/>
    <n v="6"/>
    <n v="1"/>
    <n v="1"/>
    <n v="0"/>
    <n v="1"/>
    <n v="0"/>
    <s v="Matches Standard"/>
    <x v="4"/>
    <n v="2026"/>
    <n v="4"/>
    <s v="Apr"/>
  </r>
  <r>
    <s v="APT-202604-0078"/>
    <d v="2026-04-07T00:00:00"/>
    <d v="2026-02-13T00:00:00"/>
    <s v="P0217"/>
    <s v="AUC"/>
    <s v="CAR"/>
    <s v="CL010"/>
    <x v="1"/>
    <x v="3"/>
    <d v="1899-12-30T14:30:00"/>
    <d v="1899-12-30T14:26:00"/>
    <d v="1899-12-30T15:07:00"/>
    <n v="45"/>
    <n v="150"/>
    <s v="Yes"/>
    <n v="3"/>
    <s v="Patient requested appointment"/>
    <s v="appointment_export_2026_04.csv"/>
    <n v="0"/>
    <n v="0"/>
    <x v="2"/>
    <s v="Northern"/>
    <s v="Aroha Rangi"/>
    <s v="Urban"/>
    <s v="Mon-Fri 08:00-18:00"/>
    <x v="4"/>
    <n v="28"/>
    <n v="150"/>
    <s v="Specialist outpatient"/>
    <s v="Cardiology Clinician"/>
    <s v="Matched"/>
    <n v="53"/>
    <n v="0"/>
    <n v="41"/>
    <n v="0"/>
    <n v="1"/>
    <n v="0"/>
    <n v="1"/>
    <n v="0"/>
    <s v="Matches Standard"/>
    <x v="4"/>
    <n v="2026"/>
    <n v="4"/>
    <s v="Apr"/>
  </r>
  <r>
    <s v="APT-202604-0079"/>
    <d v="2026-04-15T00:00:00"/>
    <d v="2026-03-28T00:00:00"/>
    <s v="P0193"/>
    <s v="PMR"/>
    <m/>
    <s v="CL023"/>
    <x v="1"/>
    <x v="1"/>
    <d v="1899-12-30T10:00:00"/>
    <d v="1899-12-30T09:52:00"/>
    <d v="1899-12-30T10:12:00"/>
    <n v="60"/>
    <n v="120"/>
    <s v="No"/>
    <n v="4"/>
    <s v="Routine review"/>
    <s v="appointment_export_2026_04.csv"/>
    <n v="0"/>
    <n v="1"/>
    <x v="3"/>
    <s v="Central"/>
    <s v="Mereana Thompson"/>
    <s v="Regional"/>
    <s v="Mon-Fri 08:30-17:00"/>
    <x v="5"/>
    <m/>
    <m/>
    <m/>
    <m/>
    <s v="Missing Service Code"/>
    <n v="18"/>
    <m/>
    <n v="20"/>
    <n v="1"/>
    <n v="1"/>
    <n v="0"/>
    <n v="1"/>
    <m/>
    <s v="Missing Standard Fee"/>
    <x v="4"/>
    <n v="2026"/>
    <n v="4"/>
    <s v="Apr"/>
  </r>
  <r>
    <s v="APT-202604-0080"/>
    <d v="2026-04-28T00:00:00"/>
    <d v="2026-03-04T00:00:00"/>
    <s v="P0074"/>
    <s v="WLG"/>
    <s v="MHS"/>
    <s v="CL034"/>
    <x v="1"/>
    <x v="3"/>
    <d v="1899-12-30T12:30:00"/>
    <d v="1899-12-30T12:40:00"/>
    <d v="1899-12-30T12:41:00"/>
    <n v="20"/>
    <n v="120"/>
    <s v="No"/>
    <n v="4"/>
    <s v="Routine review"/>
    <s v="appointment_export_2026_04.csv"/>
    <n v="0"/>
    <n v="0"/>
    <x v="0"/>
    <s v="Central"/>
    <s v="Sophie Martin"/>
    <s v="Urban"/>
    <s v="Mon-Sat 08:00-18:00"/>
    <x v="2"/>
    <n v="14"/>
    <n v="120"/>
    <s v="Behavioural health"/>
    <s v="Mental Health Clinician"/>
    <s v="Matched"/>
    <n v="55"/>
    <n v="0"/>
    <n v="1"/>
    <n v="1"/>
    <n v="1"/>
    <n v="0"/>
    <n v="1"/>
    <n v="0"/>
    <s v="Matches Standard"/>
    <x v="4"/>
    <n v="2026"/>
    <n v="4"/>
    <s v="Apr"/>
  </r>
  <r>
    <s v="APT-202604-0081"/>
    <d v="2026-04-17T00:00:00"/>
    <d v="2026-03-16T00:00:00"/>
    <s v="P0227"/>
    <s v="AUC"/>
    <s v="GEN"/>
    <s v="CL001"/>
    <x v="0"/>
    <x v="1"/>
    <d v="1899-12-30T12:00:00"/>
    <m/>
    <m/>
    <n v="0"/>
    <n v="65"/>
    <s v="No"/>
    <m/>
    <s v="Care plan review"/>
    <s v="appointment_export_2026_04.csv"/>
    <n v="0"/>
    <n v="0"/>
    <x v="2"/>
    <s v="Northern"/>
    <s v="Aroha Rangi"/>
    <s v="Urban"/>
    <s v="Mon-Fri 08:00-18:00"/>
    <x v="1"/>
    <n v="7"/>
    <n v="65"/>
    <s v="Primary care"/>
    <s v="Doctor or Nurse Practitioner"/>
    <s v="Matched"/>
    <n v="32"/>
    <n v="0"/>
    <m/>
    <m/>
    <n v="0"/>
    <m/>
    <n v="1"/>
    <n v="0"/>
    <s v="Matches Standard"/>
    <x v="4"/>
    <n v="2026"/>
    <n v="4"/>
    <s v="Apr"/>
  </r>
  <r>
    <s v="APT-202604-0082"/>
    <d v="2026-04-06T00:00:00"/>
    <d v="2026-03-13T00:00:00"/>
    <s v="P0064"/>
    <s v="WLG"/>
    <s v="CAR"/>
    <s v="CL040"/>
    <x v="1"/>
    <x v="0"/>
    <d v="1899-12-30T10:30:00"/>
    <d v="1899-12-30T10:44:00"/>
    <d v="1899-12-30T10:46:00"/>
    <n v="60"/>
    <n v="150"/>
    <s v="No"/>
    <n v="4"/>
    <s v="Patient requested appointment"/>
    <s v="appointment_export_2026_04.csv"/>
    <n v="0"/>
    <n v="0"/>
    <x v="0"/>
    <s v="Central"/>
    <s v="Sophie Martin"/>
    <s v="Urban"/>
    <s v="Mon-Sat 08:00-18:00"/>
    <x v="4"/>
    <n v="28"/>
    <n v="150"/>
    <s v="Specialist outpatient"/>
    <s v="Cardiology Clinician"/>
    <s v="Matched"/>
    <n v="24"/>
    <n v="1"/>
    <n v="2"/>
    <n v="1"/>
    <n v="1"/>
    <n v="0"/>
    <n v="1"/>
    <n v="0"/>
    <s v="Matches Standard"/>
    <x v="4"/>
    <n v="2026"/>
    <n v="4"/>
    <s v="Apr"/>
  </r>
  <r>
    <s v="APT-202604-0083"/>
    <d v="2026-04-18T00:00:00"/>
    <d v="2026-03-26T00:00:00"/>
    <s v="P0025"/>
    <s v="AUC"/>
    <s v="CAR"/>
    <s v="CL010"/>
    <x v="1"/>
    <x v="3"/>
    <d v="1899-12-30T14:30:00"/>
    <d v="1899-12-30T14:37:00"/>
    <d v="1899-12-30T14:53:00"/>
    <n v="30"/>
    <n v="150"/>
    <s v="No"/>
    <m/>
    <s v="Patient requested appointment"/>
    <s v="appointment_export_2026_04.csv"/>
    <n v="0"/>
    <n v="0"/>
    <x v="2"/>
    <s v="Northern"/>
    <s v="Aroha Rangi"/>
    <s v="Urban"/>
    <s v="Mon-Fri 08:00-18:00"/>
    <x v="4"/>
    <n v="28"/>
    <n v="150"/>
    <s v="Specialist outpatient"/>
    <s v="Cardiology Clinician"/>
    <s v="Matched"/>
    <n v="23"/>
    <n v="1"/>
    <n v="16"/>
    <n v="1"/>
    <n v="1"/>
    <n v="0"/>
    <n v="1"/>
    <n v="0"/>
    <s v="Matches Standard"/>
    <x v="4"/>
    <n v="2026"/>
    <n v="4"/>
    <s v="Apr"/>
  </r>
  <r>
    <s v="APT-202604-0084"/>
    <d v="2026-04-08T00:00:00"/>
    <d v="2026-03-03T00:00:00"/>
    <s v="P0214"/>
    <s v="HAM"/>
    <s v="MHS"/>
    <s v="CL014"/>
    <x v="3"/>
    <x v="0"/>
    <d v="1899-12-30T12:00:00"/>
    <m/>
    <m/>
    <n v="0"/>
    <n v="120"/>
    <s v="Yes"/>
    <m/>
    <s v="New referral"/>
    <s v="appointment_export_2026_04.csv"/>
    <n v="0"/>
    <n v="0"/>
    <x v="1"/>
    <s v="Midland"/>
    <s v="Daniel Wong"/>
    <s v="Urban"/>
    <s v="Mon-Fri 08:00-17:30"/>
    <x v="2"/>
    <n v="14"/>
    <n v="120"/>
    <s v="Behavioural health"/>
    <s v="Mental Health Clinician"/>
    <s v="Matched"/>
    <n v="36"/>
    <n v="0"/>
    <m/>
    <m/>
    <n v="0"/>
    <m/>
    <n v="1"/>
    <n v="0"/>
    <s v="Matches Standard"/>
    <x v="4"/>
    <n v="2026"/>
    <n v="4"/>
    <s v="Apr"/>
  </r>
  <r>
    <s v="APT-202604-0085"/>
    <d v="2026-04-19T00:00:00"/>
    <d v="2026-03-17T00:00:00"/>
    <s v="P0121"/>
    <s v="WLG"/>
    <s v="MHS"/>
    <s v="CL033"/>
    <x v="1"/>
    <x v="3"/>
    <d v="1899-12-30T13:30:00"/>
    <d v="1899-12-30T13:22:00"/>
    <d v="1899-12-30T13:45:00"/>
    <n v="30"/>
    <n v="120"/>
    <s v="No"/>
    <n v="5"/>
    <s v="New referral"/>
    <s v="appointment_export_2026_04.csv"/>
    <n v="0"/>
    <n v="0"/>
    <x v="0"/>
    <s v="Central"/>
    <s v="Sophie Martin"/>
    <s v="Urban"/>
    <s v="Mon-Sat 08:00-18:00"/>
    <x v="2"/>
    <n v="14"/>
    <n v="120"/>
    <s v="Behavioural health"/>
    <s v="Mental Health Clinician"/>
    <s v="Matched"/>
    <n v="33"/>
    <n v="0"/>
    <n v="23"/>
    <n v="1"/>
    <n v="1"/>
    <n v="0"/>
    <n v="1"/>
    <n v="0"/>
    <s v="Matches Standard"/>
    <x v="4"/>
    <n v="2026"/>
    <n v="4"/>
    <s v="Apr"/>
  </r>
  <r>
    <s v="APT-202604-0086"/>
    <d v="2026-04-13T00:00:00"/>
    <d v="2026-03-05T00:00:00"/>
    <s v="P0165"/>
    <s v="HAM"/>
    <s v="CAR"/>
    <s v="CL019"/>
    <x v="1"/>
    <x v="0"/>
    <d v="1899-12-30T14:00:00"/>
    <d v="1899-12-30T13:51:00"/>
    <d v="1899-12-30T14:09:00"/>
    <n v="60"/>
    <n v="150"/>
    <s v="No"/>
    <n v="4"/>
    <s v="Routine review"/>
    <s v="appointment_export_2026_04.csv"/>
    <n v="0"/>
    <n v="0"/>
    <x v="1"/>
    <s v="Midland"/>
    <s v="Daniel Wong"/>
    <s v="Urban"/>
    <s v="Mon-Fri 08:00-17:30"/>
    <x v="4"/>
    <n v="28"/>
    <n v="150"/>
    <s v="Specialist outpatient"/>
    <s v="Cardiology Clinician"/>
    <s v="Matched"/>
    <n v="39"/>
    <n v="0"/>
    <n v="18"/>
    <n v="1"/>
    <n v="1"/>
    <n v="0"/>
    <n v="1"/>
    <n v="0"/>
    <s v="Matches Standard"/>
    <x v="4"/>
    <n v="2026"/>
    <n v="4"/>
    <s v="Apr"/>
  </r>
  <r>
    <s v="APT-202604-0087"/>
    <d v="2026-04-14T00:00:00"/>
    <d v="2026-03-23T00:00:00"/>
    <s v="P0088"/>
    <s v="WLG"/>
    <s v="CAR"/>
    <s v="CL040"/>
    <x v="1"/>
    <x v="1"/>
    <d v="1899-12-30T14:30:00"/>
    <d v="1899-12-30T14:31:00"/>
    <d v="1899-12-30T15:06:00"/>
    <n v="30"/>
    <n v="150"/>
    <s v="No"/>
    <n v="4"/>
    <s v="Routine review"/>
    <s v="appointment_export_2026_04.csv"/>
    <n v="0"/>
    <n v="0"/>
    <x v="0"/>
    <s v="Central"/>
    <s v="Sophie Martin"/>
    <s v="Urban"/>
    <s v="Mon-Sat 08:00-18:00"/>
    <x v="4"/>
    <n v="28"/>
    <n v="150"/>
    <s v="Specialist outpatient"/>
    <s v="Cardiology Clinician"/>
    <s v="Matched"/>
    <n v="22"/>
    <n v="1"/>
    <n v="35"/>
    <n v="0"/>
    <n v="1"/>
    <n v="0"/>
    <n v="1"/>
    <n v="0"/>
    <s v="Matches Standard"/>
    <x v="4"/>
    <n v="2026"/>
    <n v="4"/>
    <s v="Apr"/>
  </r>
  <r>
    <s v="APT-202604-0088"/>
    <d v="2026-04-12T00:00:00"/>
    <d v="2026-03-03T00:00:00"/>
    <s v="P0127"/>
    <s v="PMR"/>
    <s v="PHY"/>
    <s v="CL025"/>
    <x v="1"/>
    <x v="2"/>
    <d v="1899-12-30T12:30:00"/>
    <d v="1899-12-30T12:26:00"/>
    <d v="1899-12-30T13:03:00"/>
    <n v="20"/>
    <n v="95"/>
    <s v="Yes"/>
    <n v="3"/>
    <s v="New referral"/>
    <s v="appointment_export_2026_04.csv"/>
    <n v="0"/>
    <n v="0"/>
    <x v="3"/>
    <s v="Central"/>
    <s v="Mereana Thompson"/>
    <s v="Regional"/>
    <s v="Mon-Fri 08:30-17:00"/>
    <x v="0"/>
    <n v="21"/>
    <n v="95"/>
    <s v="Rehabilitation"/>
    <s v="Physiotherapist"/>
    <s v="Matched"/>
    <n v="40"/>
    <n v="0"/>
    <n v="37"/>
    <n v="0"/>
    <n v="1"/>
    <n v="0"/>
    <n v="1"/>
    <n v="0"/>
    <s v="Matches Standard"/>
    <x v="4"/>
    <n v="2026"/>
    <n v="4"/>
    <s v="Apr"/>
  </r>
  <r>
    <s v="APT-202604-0089"/>
    <d v="2026-04-20T00:00:00"/>
    <d v="2026-03-02T00:00:00"/>
    <s v="P0156"/>
    <s v="HAM"/>
    <s v="CAR"/>
    <s v="CL020"/>
    <x v="1"/>
    <x v="1"/>
    <d v="1899-12-30T10:30:00"/>
    <d v="1899-12-30T10:31:00"/>
    <d v="1899-12-30T10:51:00"/>
    <n v="45"/>
    <n v="150"/>
    <s v="No"/>
    <n v="3"/>
    <s v="Patient requested appointment"/>
    <s v="appointment_export_2026_04.csv"/>
    <n v="0"/>
    <n v="0"/>
    <x v="1"/>
    <s v="Midland"/>
    <s v="Daniel Wong"/>
    <s v="Urban"/>
    <s v="Mon-Fri 08:00-17:30"/>
    <x v="4"/>
    <n v="28"/>
    <n v="150"/>
    <s v="Specialist outpatient"/>
    <s v="Cardiology Clinician"/>
    <s v="Matched"/>
    <n v="49"/>
    <n v="0"/>
    <n v="20"/>
    <n v="1"/>
    <n v="1"/>
    <n v="0"/>
    <n v="1"/>
    <n v="0"/>
    <s v="Matches Standard"/>
    <x v="4"/>
    <n v="2026"/>
    <n v="4"/>
    <s v="Apr"/>
  </r>
  <r>
    <s v="APT-202604-0090"/>
    <d v="2026-04-17T00:00:00"/>
    <d v="2026-04-06T00:00:00"/>
    <s v="P0210"/>
    <s v="WLG"/>
    <s v="CAR"/>
    <s v="CL040"/>
    <x v="1"/>
    <x v="1"/>
    <d v="1899-12-30T11:00:00"/>
    <d v="1899-12-30T11:01:00"/>
    <d v="1899-12-30T11:32:00"/>
    <n v="30"/>
    <n v="150"/>
    <s v="No"/>
    <n v="3"/>
    <s v="Follow-up visit"/>
    <s v="appointment_export_2026_04.csv"/>
    <n v="0"/>
    <n v="0"/>
    <x v="0"/>
    <s v="Central"/>
    <s v="Sophie Martin"/>
    <s v="Urban"/>
    <s v="Mon-Sat 08:00-18:00"/>
    <x v="4"/>
    <n v="28"/>
    <n v="150"/>
    <s v="Specialist outpatient"/>
    <s v="Cardiology Clinician"/>
    <s v="Matched"/>
    <n v="11"/>
    <n v="1"/>
    <n v="31"/>
    <n v="0"/>
    <n v="1"/>
    <n v="0"/>
    <n v="1"/>
    <n v="0"/>
    <s v="Matches Standard"/>
    <x v="4"/>
    <n v="2026"/>
    <n v="4"/>
    <s v="Apr"/>
  </r>
  <r>
    <s v="APT-202604-0091"/>
    <d v="2026-04-26T00:00:00"/>
    <d v="2026-03-17T00:00:00"/>
    <s v="P0089"/>
    <s v="AUC"/>
    <s v="DIA"/>
    <s v="CL007"/>
    <x v="1"/>
    <x v="0"/>
    <d v="1899-12-30T13:00:00"/>
    <d v="1899-12-30T13:17:00"/>
    <d v="1899-12-30T13:19:00"/>
    <n v="60"/>
    <n v="80"/>
    <s v="No"/>
    <n v="5"/>
    <s v="Routine review"/>
    <s v="appointment_export_2026_04.csv"/>
    <n v="0"/>
    <n v="0"/>
    <x v="2"/>
    <s v="Northern"/>
    <s v="Aroha Rangi"/>
    <s v="Urban"/>
    <s v="Mon-Fri 08:00-18:00"/>
    <x v="3"/>
    <n v="10"/>
    <n v="80"/>
    <s v="Long-term conditions"/>
    <s v="Diabetes Nurse"/>
    <s v="Matched"/>
    <n v="40"/>
    <n v="0"/>
    <n v="2"/>
    <n v="1"/>
    <n v="1"/>
    <n v="0"/>
    <n v="1"/>
    <n v="0"/>
    <s v="Matches Standard"/>
    <x v="4"/>
    <n v="2026"/>
    <n v="4"/>
    <s v="Apr"/>
  </r>
  <r>
    <s v="APT-202604-0092"/>
    <d v="2026-04-08T00:00:00"/>
    <d v="2026-03-02T00:00:00"/>
    <s v="P0053"/>
    <s v="PMR"/>
    <s v="MHS"/>
    <s v="CL024"/>
    <x v="0"/>
    <x v="3"/>
    <d v="1899-12-30T09:00:00"/>
    <m/>
    <m/>
    <n v="0"/>
    <n v="120"/>
    <s v="No"/>
    <m/>
    <s v="Routine review"/>
    <s v="appointment_export_2026_04.csv"/>
    <n v="0"/>
    <n v="0"/>
    <x v="3"/>
    <s v="Central"/>
    <s v="Mereana Thompson"/>
    <s v="Regional"/>
    <s v="Mon-Fri 08:30-17:00"/>
    <x v="2"/>
    <n v="14"/>
    <n v="120"/>
    <s v="Behavioural health"/>
    <s v="Mental Health Clinician"/>
    <s v="Matched"/>
    <n v="37"/>
    <n v="0"/>
    <m/>
    <m/>
    <n v="0"/>
    <m/>
    <n v="1"/>
    <n v="0"/>
    <s v="Matches Standard"/>
    <x v="4"/>
    <n v="2026"/>
    <n v="4"/>
    <s v="Apr"/>
  </r>
  <r>
    <s v="APT-202604-0093"/>
    <d v="2026-04-22T00:00:00"/>
    <d v="2026-04-16T00:00:00"/>
    <s v="P0164"/>
    <s v="PMR"/>
    <s v="CAR"/>
    <s v="CL030"/>
    <x v="0"/>
    <x v="1"/>
    <d v="1899-12-30T14:30:00"/>
    <d v="1899-12-30T14:27:00"/>
    <d v="1899-12-30T14:35:00"/>
    <n v="60"/>
    <n v="150"/>
    <s v="No"/>
    <n v="5"/>
    <s v="Routine review"/>
    <s v="appointment_export_2026_04.csv"/>
    <n v="0"/>
    <n v="0"/>
    <x v="3"/>
    <s v="Central"/>
    <s v="Mereana Thompson"/>
    <s v="Regional"/>
    <s v="Mon-Fri 08:30-17:00"/>
    <x v="4"/>
    <n v="28"/>
    <n v="150"/>
    <s v="Specialist outpatient"/>
    <s v="Cardiology Clinician"/>
    <s v="Matched"/>
    <n v="6"/>
    <n v="1"/>
    <m/>
    <m/>
    <n v="0"/>
    <m/>
    <n v="1"/>
    <n v="0"/>
    <s v="Matches Standard"/>
    <x v="4"/>
    <n v="2026"/>
    <n v="4"/>
    <s v="Apr"/>
  </r>
  <r>
    <s v="APT-202604-0094"/>
    <d v="2026-04-28T00:00:00"/>
    <d v="2026-04-15T00:00:00"/>
    <s v="P0166"/>
    <s v="WLG"/>
    <s v="MHS"/>
    <s v="CL034"/>
    <x v="1"/>
    <x v="1"/>
    <d v="1899-12-30T14:30:00"/>
    <d v="1899-12-30T14:28:00"/>
    <d v="1899-12-30T14:47:00"/>
    <n v="30"/>
    <n v="120"/>
    <s v="Yes"/>
    <n v="4"/>
    <s v="Care plan review"/>
    <s v="appointment_export_2026_04.csv"/>
    <n v="0"/>
    <n v="0"/>
    <x v="0"/>
    <s v="Central"/>
    <s v="Sophie Martin"/>
    <s v="Urban"/>
    <s v="Mon-Sat 08:00-18:00"/>
    <x v="2"/>
    <n v="14"/>
    <n v="120"/>
    <s v="Behavioural health"/>
    <s v="Mental Health Clinician"/>
    <s v="Matched"/>
    <n v="13"/>
    <n v="1"/>
    <n v="19"/>
    <n v="1"/>
    <n v="1"/>
    <n v="0"/>
    <n v="1"/>
    <n v="0"/>
    <s v="Matches Standard"/>
    <x v="4"/>
    <n v="2026"/>
    <n v="4"/>
    <s v="Apr"/>
  </r>
  <r>
    <s v="APT-202604-0095"/>
    <d v="2026-04-26T00:00:00"/>
    <d v="2026-04-07T00:00:00"/>
    <s v="P0122"/>
    <s v="AUC"/>
    <s v="CAR"/>
    <s v="CL010"/>
    <x v="2"/>
    <x v="0"/>
    <d v="1899-12-30T12:30:00"/>
    <m/>
    <m/>
    <n v="0"/>
    <n v="150"/>
    <s v="No"/>
    <m/>
    <s v="Patient requested appointment"/>
    <s v="appointment_export_2026_04.csv"/>
    <n v="0"/>
    <n v="0"/>
    <x v="2"/>
    <s v="Northern"/>
    <s v="Aroha Rangi"/>
    <s v="Urban"/>
    <s v="Mon-Fri 08:00-18:00"/>
    <x v="4"/>
    <n v="28"/>
    <n v="150"/>
    <s v="Specialist outpatient"/>
    <s v="Cardiology Clinician"/>
    <s v="Matched"/>
    <n v="19"/>
    <n v="1"/>
    <m/>
    <m/>
    <n v="1"/>
    <n v="1"/>
    <n v="1"/>
    <n v="0"/>
    <s v="Matches Standard"/>
    <x v="4"/>
    <n v="2026"/>
    <n v="4"/>
    <s v="Apr"/>
  </r>
  <r>
    <s v="APT-202604-0096"/>
    <d v="2026-04-05T00:00:00"/>
    <d v="2026-03-12T00:00:00"/>
    <s v="P0224"/>
    <s v="AUC"/>
    <s v="MHS"/>
    <s v="CL003"/>
    <x v="1"/>
    <x v="0"/>
    <d v="1899-12-30T12:00:00"/>
    <d v="1899-12-30T11:57:00"/>
    <d v="1899-12-30T12:10:00"/>
    <n v="30"/>
    <n v="120"/>
    <s v="No"/>
    <n v="5"/>
    <s v="Routine review"/>
    <s v="appointment_export_2026_04.csv"/>
    <n v="0"/>
    <n v="0"/>
    <x v="2"/>
    <s v="Northern"/>
    <s v="Aroha Rangi"/>
    <s v="Urban"/>
    <s v="Mon-Fri 08:00-18:00"/>
    <x v="2"/>
    <n v="14"/>
    <n v="120"/>
    <s v="Behavioural health"/>
    <s v="Mental Health Clinician"/>
    <s v="Matched"/>
    <n v="24"/>
    <n v="0"/>
    <n v="13"/>
    <n v="1"/>
    <n v="1"/>
    <n v="0"/>
    <n v="1"/>
    <n v="0"/>
    <s v="Matches Standard"/>
    <x v="4"/>
    <n v="2026"/>
    <n v="4"/>
    <s v="Apr"/>
  </r>
  <r>
    <s v="APT-202604-0097"/>
    <m/>
    <d v="2026-03-05T00:00:00"/>
    <s v="P0139"/>
    <s v="AUC"/>
    <s v="CAR"/>
    <s v="CL010"/>
    <x v="1"/>
    <x v="2"/>
    <d v="1899-12-30T09:30:00"/>
    <d v="1899-12-30T09:30:00"/>
    <d v="1899-12-30T09:33:00"/>
    <n v="20"/>
    <n v="150"/>
    <s v="Yes"/>
    <n v="5"/>
    <s v="Routine review"/>
    <s v="appointment_export_2026_04.csv"/>
    <n v="0"/>
    <n v="0"/>
    <x v="2"/>
    <s v="Northern"/>
    <s v="Aroha Rangi"/>
    <s v="Urban"/>
    <s v="Mon-Fri 08:00-18:00"/>
    <x v="4"/>
    <n v="28"/>
    <n v="150"/>
    <s v="Specialist outpatient"/>
    <s v="Cardiology Clinician"/>
    <s v="Matched"/>
    <m/>
    <m/>
    <n v="3"/>
    <n v="1"/>
    <n v="1"/>
    <n v="0"/>
    <n v="1"/>
    <n v="0"/>
    <s v="Matches Standard"/>
    <x v="1"/>
    <m/>
    <m/>
    <m/>
  </r>
  <r>
    <s v="APT-202604-0098"/>
    <d v="2026-04-30T00:00:00"/>
    <d v="2026-04-15T00:00:00"/>
    <s v="P0041"/>
    <s v="PMR"/>
    <s v="MHS"/>
    <s v="CL023"/>
    <x v="1"/>
    <x v="3"/>
    <d v="1899-12-30T14:30:00"/>
    <d v="1899-12-30T14:35:00"/>
    <d v="1899-12-30T14:43:00"/>
    <n v="45"/>
    <n v="120"/>
    <s v="No"/>
    <n v="3"/>
    <s v="Routine review"/>
    <s v="appointment_export_2026_04.csv"/>
    <n v="0"/>
    <n v="0"/>
    <x v="3"/>
    <s v="Central"/>
    <s v="Mereana Thompson"/>
    <s v="Regional"/>
    <s v="Mon-Fri 08:30-17:00"/>
    <x v="2"/>
    <n v="14"/>
    <n v="120"/>
    <s v="Behavioural health"/>
    <s v="Mental Health Clinician"/>
    <s v="Matched"/>
    <n v="15"/>
    <n v="0"/>
    <n v="8"/>
    <n v="1"/>
    <n v="1"/>
    <n v="0"/>
    <n v="1"/>
    <n v="0"/>
    <s v="Matches Standard"/>
    <x v="4"/>
    <n v="2026"/>
    <n v="4"/>
    <s v="Apr"/>
  </r>
  <r>
    <s v="APT-202604-0099"/>
    <d v="2026-04-23T00:00:00"/>
    <d v="2026-04-03T00:00:00"/>
    <s v="P0186"/>
    <s v="PMR"/>
    <s v="MHS"/>
    <s v="CL023"/>
    <x v="0"/>
    <x v="0"/>
    <d v="1899-12-30T13:00:00"/>
    <m/>
    <m/>
    <n v="0"/>
    <n v="120"/>
    <s v="Yes"/>
    <m/>
    <s v="Routine review"/>
    <s v="appointment_export_2026_04.csv"/>
    <n v="0"/>
    <n v="0"/>
    <x v="3"/>
    <s v="Central"/>
    <s v="Mereana Thompson"/>
    <s v="Regional"/>
    <s v="Mon-Fri 08:30-17:00"/>
    <x v="2"/>
    <n v="14"/>
    <n v="120"/>
    <s v="Behavioural health"/>
    <s v="Mental Health Clinician"/>
    <s v="Matched"/>
    <n v="20"/>
    <n v="0"/>
    <m/>
    <m/>
    <n v="0"/>
    <m/>
    <n v="1"/>
    <n v="0"/>
    <s v="Matches Standard"/>
    <x v="4"/>
    <n v="2026"/>
    <n v="4"/>
    <s v="Apr"/>
  </r>
  <r>
    <s v="APT-202604-0100"/>
    <d v="2026-04-25T00:00:00"/>
    <d v="2026-03-21T00:00:00"/>
    <s v="P0163"/>
    <s v="PMR"/>
    <s v="MHS"/>
    <s v="CL023"/>
    <x v="1"/>
    <x v="0"/>
    <d v="1899-12-30T09:30:00"/>
    <d v="1899-12-30T09:42:00"/>
    <d v="1899-12-30T09:36:00"/>
    <n v="45"/>
    <n v="120"/>
    <s v="Yes"/>
    <n v="5"/>
    <s v="Follow-up visit"/>
    <s v="appointment_export_2026_04.csv"/>
    <n v="0"/>
    <n v="0"/>
    <x v="3"/>
    <s v="Central"/>
    <s v="Mereana Thompson"/>
    <s v="Regional"/>
    <s v="Mon-Fri 08:30-17:00"/>
    <x v="2"/>
    <n v="14"/>
    <n v="120"/>
    <s v="Behavioural health"/>
    <s v="Mental Health Clinician"/>
    <s v="Matched"/>
    <n v="35"/>
    <n v="0"/>
    <m/>
    <m/>
    <n v="1"/>
    <n v="0"/>
    <n v="1"/>
    <n v="0"/>
    <s v="Matches Standard"/>
    <x v="4"/>
    <n v="2026"/>
    <n v="4"/>
    <s v="Apr"/>
  </r>
  <r>
    <s v="APT-202604-0101"/>
    <d v="2026-04-11T00:00:00"/>
    <d v="2026-03-06T00:00:00"/>
    <s v="P0167"/>
    <s v="PMR"/>
    <s v="PHY"/>
    <s v="CL999"/>
    <x v="1"/>
    <x v="2"/>
    <d v="1899-12-30T08:30:00"/>
    <d v="1899-12-30T08:33:00"/>
    <d v="1899-12-30T09:06:00"/>
    <n v="20"/>
    <n v="95"/>
    <s v="No"/>
    <n v="4"/>
    <s v="Care plan review"/>
    <s v="appointment_export_2026_04.csv"/>
    <n v="0"/>
    <n v="0"/>
    <x v="3"/>
    <s v="Central"/>
    <s v="Mereana Thompson"/>
    <s v="Regional"/>
    <s v="Mon-Fri 08:30-17:00"/>
    <x v="0"/>
    <n v="21"/>
    <n v="95"/>
    <s v="Rehabilitation"/>
    <s v="Physiotherapist"/>
    <s v="Matched"/>
    <n v="36"/>
    <n v="0"/>
    <n v="33"/>
    <n v="0"/>
    <n v="1"/>
    <n v="0"/>
    <n v="1"/>
    <n v="0"/>
    <s v="Matches Standard"/>
    <x v="4"/>
    <n v="2026"/>
    <n v="4"/>
    <s v="Apr"/>
  </r>
  <r>
    <s v="APT-202604-0102"/>
    <d v="2026-04-22T00:00:00"/>
    <d v="2026-03-22T00:00:00"/>
    <s v="P0029"/>
    <s v="WLG"/>
    <s v="DIA"/>
    <s v="CL038"/>
    <x v="2"/>
    <x v="1"/>
    <d v="1899-12-30T14:30:00"/>
    <m/>
    <m/>
    <n v="0"/>
    <n v="80"/>
    <s v="Yes"/>
    <m/>
    <s v="New referral"/>
    <s v="appointment_export_2026_04.csv"/>
    <n v="0"/>
    <n v="0"/>
    <x v="0"/>
    <s v="Central"/>
    <s v="Sophie Martin"/>
    <s v="Urban"/>
    <s v="Mon-Sat 08:00-18:00"/>
    <x v="3"/>
    <n v="10"/>
    <n v="80"/>
    <s v="Long-term conditions"/>
    <s v="Diabetes Nurse"/>
    <s v="Matched"/>
    <n v="31"/>
    <n v="0"/>
    <m/>
    <m/>
    <n v="1"/>
    <n v="1"/>
    <n v="1"/>
    <n v="0"/>
    <s v="Matches Standard"/>
    <x v="4"/>
    <n v="2026"/>
    <n v="4"/>
    <s v="Apr"/>
  </r>
  <r>
    <s v="APT-202604-0103"/>
    <d v="2026-04-22T00:00:00"/>
    <d v="2026-03-17T00:00:00"/>
    <s v="P0123"/>
    <s v="AUC"/>
    <s v="CAR"/>
    <s v="CL010"/>
    <x v="2"/>
    <x v="3"/>
    <d v="1899-12-30T12:00:00"/>
    <m/>
    <m/>
    <n v="0"/>
    <n v="150"/>
    <s v="No"/>
    <m/>
    <s v="New referral"/>
    <s v="appointment_export_2026_04.csv"/>
    <n v="0"/>
    <n v="0"/>
    <x v="2"/>
    <s v="Northern"/>
    <s v="Aroha Rangi"/>
    <s v="Urban"/>
    <s v="Mon-Fri 08:00-18:00"/>
    <x v="4"/>
    <n v="28"/>
    <n v="150"/>
    <s v="Specialist outpatient"/>
    <s v="Cardiology Clinician"/>
    <s v="Matched"/>
    <n v="36"/>
    <n v="0"/>
    <m/>
    <m/>
    <n v="1"/>
    <n v="1"/>
    <n v="1"/>
    <n v="0"/>
    <s v="Matches Standard"/>
    <x v="4"/>
    <n v="2026"/>
    <n v="4"/>
    <s v="Apr"/>
  </r>
  <r>
    <s v="APT-202604-0104"/>
    <d v="2026-04-07T00:00:00"/>
    <d v="2026-03-25T00:00:00"/>
    <s v="P0063"/>
    <s v="PMR"/>
    <s v="DIA"/>
    <s v="CL027"/>
    <x v="0"/>
    <x v="0"/>
    <d v="1899-12-30T08:30:00"/>
    <m/>
    <m/>
    <n v="0"/>
    <n v="80"/>
    <s v="No"/>
    <m/>
    <s v="New referral"/>
    <s v="appointment_export_2026_04.csv"/>
    <n v="0"/>
    <n v="0"/>
    <x v="3"/>
    <s v="Central"/>
    <s v="Mereana Thompson"/>
    <s v="Regional"/>
    <s v="Mon-Fri 08:30-17:00"/>
    <x v="3"/>
    <n v="10"/>
    <n v="80"/>
    <s v="Long-term conditions"/>
    <s v="Diabetes Nurse"/>
    <s v="Matched"/>
    <n v="13"/>
    <n v="0"/>
    <m/>
    <m/>
    <n v="0"/>
    <m/>
    <n v="1"/>
    <n v="0"/>
    <s v="Matches Standard"/>
    <x v="4"/>
    <n v="2026"/>
    <n v="4"/>
    <s v="Apr"/>
  </r>
  <r>
    <s v="APT-202604-0105"/>
    <d v="2026-04-13T00:00:00"/>
    <d v="2026-04-03T00:00:00"/>
    <s v="P0207"/>
    <s v="HAM"/>
    <s v="GEN"/>
    <s v="CL011"/>
    <x v="1"/>
    <x v="0"/>
    <d v="1899-12-30T12:30:00"/>
    <d v="1899-12-30T12:32:00"/>
    <d v="1899-12-30T12:46:00"/>
    <n v="30"/>
    <n v="65"/>
    <s v="No"/>
    <n v="2"/>
    <s v="Routine review"/>
    <s v="appointment_export_2026_04.csv"/>
    <n v="0"/>
    <n v="0"/>
    <x v="1"/>
    <s v="Midland"/>
    <s v="Daniel Wong"/>
    <s v="Urban"/>
    <s v="Mon-Fri 08:00-17:30"/>
    <x v="1"/>
    <n v="7"/>
    <n v="65"/>
    <s v="Primary care"/>
    <s v="Doctor or Nurse Practitioner"/>
    <s v="Matched"/>
    <n v="10"/>
    <n v="0"/>
    <n v="14"/>
    <n v="1"/>
    <n v="1"/>
    <n v="0"/>
    <n v="1"/>
    <n v="0"/>
    <s v="Matches Standard"/>
    <x v="4"/>
    <n v="2026"/>
    <n v="4"/>
    <s v="Apr"/>
  </r>
  <r>
    <s v="APT-202604-0106"/>
    <d v="2026-04-24T00:00:00"/>
    <d v="2026-03-10T00:00:00"/>
    <s v="P0089"/>
    <s v="AUC"/>
    <s v="CAR"/>
    <s v="CL010"/>
    <x v="1"/>
    <x v="2"/>
    <d v="1899-12-30T10:30:00"/>
    <d v="1899-12-30T10:22:00"/>
    <d v="1899-12-30T10:51:00"/>
    <n v="45"/>
    <n v="150"/>
    <s v="Yes"/>
    <n v="3"/>
    <s v="Follow-up visit"/>
    <s v="appointment_export_2026_04.csv"/>
    <n v="0"/>
    <n v="0"/>
    <x v="2"/>
    <s v="Northern"/>
    <s v="Aroha Rangi"/>
    <s v="Urban"/>
    <s v="Mon-Fri 08:00-18:00"/>
    <x v="4"/>
    <n v="28"/>
    <n v="150"/>
    <s v="Specialist outpatient"/>
    <s v="Cardiology Clinician"/>
    <s v="Matched"/>
    <n v="45"/>
    <n v="0"/>
    <n v="29"/>
    <n v="1"/>
    <n v="1"/>
    <n v="0"/>
    <n v="1"/>
    <n v="0"/>
    <s v="Matches Standard"/>
    <x v="4"/>
    <n v="2026"/>
    <n v="4"/>
    <s v="Apr"/>
  </r>
  <r>
    <s v="APT-202604-0107"/>
    <d v="2026-04-01T00:00:00"/>
    <d v="2026-03-11T00:00:00"/>
    <s v="P0208"/>
    <s v="WLG"/>
    <s v="GEN"/>
    <s v="CL031"/>
    <x v="1"/>
    <x v="2"/>
    <d v="1899-12-30T13:00:00"/>
    <d v="1899-12-30T13:06:00"/>
    <d v="1899-12-30T13:06:00"/>
    <n v="20"/>
    <m/>
    <s v="No"/>
    <n v="4"/>
    <s v="Routine review"/>
    <s v="appointment_export_2026_04.csv"/>
    <n v="0"/>
    <n v="0"/>
    <x v="0"/>
    <s v="Central"/>
    <s v="Sophie Martin"/>
    <s v="Urban"/>
    <s v="Mon-Sat 08:00-18:00"/>
    <x v="1"/>
    <n v="7"/>
    <n v="65"/>
    <s v="Primary care"/>
    <s v="Doctor or Nurse Practitioner"/>
    <s v="Matched"/>
    <n v="21"/>
    <n v="0"/>
    <n v="0"/>
    <n v="1"/>
    <n v="1"/>
    <n v="0"/>
    <n v="0"/>
    <m/>
    <s v="Missing Actual Fee"/>
    <x v="4"/>
    <n v="2026"/>
    <n v="4"/>
    <s v="Apr"/>
  </r>
  <r>
    <s v="APT-202604-0108"/>
    <d v="2026-04-29T00:00:00"/>
    <d v="2026-03-10T00:00:00"/>
    <s v="P0215"/>
    <s v="HAM"/>
    <s v="PHY"/>
    <s v="CL015"/>
    <x v="1"/>
    <x v="3"/>
    <d v="1899-12-30T11:30:00"/>
    <d v="1899-12-30T11:34:00"/>
    <d v="1899-12-30T11:39:00"/>
    <n v="30"/>
    <n v="95"/>
    <s v="No"/>
    <n v="5"/>
    <s v="Patient requested appointment"/>
    <s v="appointment_export_2026_04.csv"/>
    <n v="0"/>
    <n v="0"/>
    <x v="1"/>
    <s v="Midland"/>
    <s v="Daniel Wong"/>
    <s v="Urban"/>
    <s v="Mon-Fri 08:00-17:30"/>
    <x v="0"/>
    <n v="21"/>
    <n v="95"/>
    <s v="Rehabilitation"/>
    <s v="Physiotherapist"/>
    <s v="Matched"/>
    <n v="50"/>
    <n v="0"/>
    <n v="5"/>
    <n v="1"/>
    <n v="1"/>
    <n v="0"/>
    <n v="1"/>
    <n v="0"/>
    <s v="Matches Standard"/>
    <x v="4"/>
    <n v="2026"/>
    <n v="4"/>
    <s v="Apr"/>
  </r>
  <r>
    <s v="APT-202604-0109"/>
    <d v="2026-04-06T00:00:00"/>
    <d v="2026-04-05T00:00:00"/>
    <m/>
    <s v="HAM"/>
    <s v="CAR"/>
    <s v="CL019"/>
    <x v="1"/>
    <x v="1"/>
    <d v="1899-12-30T15:30:00"/>
    <d v="1899-12-30T15:36:00"/>
    <d v="1899-12-30T16:04:00"/>
    <n v="20"/>
    <n v="150"/>
    <s v="No"/>
    <n v="4"/>
    <s v="Follow-up visit"/>
    <s v="appointment_export_2026_04.csv"/>
    <n v="1"/>
    <n v="0"/>
    <x v="1"/>
    <s v="Midland"/>
    <s v="Daniel Wong"/>
    <s v="Urban"/>
    <s v="Mon-Fri 08:00-17:30"/>
    <x v="4"/>
    <n v="28"/>
    <n v="150"/>
    <s v="Specialist outpatient"/>
    <s v="Cardiology Clinician"/>
    <s v="Matched"/>
    <n v="1"/>
    <n v="1"/>
    <n v="28"/>
    <n v="1"/>
    <n v="1"/>
    <n v="0"/>
    <n v="1"/>
    <n v="0"/>
    <s v="Matches Standard"/>
    <x v="4"/>
    <n v="2026"/>
    <n v="4"/>
    <s v="Apr"/>
  </r>
  <r>
    <s v="APT-202604-0110"/>
    <d v="2026-04-14T00:00:00"/>
    <d v="2026-03-17T00:00:00"/>
    <s v="P0048"/>
    <s v="HAM"/>
    <s v="GEN"/>
    <s v="CL011"/>
    <x v="1"/>
    <x v="1"/>
    <d v="1899-12-30T12:30:00"/>
    <d v="1899-12-30T12:23:00"/>
    <d v="1899-12-30T12:49:00"/>
    <n v="20"/>
    <n v="65"/>
    <s v="No"/>
    <n v="3"/>
    <s v="Care plan review"/>
    <s v="appointment_export_2026_04.csv"/>
    <n v="0"/>
    <n v="0"/>
    <x v="1"/>
    <s v="Midland"/>
    <s v="Daniel Wong"/>
    <s v="Urban"/>
    <s v="Mon-Fri 08:00-17:30"/>
    <x v="1"/>
    <n v="7"/>
    <n v="65"/>
    <s v="Primary care"/>
    <s v="Doctor or Nurse Practitioner"/>
    <s v="Matched"/>
    <n v="28"/>
    <n v="0"/>
    <n v="26"/>
    <n v="1"/>
    <n v="1"/>
    <n v="0"/>
    <n v="1"/>
    <n v="0"/>
    <s v="Matches Standard"/>
    <x v="4"/>
    <n v="2026"/>
    <n v="4"/>
    <s v="Apr"/>
  </r>
  <r>
    <s v="APT-202604-0111"/>
    <d v="2026-04-09T00:00:00"/>
    <d v="2026-04-08T00:00:00"/>
    <s v="P0140"/>
    <s v="WLG"/>
    <s v="GEN"/>
    <s v="CL031"/>
    <x v="1"/>
    <x v="1"/>
    <d v="1899-12-30T10:30:00"/>
    <d v="1899-12-30T10:47:00"/>
    <d v="1899-12-30T10:43:00"/>
    <n v="20"/>
    <n v="65"/>
    <s v="No"/>
    <n v="2"/>
    <s v="Routine review"/>
    <s v="appointment_export_2026_04.csv"/>
    <n v="0"/>
    <n v="0"/>
    <x v="0"/>
    <s v="Central"/>
    <s v="Sophie Martin"/>
    <s v="Urban"/>
    <s v="Mon-Sat 08:00-18:00"/>
    <x v="1"/>
    <n v="7"/>
    <n v="65"/>
    <s v="Primary care"/>
    <s v="Doctor or Nurse Practitioner"/>
    <s v="Matched"/>
    <n v="1"/>
    <n v="1"/>
    <m/>
    <m/>
    <n v="1"/>
    <n v="0"/>
    <n v="1"/>
    <n v="0"/>
    <s v="Matches Standard"/>
    <x v="4"/>
    <n v="2026"/>
    <n v="4"/>
    <s v="Apr"/>
  </r>
  <r>
    <s v="APT-202604-0112"/>
    <d v="2026-04-06T00:00:00"/>
    <d v="2026-03-31T00:00:00"/>
    <s v="P0223"/>
    <s v="HAM"/>
    <s v="PHY"/>
    <s v="CL016"/>
    <x v="1"/>
    <x v="1"/>
    <d v="1899-12-30T10:30:00"/>
    <d v="1899-12-30T10:37:00"/>
    <d v="1899-12-30T10:57:00"/>
    <n v="60"/>
    <n v="95"/>
    <s v="No"/>
    <n v="5"/>
    <s v="Care plan review"/>
    <s v="appointment_export_2026_04.csv"/>
    <n v="0"/>
    <n v="0"/>
    <x v="1"/>
    <s v="Midland"/>
    <s v="Daniel Wong"/>
    <s v="Urban"/>
    <s v="Mon-Fri 08:00-17:30"/>
    <x v="0"/>
    <n v="21"/>
    <n v="95"/>
    <s v="Rehabilitation"/>
    <s v="Physiotherapist"/>
    <s v="Matched"/>
    <n v="6"/>
    <n v="1"/>
    <n v="20"/>
    <n v="1"/>
    <n v="1"/>
    <n v="0"/>
    <n v="1"/>
    <n v="0"/>
    <s v="Matches Standard"/>
    <x v="4"/>
    <n v="2026"/>
    <n v="4"/>
    <s v="Apr"/>
  </r>
  <r>
    <s v="APT-202604-0113"/>
    <d v="2026-04-30T00:00:00"/>
    <m/>
    <s v="P0044"/>
    <s v="HAM"/>
    <s v="DIA"/>
    <s v="CL017"/>
    <x v="1"/>
    <x v="3"/>
    <d v="1899-12-30T13:00:00"/>
    <d v="1899-12-30T12:54:00"/>
    <d v="1899-12-30T13:00:00"/>
    <n v="30"/>
    <n v="80"/>
    <s v="No"/>
    <n v="4"/>
    <s v="New referral"/>
    <s v="appointment_export_2026_04.csv"/>
    <n v="0"/>
    <n v="0"/>
    <x v="1"/>
    <s v="Midland"/>
    <s v="Daniel Wong"/>
    <s v="Urban"/>
    <s v="Mon-Fri 08:00-17:30"/>
    <x v="3"/>
    <n v="10"/>
    <n v="80"/>
    <s v="Long-term conditions"/>
    <s v="Diabetes Nurse"/>
    <s v="Matched"/>
    <m/>
    <m/>
    <n v="6"/>
    <n v="1"/>
    <n v="1"/>
    <n v="0"/>
    <n v="1"/>
    <n v="0"/>
    <s v="Matches Standard"/>
    <x v="4"/>
    <n v="2026"/>
    <n v="4"/>
    <s v="Apr"/>
  </r>
  <r>
    <s v="APT-202604-0114"/>
    <d v="2026-04-13T00:00:00"/>
    <d v="2026-02-27T00:00:00"/>
    <s v="P0178"/>
    <s v="HAM"/>
    <s v="GEN"/>
    <s v="CL011"/>
    <x v="1"/>
    <x v="3"/>
    <d v="1899-12-30T09:00:00"/>
    <d v="1899-12-30T08:57:00"/>
    <d v="1899-12-30T09:26:00"/>
    <n v="20"/>
    <n v="65"/>
    <s v="No"/>
    <n v="5"/>
    <s v="Care plan review"/>
    <s v="appointment_export_2026_04.csv"/>
    <n v="0"/>
    <n v="0"/>
    <x v="1"/>
    <s v="Midland"/>
    <s v="Daniel Wong"/>
    <s v="Urban"/>
    <s v="Mon-Fri 08:00-17:30"/>
    <x v="1"/>
    <n v="7"/>
    <n v="65"/>
    <s v="Primary care"/>
    <s v="Doctor or Nurse Practitioner"/>
    <s v="Matched"/>
    <n v="45"/>
    <n v="0"/>
    <n v="29"/>
    <n v="1"/>
    <n v="1"/>
    <n v="0"/>
    <n v="1"/>
    <n v="0"/>
    <s v="Matches Standard"/>
    <x v="4"/>
    <n v="2026"/>
    <n v="4"/>
    <s v="Apr"/>
  </r>
  <r>
    <s v="APT-202604-0115"/>
    <d v="2026-04-24T00:00:00"/>
    <d v="2026-03-14T00:00:00"/>
    <s v="P0054"/>
    <s v="PMR"/>
    <s v="GEN"/>
    <s v="CL021"/>
    <x v="1"/>
    <x v="3"/>
    <d v="1899-12-30T10:00:00"/>
    <d v="1899-12-30T09:50:00"/>
    <d v="1899-12-30T10:09:00"/>
    <n v="45"/>
    <n v="65"/>
    <s v="No"/>
    <n v="4"/>
    <s v="Follow-up visit"/>
    <s v="appointment_export_2026_04.csv"/>
    <n v="0"/>
    <n v="0"/>
    <x v="3"/>
    <s v="Central"/>
    <s v="Mereana Thompson"/>
    <s v="Regional"/>
    <s v="Mon-Fri 08:30-17:00"/>
    <x v="1"/>
    <n v="7"/>
    <n v="65"/>
    <s v="Primary care"/>
    <s v="Doctor or Nurse Practitioner"/>
    <s v="Matched"/>
    <n v="41"/>
    <n v="0"/>
    <n v="19"/>
    <n v="1"/>
    <n v="1"/>
    <n v="0"/>
    <n v="1"/>
    <n v="0"/>
    <s v="Matches Standard"/>
    <x v="4"/>
    <n v="2026"/>
    <n v="4"/>
    <s v="Apr"/>
  </r>
  <r>
    <s v="APT-202604-0116"/>
    <d v="2026-04-02T00:00:00"/>
    <d v="2026-02-15T00:00:00"/>
    <s v="P0118"/>
    <s v="HAM"/>
    <s v="DIA"/>
    <s v="CL018"/>
    <x v="0"/>
    <x v="2"/>
    <d v="1899-12-30T10:30:00"/>
    <m/>
    <m/>
    <n v="0"/>
    <n v="80"/>
    <s v="Yes"/>
    <m/>
    <s v="Routine review"/>
    <s v="appointment_export_2026_04.csv"/>
    <n v="0"/>
    <n v="0"/>
    <x v="1"/>
    <s v="Midland"/>
    <s v="Daniel Wong"/>
    <s v="Urban"/>
    <s v="Mon-Fri 08:00-17:30"/>
    <x v="3"/>
    <n v="10"/>
    <n v="80"/>
    <s v="Long-term conditions"/>
    <s v="Diabetes Nurse"/>
    <s v="Matched"/>
    <n v="46"/>
    <n v="0"/>
    <m/>
    <m/>
    <n v="0"/>
    <m/>
    <n v="1"/>
    <n v="0"/>
    <s v="Matches Standard"/>
    <x v="4"/>
    <n v="2026"/>
    <n v="4"/>
    <s v="Apr"/>
  </r>
  <r>
    <s v="APT-202604-0117"/>
    <d v="2026-04-06T00:00:00"/>
    <d v="2026-03-20T00:00:00"/>
    <s v="P0154"/>
    <s v="WLG"/>
    <s v="PHY"/>
    <s v="CL035"/>
    <x v="1"/>
    <x v="3"/>
    <d v="1899-12-30T13:00:00"/>
    <d v="1899-12-30T12:57:00"/>
    <d v="1899-12-30T13:26:00"/>
    <n v="45"/>
    <n v="95"/>
    <s v="No"/>
    <n v="2"/>
    <s v="Patient requested appointment"/>
    <s v="appointment_export_2026_04.csv"/>
    <n v="0"/>
    <n v="0"/>
    <x v="0"/>
    <s v="Central"/>
    <s v="Sophie Martin"/>
    <s v="Urban"/>
    <s v="Mon-Sat 08:00-18:00"/>
    <x v="0"/>
    <n v="21"/>
    <n v="95"/>
    <s v="Rehabilitation"/>
    <s v="Physiotherapist"/>
    <s v="Matched"/>
    <n v="17"/>
    <n v="1"/>
    <n v="29"/>
    <n v="1"/>
    <n v="1"/>
    <n v="0"/>
    <n v="1"/>
    <n v="0"/>
    <s v="Matches Standard"/>
    <x v="4"/>
    <n v="2026"/>
    <n v="4"/>
    <s v="Apr"/>
  </r>
  <r>
    <s v="APT-202604-0118"/>
    <d v="2026-04-01T00:00:00"/>
    <d v="2026-03-08T00:00:00"/>
    <s v="P0136"/>
    <s v="PMR"/>
    <s v="PHY"/>
    <s v="CL026"/>
    <x v="2"/>
    <x v="2"/>
    <d v="1899-12-30T09:00:00"/>
    <m/>
    <m/>
    <n v="0"/>
    <n v="95"/>
    <s v="No"/>
    <m/>
    <s v="Care plan review"/>
    <s v="appointment_export_2026_04.csv"/>
    <n v="0"/>
    <n v="0"/>
    <x v="3"/>
    <s v="Central"/>
    <s v="Mereana Thompson"/>
    <s v="Regional"/>
    <s v="Mon-Fri 08:30-17:00"/>
    <x v="0"/>
    <n v="21"/>
    <n v="95"/>
    <s v="Rehabilitation"/>
    <s v="Physiotherapist"/>
    <s v="Matched"/>
    <n v="24"/>
    <n v="0"/>
    <m/>
    <m/>
    <n v="1"/>
    <n v="1"/>
    <n v="1"/>
    <n v="0"/>
    <s v="Matches Standard"/>
    <x v="4"/>
    <n v="2026"/>
    <n v="4"/>
    <s v="Apr"/>
  </r>
  <r>
    <s v="APT-202604-0119"/>
    <d v="2026-04-04T00:00:00"/>
    <d v="2026-02-20T00:00:00"/>
    <s v="P0218"/>
    <s v="HAM"/>
    <s v="MHS"/>
    <s v="CL014"/>
    <x v="1"/>
    <x v="1"/>
    <d v="1899-12-30T09:30:00"/>
    <d v="1899-12-30T09:30:00"/>
    <d v="1899-12-30T09:34:00"/>
    <n v="45"/>
    <n v="120"/>
    <s v="Yes"/>
    <n v="2"/>
    <s v="Follow-up visit"/>
    <s v="appointment_export_2026_04.csv"/>
    <n v="0"/>
    <n v="0"/>
    <x v="1"/>
    <s v="Midland"/>
    <s v="Daniel Wong"/>
    <s v="Urban"/>
    <s v="Mon-Fri 08:00-17:30"/>
    <x v="2"/>
    <n v="14"/>
    <n v="120"/>
    <s v="Behavioural health"/>
    <s v="Mental Health Clinician"/>
    <s v="Matched"/>
    <n v="43"/>
    <n v="0"/>
    <n v="4"/>
    <n v="1"/>
    <n v="1"/>
    <n v="0"/>
    <n v="1"/>
    <n v="0"/>
    <s v="Matches Standard"/>
    <x v="4"/>
    <n v="2026"/>
    <n v="4"/>
    <s v="Apr"/>
  </r>
  <r>
    <s v="APT-202604-0120"/>
    <d v="2026-04-03T00:00:00"/>
    <d v="2026-03-20T00:00:00"/>
    <s v="P0151"/>
    <s v="WLG"/>
    <s v="DIA"/>
    <s v="CL037"/>
    <x v="1"/>
    <x v="1"/>
    <d v="1899-12-30T09:00:00"/>
    <d v="1899-12-30T08:57:00"/>
    <d v="1899-12-30T09:27:00"/>
    <n v="30"/>
    <n v="80"/>
    <s v="No"/>
    <n v="5"/>
    <s v="Routine review"/>
    <s v="appointment_export_2026_04.csv"/>
    <n v="0"/>
    <n v="0"/>
    <x v="0"/>
    <s v="Central"/>
    <s v="Sophie Martin"/>
    <s v="Urban"/>
    <s v="Mon-Sat 08:00-18:00"/>
    <x v="3"/>
    <n v="10"/>
    <n v="80"/>
    <s v="Long-term conditions"/>
    <s v="Diabetes Nurse"/>
    <s v="Matched"/>
    <n v="14"/>
    <n v="0"/>
    <n v="30"/>
    <n v="1"/>
    <n v="1"/>
    <n v="0"/>
    <n v="1"/>
    <n v="0"/>
    <s v="Matches Standard"/>
    <x v="4"/>
    <n v="2026"/>
    <n v="4"/>
    <s v="Apr"/>
  </r>
  <r>
    <s v="APT-202604-0121"/>
    <d v="2026-04-22T00:00:00"/>
    <d v="2026-03-22T00:00:00"/>
    <s v="P0159"/>
    <s v="HAM"/>
    <s v="CAR"/>
    <s v="CL020"/>
    <x v="1"/>
    <x v="2"/>
    <d v="1899-12-30T10:00:00"/>
    <d v="1899-12-30T10:09:00"/>
    <d v="1899-12-30T10:04:00"/>
    <n v="60"/>
    <n v="150"/>
    <s v="No"/>
    <n v="3"/>
    <s v="Follow-up visit"/>
    <s v="appointment_export_2026_04.csv"/>
    <n v="0"/>
    <n v="0"/>
    <x v="1"/>
    <s v="Midland"/>
    <s v="Daniel Wong"/>
    <s v="Urban"/>
    <s v="Mon-Fri 08:00-17:30"/>
    <x v="4"/>
    <n v="28"/>
    <n v="150"/>
    <s v="Specialist outpatient"/>
    <s v="Cardiology Clinician"/>
    <s v="Matched"/>
    <n v="31"/>
    <n v="0"/>
    <m/>
    <m/>
    <n v="1"/>
    <n v="0"/>
    <n v="1"/>
    <n v="0"/>
    <s v="Matches Standard"/>
    <x v="4"/>
    <n v="2026"/>
    <n v="4"/>
    <s v="Apr"/>
  </r>
  <r>
    <s v="APT-202604-0122"/>
    <d v="2026-04-19T00:00:00"/>
    <d v="2026-03-07T00:00:00"/>
    <s v="P0115"/>
    <s v="HAM"/>
    <s v="PHY"/>
    <s v="CL016"/>
    <x v="0"/>
    <x v="1"/>
    <d v="1899-12-30T10:00:00"/>
    <m/>
    <m/>
    <n v="0"/>
    <n v="95"/>
    <s v="No"/>
    <m/>
    <s v="Routine review"/>
    <s v="appointment_export_2026_04.csv"/>
    <n v="0"/>
    <n v="0"/>
    <x v="1"/>
    <s v="Midland"/>
    <s v="Daniel Wong"/>
    <s v="Urban"/>
    <s v="Mon-Fri 08:00-17:30"/>
    <x v="0"/>
    <n v="21"/>
    <n v="95"/>
    <s v="Rehabilitation"/>
    <s v="Physiotherapist"/>
    <s v="Matched"/>
    <n v="43"/>
    <n v="0"/>
    <m/>
    <m/>
    <n v="0"/>
    <m/>
    <n v="1"/>
    <n v="0"/>
    <s v="Matches Standard"/>
    <x v="4"/>
    <n v="2026"/>
    <n v="4"/>
    <s v="Apr"/>
  </r>
  <r>
    <s v="APT-202604-0123"/>
    <d v="2026-04-21T00:00:00"/>
    <d v="2026-03-20T00:00:00"/>
    <s v="P0021"/>
    <s v="HAM"/>
    <s v="DIA"/>
    <s v="CL018"/>
    <x v="1"/>
    <x v="1"/>
    <d v="1899-12-30T10:00:00"/>
    <d v="1899-12-30T09:59:00"/>
    <d v="1899-12-30T10:11:00"/>
    <n v="20"/>
    <n v="80"/>
    <s v="No"/>
    <n v="4"/>
    <s v="Follow-up visit"/>
    <s v="appointment_export_2026_04.csv"/>
    <n v="0"/>
    <n v="0"/>
    <x v="1"/>
    <s v="Midland"/>
    <s v="Daniel Wong"/>
    <s v="Urban"/>
    <s v="Mon-Fri 08:00-17:30"/>
    <x v="3"/>
    <n v="10"/>
    <n v="80"/>
    <s v="Long-term conditions"/>
    <s v="Diabetes Nurse"/>
    <s v="Matched"/>
    <n v="32"/>
    <n v="0"/>
    <n v="12"/>
    <n v="1"/>
    <n v="1"/>
    <n v="0"/>
    <n v="1"/>
    <n v="0"/>
    <s v="Matches Standard"/>
    <x v="4"/>
    <n v="2026"/>
    <n v="4"/>
    <s v="Apr"/>
  </r>
  <r>
    <s v="APT-202604-0124"/>
    <d v="2026-04-18T00:00:00"/>
    <d v="2026-02-27T00:00:00"/>
    <s v="P0219"/>
    <s v="HAM"/>
    <s v="MHS"/>
    <s v="CL013"/>
    <x v="2"/>
    <x v="3"/>
    <d v="1899-12-30T11:00:00"/>
    <d v="1899-12-30T10:57:00"/>
    <d v="1899-12-30T11:06:00"/>
    <n v="45"/>
    <n v="120"/>
    <s v="No"/>
    <n v="5"/>
    <s v="New referral"/>
    <s v="appointment_export_2026_04.csv"/>
    <n v="0"/>
    <n v="0"/>
    <x v="1"/>
    <s v="Midland"/>
    <s v="Daniel Wong"/>
    <s v="Urban"/>
    <s v="Mon-Fri 08:00-17:30"/>
    <x v="2"/>
    <n v="14"/>
    <n v="120"/>
    <s v="Behavioural health"/>
    <s v="Mental Health Clinician"/>
    <s v="Matched"/>
    <n v="50"/>
    <n v="0"/>
    <m/>
    <m/>
    <n v="1"/>
    <n v="1"/>
    <n v="1"/>
    <n v="0"/>
    <s v="Matches Standard"/>
    <x v="4"/>
    <n v="2026"/>
    <n v="4"/>
    <s v="Apr"/>
  </r>
  <r>
    <s v="APT-202604-0125"/>
    <d v="2026-04-30T00:00:00"/>
    <d v="2026-04-14T00:00:00"/>
    <s v="P0128"/>
    <s v="WLG"/>
    <s v="CAR"/>
    <s v="CL039"/>
    <x v="1"/>
    <x v="1"/>
    <d v="1899-12-30T13:30:00"/>
    <d v="1899-12-30T13:20:00"/>
    <d v="1899-12-30T13:49:00"/>
    <n v="30"/>
    <n v="150"/>
    <s v="No"/>
    <n v="5"/>
    <s v="Care plan review"/>
    <s v="appointment_export_2026_04.csv"/>
    <n v="0"/>
    <n v="0"/>
    <x v="0"/>
    <s v="Central"/>
    <s v="Sophie Martin"/>
    <s v="Urban"/>
    <s v="Mon-Sat 08:00-18:00"/>
    <x v="4"/>
    <n v="28"/>
    <n v="150"/>
    <s v="Specialist outpatient"/>
    <s v="Cardiology Clinician"/>
    <s v="Matched"/>
    <n v="16"/>
    <n v="1"/>
    <n v="29"/>
    <n v="1"/>
    <n v="1"/>
    <n v="0"/>
    <n v="1"/>
    <n v="0"/>
    <s v="Matches Standard"/>
    <x v="4"/>
    <n v="2026"/>
    <n v="4"/>
    <s v="Apr"/>
  </r>
  <r>
    <s v="APT-202604-0126"/>
    <d v="2026-04-20T00:00:00"/>
    <d v="2026-03-28T00:00:00"/>
    <s v="P0229"/>
    <s v="HAM"/>
    <s v="CAR"/>
    <s v="CL019"/>
    <x v="1"/>
    <x v="3"/>
    <d v="1899-12-30T12:30:00"/>
    <d v="1899-12-30T12:32:00"/>
    <d v="1899-12-30T12:37:00"/>
    <n v="20"/>
    <n v="150"/>
    <s v="No"/>
    <n v="3"/>
    <s v="Follow-up visit"/>
    <s v="appointment_export_2026_04.csv"/>
    <n v="0"/>
    <n v="0"/>
    <x v="1"/>
    <s v="Midland"/>
    <s v="Daniel Wong"/>
    <s v="Urban"/>
    <s v="Mon-Fri 08:00-17:30"/>
    <x v="4"/>
    <n v="28"/>
    <n v="150"/>
    <s v="Specialist outpatient"/>
    <s v="Cardiology Clinician"/>
    <s v="Matched"/>
    <n v="23"/>
    <n v="1"/>
    <n v="5"/>
    <n v="1"/>
    <n v="1"/>
    <n v="0"/>
    <n v="1"/>
    <n v="0"/>
    <s v="Matches Standard"/>
    <x v="4"/>
    <n v="2026"/>
    <n v="4"/>
    <s v="Apr"/>
  </r>
  <r>
    <s v="APT-202604-0127"/>
    <d v="2026-04-08T00:00:00"/>
    <d v="2026-02-16T00:00:00"/>
    <s v="P0073"/>
    <s v="PMR"/>
    <s v="DIA"/>
    <s v="CL027"/>
    <x v="1"/>
    <x v="1"/>
    <d v="1899-12-30T15:00:00"/>
    <d v="1899-12-30T15:17:00"/>
    <d v="1899-12-30T15:24:00"/>
    <n v="30"/>
    <n v="80"/>
    <s v="No"/>
    <m/>
    <s v="Follow-up visit"/>
    <s v="appointment_export_2026_04.csv"/>
    <n v="0"/>
    <n v="0"/>
    <x v="3"/>
    <s v="Central"/>
    <s v="Mereana Thompson"/>
    <s v="Regional"/>
    <s v="Mon-Fri 08:30-17:00"/>
    <x v="3"/>
    <n v="10"/>
    <n v="80"/>
    <s v="Long-term conditions"/>
    <s v="Diabetes Nurse"/>
    <s v="Matched"/>
    <n v="51"/>
    <n v="0"/>
    <n v="7"/>
    <n v="1"/>
    <n v="1"/>
    <n v="0"/>
    <n v="1"/>
    <n v="0"/>
    <s v="Matches Standard"/>
    <x v="4"/>
    <n v="2026"/>
    <n v="4"/>
    <s v="Apr"/>
  </r>
  <r>
    <s v="APT-202604-0128"/>
    <d v="2026-04-21T00:00:00"/>
    <d v="2026-03-11T00:00:00"/>
    <s v="P0182"/>
    <s v="HAM"/>
    <s v="GEN"/>
    <s v="CL012"/>
    <x v="1"/>
    <x v="0"/>
    <d v="1899-12-30T10:00:00"/>
    <d v="1899-12-30T10:18:00"/>
    <d v="1899-12-30T10:23:00"/>
    <n v="60"/>
    <n v="65"/>
    <s v="Yes"/>
    <n v="4"/>
    <s v="Follow-up visit"/>
    <s v="appointment_export_2026_04.csv"/>
    <n v="0"/>
    <n v="0"/>
    <x v="1"/>
    <s v="Midland"/>
    <s v="Daniel Wong"/>
    <s v="Urban"/>
    <s v="Mon-Fri 08:00-17:30"/>
    <x v="1"/>
    <n v="7"/>
    <n v="65"/>
    <s v="Primary care"/>
    <s v="Doctor or Nurse Practitioner"/>
    <s v="Matched"/>
    <n v="41"/>
    <n v="0"/>
    <n v="5"/>
    <n v="1"/>
    <n v="1"/>
    <n v="0"/>
    <n v="1"/>
    <n v="0"/>
    <s v="Matches Standard"/>
    <x v="4"/>
    <n v="2026"/>
    <n v="4"/>
    <s v="Apr"/>
  </r>
  <r>
    <s v="APT-202604-0129"/>
    <d v="2026-04-17T00:00:00"/>
    <d v="2026-04-05T00:00:00"/>
    <s v="P0223"/>
    <s v="PMR"/>
    <s v="MHS"/>
    <s v="CL023"/>
    <x v="2"/>
    <x v="2"/>
    <d v="1899-12-30T11:30:00"/>
    <m/>
    <m/>
    <n v="0"/>
    <n v="120"/>
    <s v="No"/>
    <m/>
    <s v="Routine review"/>
    <s v="appointment_export_2026_04.csv"/>
    <n v="0"/>
    <n v="0"/>
    <x v="3"/>
    <s v="Central"/>
    <s v="Mereana Thompson"/>
    <s v="Regional"/>
    <s v="Mon-Fri 08:30-17:00"/>
    <x v="2"/>
    <n v="14"/>
    <n v="120"/>
    <s v="Behavioural health"/>
    <s v="Mental Health Clinician"/>
    <s v="Matched"/>
    <n v="12"/>
    <n v="1"/>
    <m/>
    <m/>
    <n v="1"/>
    <n v="1"/>
    <n v="1"/>
    <n v="0"/>
    <s v="Matches Standard"/>
    <x v="4"/>
    <n v="2026"/>
    <n v="4"/>
    <s v="Apr"/>
  </r>
  <r>
    <s v="APT-202604-0130"/>
    <d v="2026-04-04T00:00:00"/>
    <d v="2026-03-30T00:00:00"/>
    <s v="P0160"/>
    <s v="PMR"/>
    <s v="CAR"/>
    <s v="CL029"/>
    <x v="2"/>
    <x v="0"/>
    <d v="1899-12-30T16:00:00"/>
    <m/>
    <m/>
    <n v="0"/>
    <n v="150"/>
    <s v="Yes"/>
    <m/>
    <s v="Care plan review"/>
    <s v="appointment_export_2026_04.csv"/>
    <n v="0"/>
    <n v="0"/>
    <x v="3"/>
    <s v="Central"/>
    <s v="Mereana Thompson"/>
    <s v="Regional"/>
    <s v="Mon-Fri 08:30-17:00"/>
    <x v="4"/>
    <n v="28"/>
    <n v="150"/>
    <s v="Specialist outpatient"/>
    <s v="Cardiology Clinician"/>
    <s v="Matched"/>
    <n v="5"/>
    <n v="1"/>
    <m/>
    <m/>
    <n v="1"/>
    <n v="1"/>
    <n v="1"/>
    <n v="0"/>
    <s v="Matches Standard"/>
    <x v="4"/>
    <n v="2026"/>
    <n v="4"/>
    <s v="Apr"/>
  </r>
  <r>
    <s v="APT-202604-0131"/>
    <d v="2026-04-08T00:00:00"/>
    <d v="2026-04-02T00:00:00"/>
    <s v="P9999"/>
    <s v="WLG"/>
    <s v="MHS"/>
    <s v="CL033"/>
    <x v="1"/>
    <x v="1"/>
    <d v="1899-12-30T14:00:00"/>
    <d v="1899-12-30T14:15:00"/>
    <d v="1899-12-30T14:35:00"/>
    <n v="45"/>
    <n v="120"/>
    <s v="Yes"/>
    <n v="4"/>
    <s v="Follow-up visit"/>
    <s v="appointment_export_2026_04.csv"/>
    <n v="0"/>
    <n v="0"/>
    <x v="0"/>
    <s v="Central"/>
    <s v="Sophie Martin"/>
    <s v="Urban"/>
    <s v="Mon-Sat 08:00-18:00"/>
    <x v="2"/>
    <n v="14"/>
    <n v="120"/>
    <s v="Behavioural health"/>
    <s v="Mental Health Clinician"/>
    <s v="Matched"/>
    <n v="6"/>
    <n v="1"/>
    <n v="20"/>
    <n v="1"/>
    <n v="1"/>
    <n v="0"/>
    <n v="1"/>
    <n v="0"/>
    <s v="Matches Standard"/>
    <x v="4"/>
    <n v="2026"/>
    <n v="4"/>
    <s v="Apr"/>
  </r>
  <r>
    <s v="APT-202604-0132"/>
    <d v="2026-04-14T00:00:00"/>
    <d v="2026-03-29T00:00:00"/>
    <s v="P0148"/>
    <s v="WLG"/>
    <s v="GEN"/>
    <s v="CL032"/>
    <x v="2"/>
    <x v="3"/>
    <d v="1899-12-30T10:00:00"/>
    <m/>
    <m/>
    <n v="0"/>
    <n v="65"/>
    <s v="No"/>
    <m/>
    <s v="New referral"/>
    <s v="appointment_export_2026_04.csv"/>
    <n v="0"/>
    <n v="0"/>
    <x v="0"/>
    <s v="Central"/>
    <s v="Sophie Martin"/>
    <s v="Urban"/>
    <s v="Mon-Sat 08:00-18:00"/>
    <x v="1"/>
    <n v="7"/>
    <n v="65"/>
    <s v="Primary care"/>
    <s v="Doctor or Nurse Practitioner"/>
    <s v="Matched"/>
    <n v="16"/>
    <n v="0"/>
    <m/>
    <m/>
    <n v="1"/>
    <n v="1"/>
    <n v="1"/>
    <n v="0"/>
    <s v="Matches Standard"/>
    <x v="4"/>
    <n v="2026"/>
    <n v="4"/>
    <s v="Apr"/>
  </r>
  <r>
    <s v="APT-202604-0133"/>
    <d v="2026-04-12T00:00:00"/>
    <d v="2026-02-20T00:00:00"/>
    <s v="P0039"/>
    <s v="WLG"/>
    <s v="DIA"/>
    <s v="CL038"/>
    <x v="3"/>
    <x v="2"/>
    <d v="1899-12-30T14:30:00"/>
    <m/>
    <m/>
    <n v="0"/>
    <n v="80"/>
    <s v="Yes"/>
    <m/>
    <s v="Patient requested appointment"/>
    <s v="appointment_export_2026_04.csv"/>
    <n v="0"/>
    <n v="0"/>
    <x v="0"/>
    <s v="Central"/>
    <s v="Sophie Martin"/>
    <s v="Urban"/>
    <s v="Mon-Sat 08:00-18:00"/>
    <x v="3"/>
    <n v="10"/>
    <n v="80"/>
    <s v="Long-term conditions"/>
    <s v="Diabetes Nurse"/>
    <s v="Matched"/>
    <n v="51"/>
    <n v="0"/>
    <m/>
    <m/>
    <n v="0"/>
    <m/>
    <n v="1"/>
    <n v="0"/>
    <s v="Matches Standard"/>
    <x v="4"/>
    <n v="2026"/>
    <n v="4"/>
    <s v="Apr"/>
  </r>
  <r>
    <s v="APT-202604-0134"/>
    <d v="2026-04-07T00:00:00"/>
    <d v="2026-03-23T00:00:00"/>
    <s v="P0152"/>
    <s v="WLG"/>
    <s v="CAR"/>
    <s v="CL040"/>
    <x v="1"/>
    <x v="2"/>
    <d v="1899-12-30T14:00:00"/>
    <d v="1899-12-30T13:55:00"/>
    <d v="1899-12-30T14:04:00"/>
    <n v="45"/>
    <n v="150"/>
    <s v="No"/>
    <n v="5"/>
    <s v="New referral"/>
    <s v="appointment_export_2026_04.csv"/>
    <n v="0"/>
    <n v="0"/>
    <x v="0"/>
    <s v="Central"/>
    <s v="Sophie Martin"/>
    <s v="Urban"/>
    <s v="Mon-Sat 08:00-18:00"/>
    <x v="4"/>
    <n v="28"/>
    <n v="150"/>
    <s v="Specialist outpatient"/>
    <s v="Cardiology Clinician"/>
    <s v="Matched"/>
    <n v="15"/>
    <n v="1"/>
    <n v="9"/>
    <n v="1"/>
    <n v="1"/>
    <n v="0"/>
    <n v="1"/>
    <n v="0"/>
    <s v="Matches Standard"/>
    <x v="4"/>
    <n v="2026"/>
    <n v="4"/>
    <s v="Apr"/>
  </r>
  <r>
    <s v="APT-202604-0135"/>
    <d v="2026-04-09T00:00:00"/>
    <d v="2026-02-13T00:00:00"/>
    <s v="P0202"/>
    <s v="PMR"/>
    <s v="DIA"/>
    <s v="CL027"/>
    <x v="1"/>
    <x v="1"/>
    <d v="1899-12-30T08:30:00"/>
    <d v="1899-12-30T08:34:00"/>
    <d v="1899-12-30T08:41:00"/>
    <n v="30"/>
    <n v="80"/>
    <s v="No"/>
    <n v="5"/>
    <s v="New referral"/>
    <s v="appointment_export_2026_04.csv"/>
    <n v="0"/>
    <n v="0"/>
    <x v="3"/>
    <s v="Central"/>
    <s v="Mereana Thompson"/>
    <s v="Regional"/>
    <s v="Mon-Fri 08:30-17:00"/>
    <x v="3"/>
    <n v="10"/>
    <n v="80"/>
    <s v="Long-term conditions"/>
    <s v="Diabetes Nurse"/>
    <s v="Matched"/>
    <n v="55"/>
    <n v="0"/>
    <n v="7"/>
    <n v="1"/>
    <n v="1"/>
    <n v="0"/>
    <n v="1"/>
    <n v="0"/>
    <s v="Matches Standard"/>
    <x v="4"/>
    <n v="2026"/>
    <n v="4"/>
    <s v="Apr"/>
  </r>
  <r>
    <s v="APT-202604-0136"/>
    <d v="2026-04-18T00:00:00"/>
    <d v="2026-03-06T00:00:00"/>
    <s v="P0143"/>
    <s v="PMR"/>
    <s v="PHY"/>
    <s v="CL025"/>
    <x v="1"/>
    <x v="3"/>
    <d v="1899-12-30T08:00:00"/>
    <d v="1899-12-30T08:13:00"/>
    <d v="1899-12-30T08:04:00"/>
    <n v="30"/>
    <n v="95"/>
    <s v="No"/>
    <n v="5"/>
    <s v="Follow-up visit"/>
    <s v="appointment_export_2026_04.csv"/>
    <n v="0"/>
    <n v="0"/>
    <x v="3"/>
    <s v="Central"/>
    <s v="Mereana Thompson"/>
    <s v="Regional"/>
    <s v="Mon-Fri 08:30-17:00"/>
    <x v="0"/>
    <n v="21"/>
    <n v="95"/>
    <s v="Rehabilitation"/>
    <s v="Physiotherapist"/>
    <s v="Matched"/>
    <n v="43"/>
    <n v="0"/>
    <m/>
    <m/>
    <n v="1"/>
    <n v="0"/>
    <n v="1"/>
    <n v="0"/>
    <s v="Matches Standard"/>
    <x v="4"/>
    <n v="2026"/>
    <n v="4"/>
    <s v="Apr"/>
  </r>
  <r>
    <s v="APT-202604-0137"/>
    <d v="2026-04-19T00:00:00"/>
    <d v="2026-03-31T00:00:00"/>
    <s v="P0108"/>
    <s v="PMR"/>
    <s v="CAR"/>
    <s v="CL030"/>
    <x v="1"/>
    <x v="0"/>
    <d v="1899-12-30T15:30:00"/>
    <d v="1899-12-30T15:44:00"/>
    <d v="1899-12-30T16:04:00"/>
    <m/>
    <n v="150"/>
    <s v="Yes"/>
    <n v="5"/>
    <s v="Patient requested appointment"/>
    <s v="appointment_export_2026_04.csv"/>
    <n v="0"/>
    <n v="0"/>
    <x v="3"/>
    <s v="Central"/>
    <s v="Mereana Thompson"/>
    <s v="Regional"/>
    <s v="Mon-Fri 08:30-17:00"/>
    <x v="4"/>
    <n v="28"/>
    <n v="150"/>
    <s v="Specialist outpatient"/>
    <s v="Cardiology Clinician"/>
    <s v="Matched"/>
    <n v="19"/>
    <n v="1"/>
    <n v="20"/>
    <n v="1"/>
    <n v="1"/>
    <n v="0"/>
    <n v="1"/>
    <n v="0"/>
    <s v="Matches Standard"/>
    <x v="4"/>
    <n v="2026"/>
    <n v="4"/>
    <s v="Apr"/>
  </r>
  <r>
    <s v="APT-202604-0138"/>
    <d v="2026-04-07T00:00:00"/>
    <d v="2026-03-09T00:00:00"/>
    <s v="P0226"/>
    <s v="PMR"/>
    <s v="MHS"/>
    <s v="CL023"/>
    <x v="1"/>
    <x v="0"/>
    <d v="1899-12-30T12:00:00"/>
    <d v="1899-12-30T11:57:00"/>
    <d v="1899-12-30T12:10:00"/>
    <n v="30"/>
    <n v="120"/>
    <s v="No"/>
    <n v="4"/>
    <s v="Routine review"/>
    <s v="appointment_export_2026_04.csv"/>
    <n v="0"/>
    <n v="0"/>
    <x v="3"/>
    <s v="Central"/>
    <s v="Mereana Thompson"/>
    <s v="Regional"/>
    <s v="Mon-Fri 08:30-17:00"/>
    <x v="2"/>
    <n v="14"/>
    <n v="120"/>
    <s v="Behavioural health"/>
    <s v="Mental Health Clinician"/>
    <s v="Matched"/>
    <n v="29"/>
    <n v="0"/>
    <n v="13"/>
    <n v="1"/>
    <n v="1"/>
    <n v="0"/>
    <n v="1"/>
    <n v="0"/>
    <s v="Matches Standard"/>
    <x v="4"/>
    <n v="2026"/>
    <n v="4"/>
    <s v="Apr"/>
  </r>
  <r>
    <s v="APT-202604-0140"/>
    <d v="2026-04-06T00:00:00"/>
    <d v="2026-03-26T00:00:00"/>
    <s v="P0116"/>
    <s v="AUC"/>
    <s v="DIA"/>
    <s v="CL008"/>
    <x v="1"/>
    <x v="2"/>
    <d v="1899-12-30T16:00:00"/>
    <d v="1899-12-30T15:54:00"/>
    <d v="1899-12-30T16:17:00"/>
    <n v="45"/>
    <n v="80"/>
    <s v="No"/>
    <n v="3"/>
    <s v="Follow-up visit"/>
    <s v="appointment_export_2026_04.csv"/>
    <n v="0"/>
    <n v="0"/>
    <x v="2"/>
    <s v="Northern"/>
    <s v="Aroha Rangi"/>
    <s v="Urban"/>
    <s v="Mon-Fri 08:00-18:00"/>
    <x v="3"/>
    <n v="10"/>
    <n v="80"/>
    <s v="Long-term conditions"/>
    <s v="Diabetes Nurse"/>
    <s v="Matched"/>
    <n v="11"/>
    <n v="0"/>
    <n v="23"/>
    <n v="1"/>
    <n v="1"/>
    <n v="0"/>
    <n v="1"/>
    <n v="0"/>
    <s v="Matches Standard"/>
    <x v="4"/>
    <n v="2026"/>
    <n v="4"/>
    <s v="Apr"/>
  </r>
  <r>
    <s v="APT-202604-0141"/>
    <d v="2026-04-08T00:00:00"/>
    <d v="2026-03-21T00:00:00"/>
    <s v="P0196"/>
    <s v="WLG"/>
    <s v="DIA"/>
    <s v="CL038"/>
    <x v="1"/>
    <x v="2"/>
    <d v="1899-12-30T10:30:00"/>
    <d v="1899-12-30T10:38:00"/>
    <d v="1899-12-30T10:48:00"/>
    <n v="30"/>
    <n v="80"/>
    <s v="No"/>
    <n v="4"/>
    <s v="New referral"/>
    <s v="appointment_export_2026_04.csv"/>
    <n v="0"/>
    <n v="0"/>
    <x v="0"/>
    <s v="Central"/>
    <s v="Sophie Martin"/>
    <s v="Urban"/>
    <s v="Mon-Sat 08:00-18:00"/>
    <x v="3"/>
    <n v="10"/>
    <n v="80"/>
    <s v="Long-term conditions"/>
    <s v="Diabetes Nurse"/>
    <s v="Matched"/>
    <n v="18"/>
    <n v="0"/>
    <n v="10"/>
    <n v="1"/>
    <n v="1"/>
    <n v="0"/>
    <n v="1"/>
    <n v="0"/>
    <s v="Matches Standard"/>
    <x v="4"/>
    <n v="2026"/>
    <n v="4"/>
    <s v="Apr"/>
  </r>
  <r>
    <s v="APT-202604-0142"/>
    <d v="2026-04-29T00:00:00"/>
    <d v="2026-04-13T00:00:00"/>
    <s v="P0096"/>
    <s v="AUC"/>
    <s v="GEN"/>
    <s v="CL002"/>
    <x v="0"/>
    <x v="3"/>
    <d v="1899-12-30T08:00:00"/>
    <m/>
    <m/>
    <n v="0"/>
    <n v="65"/>
    <s v="No"/>
    <m/>
    <s v="New referral"/>
    <s v="appointment_export_2026_04.csv"/>
    <n v="0"/>
    <n v="0"/>
    <x v="2"/>
    <s v="Northern"/>
    <s v="Aroha Rangi"/>
    <s v="Urban"/>
    <s v="Mon-Fri 08:00-18:00"/>
    <x v="1"/>
    <n v="7"/>
    <n v="65"/>
    <s v="Primary care"/>
    <s v="Doctor or Nurse Practitioner"/>
    <s v="Matched"/>
    <n v="16"/>
    <n v="0"/>
    <m/>
    <m/>
    <n v="0"/>
    <m/>
    <n v="1"/>
    <n v="0"/>
    <s v="Matches Standard"/>
    <x v="4"/>
    <n v="2026"/>
    <n v="4"/>
    <s v="Apr"/>
  </r>
  <r>
    <s v="APT-202604-0143"/>
    <d v="2026-04-26T00:00:00"/>
    <d v="2026-03-15T00:00:00"/>
    <s v="P0157"/>
    <s v="HAM"/>
    <s v="CAR"/>
    <s v="CL019"/>
    <x v="0"/>
    <x v="1"/>
    <d v="1899-12-30T12:30:00"/>
    <m/>
    <m/>
    <n v="0"/>
    <n v="150"/>
    <s v="Yes"/>
    <m/>
    <s v="Patient requested appointment"/>
    <s v="appointment_export_2026_04.csv"/>
    <n v="0"/>
    <n v="0"/>
    <x v="1"/>
    <s v="Midland"/>
    <s v="Daniel Wong"/>
    <s v="Urban"/>
    <s v="Mon-Fri 08:00-17:30"/>
    <x v="4"/>
    <n v="28"/>
    <n v="150"/>
    <s v="Specialist outpatient"/>
    <s v="Cardiology Clinician"/>
    <s v="Matched"/>
    <n v="42"/>
    <n v="0"/>
    <m/>
    <m/>
    <n v="0"/>
    <m/>
    <n v="1"/>
    <n v="0"/>
    <s v="Matches Standard"/>
    <x v="4"/>
    <n v="2026"/>
    <n v="4"/>
    <s v="Apr"/>
  </r>
  <r>
    <s v="APT-202604-0144"/>
    <d v="2026-04-07T00:00:00"/>
    <d v="2026-03-20T00:00:00"/>
    <s v="P0096"/>
    <s v="PMR"/>
    <s v="GEN"/>
    <s v="CL022"/>
    <x v="1"/>
    <x v="2"/>
    <d v="1899-12-30T10:00:00"/>
    <d v="1899-12-30T10:05:00"/>
    <d v="1899-12-30T10:06:00"/>
    <n v="20"/>
    <n v="65"/>
    <s v="No"/>
    <n v="5"/>
    <s v="Care plan review"/>
    <s v="appointment_export_2026_04.csv"/>
    <n v="0"/>
    <n v="0"/>
    <x v="3"/>
    <s v="Central"/>
    <s v="Mereana Thompson"/>
    <s v="Regional"/>
    <s v="Mon-Fri 08:30-17:00"/>
    <x v="1"/>
    <n v="7"/>
    <n v="65"/>
    <s v="Primary care"/>
    <s v="Doctor or Nurse Practitioner"/>
    <s v="Matched"/>
    <n v="18"/>
    <n v="0"/>
    <n v="1"/>
    <n v="1"/>
    <n v="1"/>
    <n v="0"/>
    <n v="1"/>
    <n v="0"/>
    <s v="Matches Standard"/>
    <x v="4"/>
    <n v="2026"/>
    <n v="4"/>
    <s v="Apr"/>
  </r>
  <r>
    <s v="APT-202604-0145"/>
    <d v="2026-04-28T00:00:00"/>
    <d v="2026-03-10T00:00:00"/>
    <s v="P0031"/>
    <s v="PMR"/>
    <s v="CAR"/>
    <s v="CL030"/>
    <x v="1"/>
    <x v="1"/>
    <d v="1899-12-30T08:30:00"/>
    <d v="1899-12-30T08:37:00"/>
    <d v="1899-12-30T09:06:00"/>
    <n v="20"/>
    <n v="150"/>
    <s v="No"/>
    <n v="5"/>
    <s v="Patient requested appointment"/>
    <s v="appointment_export_2026_04.csv"/>
    <n v="0"/>
    <n v="0"/>
    <x v="3"/>
    <s v="Central"/>
    <s v="Mereana Thompson"/>
    <s v="Regional"/>
    <s v="Mon-Fri 08:30-17:00"/>
    <x v="4"/>
    <n v="28"/>
    <n v="150"/>
    <s v="Specialist outpatient"/>
    <s v="Cardiology Clinician"/>
    <s v="Matched"/>
    <n v="49"/>
    <n v="0"/>
    <n v="29"/>
    <n v="1"/>
    <n v="1"/>
    <n v="0"/>
    <n v="1"/>
    <n v="0"/>
    <s v="Matches Standard"/>
    <x v="4"/>
    <n v="2026"/>
    <n v="4"/>
    <s v="Apr"/>
  </r>
  <r>
    <s v="APT-202604-0146"/>
    <d v="2026-04-04T00:00:00"/>
    <d v="2026-02-14T00:00:00"/>
    <s v="P0037"/>
    <s v="PMR"/>
    <s v="DIA"/>
    <s v="CL028"/>
    <x v="1"/>
    <x v="1"/>
    <d v="1899-12-30T14:00:00"/>
    <d v="1899-12-30T14:13:00"/>
    <d v="1899-12-30T14:09:00"/>
    <n v="30"/>
    <n v="80"/>
    <s v="No"/>
    <n v="5"/>
    <s v="Care plan review"/>
    <s v="appointment_export_2026_04.csv"/>
    <n v="0"/>
    <n v="0"/>
    <x v="3"/>
    <s v="Central"/>
    <s v="Mereana Thompson"/>
    <s v="Regional"/>
    <s v="Mon-Fri 08:30-17:00"/>
    <x v="3"/>
    <n v="10"/>
    <n v="80"/>
    <s v="Long-term conditions"/>
    <s v="Diabetes Nurse"/>
    <s v="Matched"/>
    <n v="49"/>
    <n v="0"/>
    <m/>
    <m/>
    <n v="1"/>
    <n v="0"/>
    <n v="1"/>
    <n v="0"/>
    <s v="Matches Standard"/>
    <x v="4"/>
    <n v="2026"/>
    <n v="4"/>
    <s v="Apr"/>
  </r>
  <r>
    <s v="APT-202604-0147"/>
    <d v="2026-04-03T00:00:00"/>
    <d v="2026-03-10T00:00:00"/>
    <s v="P0222"/>
    <s v="WLG"/>
    <s v="CAR"/>
    <s v="CL040"/>
    <x v="0"/>
    <x v="1"/>
    <d v="1899-12-30T13:00:00"/>
    <m/>
    <m/>
    <n v="0"/>
    <n v="150"/>
    <s v="No"/>
    <m/>
    <s v="Care plan review"/>
    <s v="appointment_export_2026_04.csv"/>
    <n v="0"/>
    <n v="0"/>
    <x v="0"/>
    <s v="Central"/>
    <s v="Sophie Martin"/>
    <s v="Urban"/>
    <s v="Mon-Sat 08:00-18:00"/>
    <x v="4"/>
    <n v="28"/>
    <n v="150"/>
    <s v="Specialist outpatient"/>
    <s v="Cardiology Clinician"/>
    <s v="Matched"/>
    <n v="24"/>
    <n v="1"/>
    <m/>
    <m/>
    <n v="0"/>
    <m/>
    <n v="1"/>
    <n v="0"/>
    <s v="Matches Standard"/>
    <x v="4"/>
    <n v="2026"/>
    <n v="4"/>
    <s v="Apr"/>
  </r>
  <r>
    <s v="APT-202604-0148"/>
    <d v="2026-04-21T00:00:00"/>
    <d v="2026-04-16T00:00:00"/>
    <s v="P0035"/>
    <s v="WLG"/>
    <s v="PHY"/>
    <s v="CL036"/>
    <x v="1"/>
    <x v="1"/>
    <d v="1899-12-30T14:00:00"/>
    <d v="1899-12-30T13:52:00"/>
    <d v="1899-12-30T14:20:00"/>
    <n v="45"/>
    <n v="95"/>
    <s v="No"/>
    <n v="3"/>
    <s v="Care plan review"/>
    <s v="appointment_export_2026_04.csv"/>
    <n v="0"/>
    <n v="0"/>
    <x v="0"/>
    <s v="Central"/>
    <s v="Sophie Martin"/>
    <s v="Urban"/>
    <s v="Mon-Sat 08:00-18:00"/>
    <x v="0"/>
    <n v="21"/>
    <n v="95"/>
    <s v="Rehabilitation"/>
    <s v="Physiotherapist"/>
    <s v="Matched"/>
    <n v="5"/>
    <n v="1"/>
    <n v="28"/>
    <n v="1"/>
    <n v="1"/>
    <n v="0"/>
    <n v="1"/>
    <n v="0"/>
    <s v="Matches Standard"/>
    <x v="4"/>
    <n v="2026"/>
    <n v="4"/>
    <s v="Apr"/>
  </r>
  <r>
    <s v="APT-202604-0149"/>
    <d v="2026-04-27T00:00:00"/>
    <d v="2026-03-04T00:00:00"/>
    <s v="P0087"/>
    <s v="HAM"/>
    <s v="CAR"/>
    <s v="CL020"/>
    <x v="1"/>
    <x v="3"/>
    <d v="1899-12-30T08:00:00"/>
    <d v="1899-12-30T08:07:00"/>
    <d v="1899-12-30T08:06:00"/>
    <n v="45"/>
    <m/>
    <s v="Yes"/>
    <n v="3"/>
    <s v="New referral"/>
    <s v="appointment_export_2026_04.csv"/>
    <n v="0"/>
    <n v="0"/>
    <x v="1"/>
    <s v="Midland"/>
    <s v="Daniel Wong"/>
    <s v="Urban"/>
    <s v="Mon-Fri 08:00-17:30"/>
    <x v="4"/>
    <n v="28"/>
    <n v="150"/>
    <s v="Specialist outpatient"/>
    <s v="Cardiology Clinician"/>
    <s v="Matched"/>
    <n v="54"/>
    <n v="0"/>
    <m/>
    <m/>
    <n v="1"/>
    <n v="0"/>
    <n v="0"/>
    <m/>
    <s v="Missing Actual Fee"/>
    <x v="4"/>
    <n v="2026"/>
    <n v="4"/>
    <s v="Apr"/>
  </r>
  <r>
    <s v="APT-202604-0150"/>
    <d v="2026-04-26T00:00:00"/>
    <d v="2026-03-31T00:00:00"/>
    <s v="P0098"/>
    <s v="WLG"/>
    <s v="MHS"/>
    <s v="CL033"/>
    <x v="2"/>
    <x v="1"/>
    <d v="1899-12-30T12:30:00"/>
    <m/>
    <m/>
    <n v="0"/>
    <n v="120"/>
    <s v="Yes"/>
    <m/>
    <s v="Patient requested appointment"/>
    <s v="appointment_export_2026_04.csv"/>
    <n v="0"/>
    <n v="0"/>
    <x v="0"/>
    <s v="Central"/>
    <s v="Sophie Martin"/>
    <s v="Urban"/>
    <s v="Mon-Sat 08:00-18:00"/>
    <x v="2"/>
    <n v="14"/>
    <n v="120"/>
    <s v="Behavioural health"/>
    <s v="Mental Health Clinician"/>
    <s v="Matched"/>
    <n v="26"/>
    <n v="0"/>
    <m/>
    <m/>
    <n v="1"/>
    <n v="1"/>
    <n v="1"/>
    <n v="0"/>
    <s v="Matches Standard"/>
    <x v="4"/>
    <n v="2026"/>
    <n v="4"/>
    <s v="Apr"/>
  </r>
  <r>
    <s v="APT-202604-0151"/>
    <d v="2026-04-16T00:00:00"/>
    <d v="2026-02-28T00:00:00"/>
    <s v="P0040"/>
    <s v="HAM"/>
    <s v="CAR"/>
    <s v="CL020"/>
    <x v="1"/>
    <x v="3"/>
    <d v="1899-12-30T13:30:00"/>
    <d v="1899-12-30T13:39:00"/>
    <d v="1899-12-30T14:08:00"/>
    <n v="20"/>
    <n v="150"/>
    <s v="Yes"/>
    <n v="5"/>
    <s v="Routine review"/>
    <s v="appointment_export_2026_04.csv"/>
    <n v="0"/>
    <n v="0"/>
    <x v="1"/>
    <s v="Midland"/>
    <s v="Daniel Wong"/>
    <s v="Urban"/>
    <s v="Mon-Fri 08:00-17:30"/>
    <x v="4"/>
    <n v="28"/>
    <n v="150"/>
    <s v="Specialist outpatient"/>
    <s v="Cardiology Clinician"/>
    <s v="Matched"/>
    <n v="47"/>
    <n v="0"/>
    <n v="29"/>
    <n v="1"/>
    <n v="1"/>
    <n v="0"/>
    <n v="1"/>
    <n v="0"/>
    <s v="Matches Standard"/>
    <x v="4"/>
    <n v="2026"/>
    <n v="4"/>
    <s v="Apr"/>
  </r>
  <r>
    <s v="APT-202604-0152"/>
    <d v="2026-04-28T00:00:00"/>
    <d v="2026-03-04T00:00:00"/>
    <s v="P0200"/>
    <s v="PMR"/>
    <s v="CAR"/>
    <s v="CL030"/>
    <x v="3"/>
    <x v="1"/>
    <d v="1899-12-30T10:00:00"/>
    <m/>
    <m/>
    <n v="0"/>
    <n v="150"/>
    <s v="No"/>
    <m/>
    <s v="Routine review"/>
    <s v="appointment_export_2026_04.csv"/>
    <n v="0"/>
    <n v="0"/>
    <x v="3"/>
    <s v="Central"/>
    <s v="Mereana Thompson"/>
    <s v="Regional"/>
    <s v="Mon-Fri 08:30-17:00"/>
    <x v="4"/>
    <n v="28"/>
    <n v="150"/>
    <s v="Specialist outpatient"/>
    <s v="Cardiology Clinician"/>
    <s v="Matched"/>
    <n v="55"/>
    <n v="0"/>
    <m/>
    <m/>
    <n v="0"/>
    <m/>
    <n v="1"/>
    <n v="0"/>
    <s v="Matches Standard"/>
    <x v="4"/>
    <n v="2026"/>
    <n v="4"/>
    <s v="Apr"/>
  </r>
  <r>
    <s v="APT-202604-0153"/>
    <d v="2026-04-20T00:00:00"/>
    <d v="2026-02-25T00:00:00"/>
    <s v="P0018"/>
    <s v="WLG"/>
    <s v="PHY"/>
    <s v="CL035"/>
    <x v="1"/>
    <x v="1"/>
    <d v="1899-12-30T14:00:00"/>
    <d v="1899-12-30T14:17:00"/>
    <d v="1899-12-30T14:12:00"/>
    <n v="45"/>
    <n v="95"/>
    <s v="No"/>
    <n v="4"/>
    <s v="Follow-up visit"/>
    <s v="appointment_export_2026_04.csv"/>
    <n v="0"/>
    <n v="0"/>
    <x v="0"/>
    <s v="Central"/>
    <s v="Sophie Martin"/>
    <s v="Urban"/>
    <s v="Mon-Sat 08:00-18:00"/>
    <x v="0"/>
    <n v="21"/>
    <n v="95"/>
    <s v="Rehabilitation"/>
    <s v="Physiotherapist"/>
    <s v="Matched"/>
    <n v="54"/>
    <n v="0"/>
    <m/>
    <m/>
    <n v="1"/>
    <n v="0"/>
    <n v="1"/>
    <n v="0"/>
    <s v="Matches Standard"/>
    <x v="4"/>
    <n v="2026"/>
    <n v="4"/>
    <s v="Apr"/>
  </r>
  <r>
    <s v="APT-202604-0154"/>
    <d v="2026-04-30T00:00:00"/>
    <d v="2026-04-01T00:00:00"/>
    <s v="P0230"/>
    <s v="HAM"/>
    <s v="CAR"/>
    <s v="CL020"/>
    <x v="1"/>
    <x v="3"/>
    <d v="1899-12-30T09:00:00"/>
    <d v="1899-12-30T09:15:00"/>
    <d v="1899-12-30T09:38:00"/>
    <n v="30"/>
    <n v="150"/>
    <s v="Yes"/>
    <n v="5"/>
    <s v="Routine review"/>
    <s v="appointment_export_2026_04.csv"/>
    <n v="0"/>
    <n v="0"/>
    <x v="1"/>
    <s v="Midland"/>
    <s v="Daniel Wong"/>
    <s v="Urban"/>
    <s v="Mon-Fri 08:00-17:30"/>
    <x v="4"/>
    <n v="28"/>
    <n v="150"/>
    <s v="Specialist outpatient"/>
    <s v="Cardiology Clinician"/>
    <s v="Matched"/>
    <n v="29"/>
    <n v="0"/>
    <n v="23"/>
    <n v="1"/>
    <n v="1"/>
    <n v="0"/>
    <n v="1"/>
    <n v="0"/>
    <s v="Matches Standard"/>
    <x v="4"/>
    <n v="2026"/>
    <n v="4"/>
    <s v="Apr"/>
  </r>
  <r>
    <s v="APT-202604-0155"/>
    <d v="2026-04-11T00:00:00"/>
    <d v="2026-03-16T00:00:00"/>
    <s v="P0021"/>
    <s v="HAM"/>
    <s v="PHY"/>
    <s v="CL016"/>
    <x v="2"/>
    <x v="3"/>
    <d v="1899-12-30T12:00:00"/>
    <d v="1899-12-30T11:52:00"/>
    <d v="1899-12-30T12:07:00"/>
    <n v="45"/>
    <n v="95"/>
    <s v="Yes"/>
    <n v="4"/>
    <s v="Follow-up visit"/>
    <s v="appointment_export_2026_04.csv"/>
    <n v="0"/>
    <n v="0"/>
    <x v="1"/>
    <s v="Midland"/>
    <s v="Daniel Wong"/>
    <s v="Urban"/>
    <s v="Mon-Fri 08:00-17:30"/>
    <x v="0"/>
    <n v="21"/>
    <n v="95"/>
    <s v="Rehabilitation"/>
    <s v="Physiotherapist"/>
    <s v="Matched"/>
    <n v="26"/>
    <n v="0"/>
    <m/>
    <m/>
    <n v="1"/>
    <n v="1"/>
    <n v="1"/>
    <n v="0"/>
    <s v="Matches Standard"/>
    <x v="4"/>
    <n v="2026"/>
    <n v="4"/>
    <s v="Apr"/>
  </r>
  <r>
    <s v="APT-202604-0156"/>
    <d v="2026-04-22T00:00:00"/>
    <d v="2026-03-02T00:00:00"/>
    <s v="P0178"/>
    <s v="PMR"/>
    <s v="DIA"/>
    <s v="CL028"/>
    <x v="1"/>
    <x v="2"/>
    <d v="1899-12-30T13:00:00"/>
    <d v="1899-12-30T12:52:00"/>
    <d v="1899-12-30T13:15:00"/>
    <n v="45"/>
    <n v="80"/>
    <s v="Yes"/>
    <n v="5"/>
    <s v="Routine review"/>
    <s v="appointment_export_2026_04.csv"/>
    <n v="0"/>
    <n v="0"/>
    <x v="3"/>
    <s v="Central"/>
    <s v="Mereana Thompson"/>
    <s v="Regional"/>
    <s v="Mon-Fri 08:30-17:00"/>
    <x v="3"/>
    <n v="10"/>
    <n v="80"/>
    <s v="Long-term conditions"/>
    <s v="Diabetes Nurse"/>
    <s v="Matched"/>
    <n v="51"/>
    <n v="0"/>
    <n v="23"/>
    <n v="1"/>
    <n v="1"/>
    <n v="0"/>
    <n v="1"/>
    <n v="0"/>
    <s v="Matches Standard"/>
    <x v="4"/>
    <n v="2026"/>
    <n v="4"/>
    <s v="Apr"/>
  </r>
  <r>
    <s v="APT-202604-0157"/>
    <d v="2026-04-08T00:00:00"/>
    <d v="2026-02-15T00:00:00"/>
    <s v="P0184"/>
    <s v="WLG"/>
    <s v="MHS"/>
    <s v="CL034"/>
    <x v="1"/>
    <x v="2"/>
    <d v="1899-12-30T10:00:00"/>
    <d v="1899-12-30T09:53:00"/>
    <d v="1899-12-30T10:21:00"/>
    <n v="30"/>
    <n v="120"/>
    <s v="No"/>
    <n v="4"/>
    <s v="Patient requested appointment"/>
    <s v="appointment_export_2026_04.csv"/>
    <n v="0"/>
    <n v="0"/>
    <x v="0"/>
    <s v="Central"/>
    <s v="Sophie Martin"/>
    <s v="Urban"/>
    <s v="Mon-Sat 08:00-18:00"/>
    <x v="2"/>
    <n v="14"/>
    <n v="120"/>
    <s v="Behavioural health"/>
    <s v="Mental Health Clinician"/>
    <s v="Matched"/>
    <n v="52"/>
    <n v="0"/>
    <n v="28"/>
    <n v="1"/>
    <n v="1"/>
    <n v="0"/>
    <n v="1"/>
    <n v="0"/>
    <s v="Matches Standard"/>
    <x v="4"/>
    <n v="2026"/>
    <n v="4"/>
    <s v="Apr"/>
  </r>
  <r>
    <s v="APT-202604-0158"/>
    <d v="2026-04-14T00:00:00"/>
    <d v="2026-02-18T00:00:00"/>
    <s v="P0156"/>
    <s v="WLG"/>
    <m/>
    <s v="CL034"/>
    <x v="1"/>
    <x v="0"/>
    <d v="1899-12-30T11:30:00"/>
    <d v="1899-12-30T11:23:00"/>
    <d v="1899-12-30T11:57:00"/>
    <n v="60"/>
    <n v="120"/>
    <s v="No"/>
    <n v="4"/>
    <s v="Routine review"/>
    <s v="appointment_export_2026_04.csv"/>
    <n v="0"/>
    <n v="1"/>
    <x v="0"/>
    <s v="Central"/>
    <s v="Sophie Martin"/>
    <s v="Urban"/>
    <s v="Mon-Sat 08:00-18:00"/>
    <x v="5"/>
    <m/>
    <m/>
    <m/>
    <m/>
    <s v="Missing Service Code"/>
    <n v="55"/>
    <m/>
    <n v="34"/>
    <n v="0"/>
    <n v="1"/>
    <n v="0"/>
    <n v="1"/>
    <m/>
    <s v="Missing Standard Fee"/>
    <x v="4"/>
    <n v="2026"/>
    <n v="4"/>
    <s v="Apr"/>
  </r>
  <r>
    <s v="APT-202604-0159"/>
    <d v="2026-04-07T00:00:00"/>
    <d v="2026-03-13T00:00:00"/>
    <s v="P0201"/>
    <s v="PMR"/>
    <s v="PHY"/>
    <s v="CL025"/>
    <x v="1"/>
    <x v="3"/>
    <d v="1899-12-30T11:00:00"/>
    <d v="1899-12-30T11:12:00"/>
    <d v="1899-12-30T11:27:00"/>
    <n v="30"/>
    <n v="95"/>
    <s v="Yes"/>
    <n v="5"/>
    <s v="Patient requested appointment"/>
    <s v="appointment_export_2026_04.csv"/>
    <n v="0"/>
    <n v="0"/>
    <x v="3"/>
    <s v="Central"/>
    <s v="Mereana Thompson"/>
    <s v="Regional"/>
    <s v="Mon-Fri 08:30-17:00"/>
    <x v="0"/>
    <n v="21"/>
    <n v="95"/>
    <s v="Rehabilitation"/>
    <s v="Physiotherapist"/>
    <s v="Matched"/>
    <n v="25"/>
    <n v="0"/>
    <n v="15"/>
    <n v="1"/>
    <n v="1"/>
    <n v="0"/>
    <n v="1"/>
    <n v="0"/>
    <s v="Matches Standard"/>
    <x v="4"/>
    <n v="2026"/>
    <n v="4"/>
    <s v="Apr"/>
  </r>
  <r>
    <s v="APT-202604-0160"/>
    <d v="2026-04-28T00:00:00"/>
    <d v="2026-04-10T00:00:00"/>
    <s v="P0153"/>
    <s v="WLG"/>
    <s v="CAR"/>
    <s v="CL040"/>
    <x v="0"/>
    <x v="1"/>
    <d v="1899-12-30T11:00:00"/>
    <m/>
    <m/>
    <n v="0"/>
    <n v="150"/>
    <s v="No"/>
    <m/>
    <s v="Routine review"/>
    <s v="appointment_export_2026_04.csv"/>
    <n v="0"/>
    <n v="0"/>
    <x v="0"/>
    <s v="Central"/>
    <s v="Sophie Martin"/>
    <s v="Urban"/>
    <s v="Mon-Sat 08:00-18:00"/>
    <x v="4"/>
    <n v="28"/>
    <n v="150"/>
    <s v="Specialist outpatient"/>
    <s v="Cardiology Clinician"/>
    <s v="Matched"/>
    <n v="18"/>
    <n v="1"/>
    <m/>
    <m/>
    <n v="0"/>
    <m/>
    <n v="1"/>
    <n v="0"/>
    <s v="Matches Standard"/>
    <x v="4"/>
    <n v="2026"/>
    <n v="4"/>
    <s v="Apr"/>
  </r>
  <r>
    <s v="APT-202605-0001"/>
    <d v="2026-05-28T00:00:00"/>
    <d v="2026-04-29T00:00:00"/>
    <s v="P0182"/>
    <s v="HAM"/>
    <s v="PHY"/>
    <s v="CL015"/>
    <x v="0"/>
    <x v="2"/>
    <d v="1899-12-30T14:30:00"/>
    <m/>
    <m/>
    <n v="0"/>
    <n v="95"/>
    <s v="No"/>
    <m/>
    <s v="Care plan review"/>
    <s v="appointment_export_2026_05.csv"/>
    <n v="0"/>
    <n v="0"/>
    <x v="1"/>
    <s v="Midland"/>
    <s v="Daniel Wong"/>
    <s v="Urban"/>
    <s v="Mon-Fri 08:00-17:30"/>
    <x v="0"/>
    <n v="21"/>
    <n v="95"/>
    <s v="Rehabilitation"/>
    <s v="Physiotherapist"/>
    <s v="Matched"/>
    <n v="29"/>
    <n v="0"/>
    <m/>
    <m/>
    <n v="0"/>
    <m/>
    <n v="1"/>
    <n v="0"/>
    <s v="Matches Standard"/>
    <x v="5"/>
    <n v="2026"/>
    <n v="5"/>
    <s v="May"/>
  </r>
  <r>
    <s v="APT-202605-0002"/>
    <d v="2026-05-05T00:00:00"/>
    <d v="2026-03-30T00:00:00"/>
    <s v="P0058"/>
    <s v="PMR"/>
    <s v="PHY"/>
    <s v="CL025"/>
    <x v="1"/>
    <x v="3"/>
    <d v="1899-12-30T14:00:00"/>
    <d v="1899-12-30T13:55:00"/>
    <d v="1899-12-30T14:15:00"/>
    <n v="20"/>
    <n v="95"/>
    <s v="No"/>
    <n v="5"/>
    <s v="Care plan review"/>
    <s v="appointment_export_2026_05.csv"/>
    <n v="0"/>
    <n v="0"/>
    <x v="3"/>
    <s v="Central"/>
    <s v="Mereana Thompson"/>
    <s v="Regional"/>
    <s v="Mon-Fri 08:30-17:00"/>
    <x v="0"/>
    <n v="21"/>
    <n v="95"/>
    <s v="Rehabilitation"/>
    <s v="Physiotherapist"/>
    <s v="Matched"/>
    <n v="36"/>
    <n v="0"/>
    <n v="20"/>
    <n v="1"/>
    <n v="1"/>
    <n v="0"/>
    <n v="1"/>
    <n v="0"/>
    <s v="Matches Standard"/>
    <x v="5"/>
    <n v="2026"/>
    <n v="5"/>
    <s v="May"/>
  </r>
  <r>
    <s v="APT-202605-0003"/>
    <d v="2026-05-12T00:00:00"/>
    <d v="2026-05-08T00:00:00"/>
    <s v="P0140"/>
    <s v="AUC"/>
    <s v="DIA"/>
    <s v="CL007"/>
    <x v="1"/>
    <x v="0"/>
    <d v="1899-12-30T09:30:00"/>
    <d v="1899-12-30T09:22:00"/>
    <d v="1899-12-30T09:52:00"/>
    <n v="60"/>
    <n v="80"/>
    <s v="Yes"/>
    <n v="3"/>
    <s v="Patient requested appointment"/>
    <s v="appointment_export_2026_05.csv"/>
    <n v="0"/>
    <n v="0"/>
    <x v="2"/>
    <s v="Northern"/>
    <s v="Aroha Rangi"/>
    <s v="Urban"/>
    <s v="Mon-Fri 08:00-18:00"/>
    <x v="3"/>
    <n v="10"/>
    <n v="80"/>
    <s v="Long-term conditions"/>
    <s v="Diabetes Nurse"/>
    <s v="Matched"/>
    <n v="4"/>
    <n v="1"/>
    <n v="30"/>
    <n v="1"/>
    <n v="1"/>
    <n v="0"/>
    <n v="1"/>
    <n v="0"/>
    <s v="Matches Standard"/>
    <x v="5"/>
    <n v="2026"/>
    <n v="5"/>
    <s v="May"/>
  </r>
  <r>
    <s v="APT-202605-0004"/>
    <d v="2026-05-02T00:00:00"/>
    <d v="2026-04-03T00:00:00"/>
    <s v="P0100"/>
    <s v="AUC"/>
    <s v="GEN"/>
    <s v="CL001"/>
    <x v="1"/>
    <x v="1"/>
    <d v="1899-12-30T12:00:00"/>
    <d v="1899-12-30T12:01:00"/>
    <d v="1899-12-30T12:06:00"/>
    <n v="30"/>
    <n v="65"/>
    <s v="No"/>
    <n v="2"/>
    <s v="Follow-up visit"/>
    <s v="appointment_export_2026_05.csv"/>
    <n v="0"/>
    <n v="0"/>
    <x v="2"/>
    <s v="Northern"/>
    <s v="Aroha Rangi"/>
    <s v="Urban"/>
    <s v="Mon-Fri 08:00-18:00"/>
    <x v="1"/>
    <n v="7"/>
    <n v="65"/>
    <s v="Primary care"/>
    <s v="Doctor or Nurse Practitioner"/>
    <s v="Matched"/>
    <n v="29"/>
    <n v="0"/>
    <n v="5"/>
    <n v="1"/>
    <n v="1"/>
    <n v="0"/>
    <n v="1"/>
    <n v="0"/>
    <s v="Matches Standard"/>
    <x v="5"/>
    <n v="2026"/>
    <n v="5"/>
    <s v="May"/>
  </r>
  <r>
    <s v="APT-202605-0005"/>
    <d v="2026-05-24T00:00:00"/>
    <d v="2026-05-12T00:00:00"/>
    <s v="P0009"/>
    <s v="PMR"/>
    <s v="GEN"/>
    <s v="CL022"/>
    <x v="1"/>
    <x v="0"/>
    <d v="1899-12-30T10:00:00"/>
    <d v="1899-12-30T09:58:00"/>
    <d v="1899-12-30T10:09:00"/>
    <n v="45"/>
    <n v="65"/>
    <s v="Yes"/>
    <n v="4"/>
    <s v="Routine review"/>
    <s v="appointment_export_2026_05.csv"/>
    <n v="0"/>
    <n v="0"/>
    <x v="3"/>
    <s v="Central"/>
    <s v="Mereana Thompson"/>
    <s v="Regional"/>
    <s v="Mon-Fri 08:30-17:00"/>
    <x v="1"/>
    <n v="7"/>
    <n v="65"/>
    <s v="Primary care"/>
    <s v="Doctor or Nurse Practitioner"/>
    <s v="Matched"/>
    <n v="12"/>
    <n v="0"/>
    <n v="11"/>
    <n v="1"/>
    <n v="1"/>
    <n v="0"/>
    <n v="1"/>
    <n v="0"/>
    <s v="Matches Standard"/>
    <x v="5"/>
    <n v="2026"/>
    <n v="5"/>
    <s v="May"/>
  </r>
  <r>
    <s v="APT-202605-0006"/>
    <d v="2026-05-13T00:00:00"/>
    <d v="2026-05-12T00:00:00"/>
    <s v="P0224"/>
    <s v="PMR"/>
    <s v="MHS"/>
    <s v="CL023"/>
    <x v="2"/>
    <x v="0"/>
    <d v="1899-12-30T16:00:00"/>
    <m/>
    <m/>
    <n v="0"/>
    <n v="120"/>
    <s v="No"/>
    <m/>
    <s v="Routine review"/>
    <s v="appointment_export_2026_05.csv"/>
    <n v="0"/>
    <n v="0"/>
    <x v="3"/>
    <s v="Central"/>
    <s v="Mereana Thompson"/>
    <s v="Regional"/>
    <s v="Mon-Fri 08:30-17:00"/>
    <x v="2"/>
    <n v="14"/>
    <n v="120"/>
    <s v="Behavioural health"/>
    <s v="Mental Health Clinician"/>
    <s v="Matched"/>
    <n v="1"/>
    <n v="1"/>
    <m/>
    <m/>
    <n v="1"/>
    <n v="1"/>
    <n v="1"/>
    <n v="0"/>
    <s v="Matches Standard"/>
    <x v="5"/>
    <n v="2026"/>
    <n v="5"/>
    <s v="May"/>
  </r>
  <r>
    <s v="APT-202605-0007"/>
    <d v="2026-05-02T00:00:00"/>
    <d v="2026-03-25T00:00:00"/>
    <s v="P0025"/>
    <s v="PMR"/>
    <s v="CAR"/>
    <s v="CL029"/>
    <x v="1"/>
    <x v="3"/>
    <d v="1899-12-30T13:30:00"/>
    <d v="1899-12-30T13:32:00"/>
    <d v="1899-12-30T13:35:00"/>
    <n v="30"/>
    <n v="150"/>
    <s v="No"/>
    <n v="2"/>
    <s v="Routine review"/>
    <s v="appointment_export_2026_05.csv"/>
    <n v="0"/>
    <n v="0"/>
    <x v="3"/>
    <s v="Central"/>
    <s v="Mereana Thompson"/>
    <s v="Regional"/>
    <s v="Mon-Fri 08:30-17:00"/>
    <x v="4"/>
    <n v="28"/>
    <n v="150"/>
    <s v="Specialist outpatient"/>
    <s v="Cardiology Clinician"/>
    <s v="Matched"/>
    <n v="38"/>
    <n v="0"/>
    <n v="3"/>
    <n v="1"/>
    <n v="1"/>
    <n v="0"/>
    <n v="1"/>
    <n v="0"/>
    <s v="Matches Standard"/>
    <x v="5"/>
    <n v="2026"/>
    <n v="5"/>
    <s v="May"/>
  </r>
  <r>
    <s v="APT-202605-0008"/>
    <d v="2026-05-15T00:00:00"/>
    <d v="2026-04-02T00:00:00"/>
    <s v="P0156"/>
    <s v="WLG"/>
    <s v="MHS"/>
    <s v="CL034"/>
    <x v="1"/>
    <x v="3"/>
    <d v="1899-12-30T14:00:00"/>
    <d v="1899-12-30T13:51:00"/>
    <d v="1899-12-30T14:40:00"/>
    <n v="45"/>
    <n v="120"/>
    <s v="Yes"/>
    <n v="3"/>
    <s v="New referral"/>
    <s v="appointment_export_2026_05.csv"/>
    <n v="0"/>
    <n v="0"/>
    <x v="0"/>
    <s v="Central"/>
    <s v="Sophie Martin"/>
    <s v="Urban"/>
    <s v="Mon-Sat 08:00-18:00"/>
    <x v="2"/>
    <n v="14"/>
    <n v="120"/>
    <s v="Behavioural health"/>
    <s v="Mental Health Clinician"/>
    <s v="Matched"/>
    <n v="43"/>
    <n v="0"/>
    <n v="49"/>
    <n v="0"/>
    <n v="1"/>
    <n v="0"/>
    <n v="1"/>
    <n v="0"/>
    <s v="Matches Standard"/>
    <x v="5"/>
    <n v="2026"/>
    <n v="5"/>
    <s v="May"/>
  </r>
  <r>
    <s v="APT-202605-0009"/>
    <d v="2026-05-16T00:00:00"/>
    <d v="2026-05-13T00:00:00"/>
    <s v="P0155"/>
    <s v="WLG"/>
    <s v="DIA"/>
    <s v="CL037"/>
    <x v="0"/>
    <x v="0"/>
    <d v="1899-12-30T15:00:00"/>
    <m/>
    <m/>
    <n v="0"/>
    <n v="80"/>
    <s v="No"/>
    <m/>
    <s v="Patient requested appointment"/>
    <s v="appointment_export_2026_05.csv"/>
    <n v="0"/>
    <n v="0"/>
    <x v="0"/>
    <s v="Central"/>
    <s v="Sophie Martin"/>
    <s v="Urban"/>
    <s v="Mon-Sat 08:00-18:00"/>
    <x v="3"/>
    <n v="10"/>
    <n v="80"/>
    <s v="Long-term conditions"/>
    <s v="Diabetes Nurse"/>
    <s v="Matched"/>
    <n v="3"/>
    <n v="1"/>
    <m/>
    <m/>
    <n v="0"/>
    <m/>
    <n v="1"/>
    <n v="0"/>
    <s v="Matches Standard"/>
    <x v="5"/>
    <n v="2026"/>
    <n v="5"/>
    <s v="May"/>
  </r>
  <r>
    <s v="APT-202605-0010"/>
    <d v="2026-05-23T00:00:00"/>
    <d v="2026-04-02T00:00:00"/>
    <s v="P0009"/>
    <s v="WLG"/>
    <s v="PHY"/>
    <s v="CL036"/>
    <x v="1"/>
    <x v="3"/>
    <d v="1899-12-30T16:00:00"/>
    <d v="1899-12-30T16:18:00"/>
    <d v="1899-12-30T16:11:00"/>
    <n v="30"/>
    <n v="95"/>
    <s v="Yes"/>
    <n v="5"/>
    <s v="New referral"/>
    <s v="appointment_export_2026_05.csv"/>
    <n v="0"/>
    <n v="0"/>
    <x v="0"/>
    <s v="Central"/>
    <s v="Sophie Martin"/>
    <s v="Urban"/>
    <s v="Mon-Sat 08:00-18:00"/>
    <x v="0"/>
    <n v="21"/>
    <n v="95"/>
    <s v="Rehabilitation"/>
    <s v="Physiotherapist"/>
    <s v="Matched"/>
    <n v="51"/>
    <n v="0"/>
    <m/>
    <m/>
    <n v="1"/>
    <n v="0"/>
    <n v="1"/>
    <n v="0"/>
    <s v="Matches Standard"/>
    <x v="5"/>
    <n v="2026"/>
    <n v="5"/>
    <s v="May"/>
  </r>
  <r>
    <s v="APT-202605-0011"/>
    <d v="2026-05-03T00:00:00"/>
    <d v="2026-04-24T00:00:00"/>
    <s v="P0095"/>
    <s v="PMR"/>
    <s v="GEN"/>
    <s v="CL021"/>
    <x v="1"/>
    <x v="1"/>
    <d v="1899-12-30T14:30:00"/>
    <d v="1899-12-30T14:45:00"/>
    <d v="1899-12-30T14:40:00"/>
    <n v="60"/>
    <n v="65"/>
    <s v="No"/>
    <n v="5"/>
    <s v="Patient requested appointment"/>
    <s v="appointment_export_2026_05.csv"/>
    <n v="0"/>
    <n v="0"/>
    <x v="3"/>
    <s v="Central"/>
    <s v="Mereana Thompson"/>
    <s v="Regional"/>
    <s v="Mon-Fri 08:30-17:00"/>
    <x v="1"/>
    <n v="7"/>
    <n v="65"/>
    <s v="Primary care"/>
    <s v="Doctor or Nurse Practitioner"/>
    <s v="Matched"/>
    <n v="9"/>
    <n v="0"/>
    <m/>
    <m/>
    <n v="1"/>
    <n v="0"/>
    <n v="1"/>
    <n v="0"/>
    <s v="Matches Standard"/>
    <x v="5"/>
    <n v="2026"/>
    <n v="5"/>
    <s v="May"/>
  </r>
  <r>
    <s v="APT-202605-0012"/>
    <d v="2026-05-24T00:00:00"/>
    <d v="2026-04-19T00:00:00"/>
    <s v="P0181"/>
    <s v="HAM"/>
    <s v="CAR"/>
    <s v="CL019"/>
    <x v="1"/>
    <x v="0"/>
    <d v="1899-12-30T13:30:00"/>
    <d v="1899-12-30T13:20:00"/>
    <d v="1899-12-30T13:59:00"/>
    <n v="60"/>
    <n v="150"/>
    <s v="No"/>
    <n v="5"/>
    <s v="Follow-up visit"/>
    <s v="appointment_export_2026_05.csv"/>
    <n v="0"/>
    <n v="0"/>
    <x v="1"/>
    <s v="Midland"/>
    <s v="Daniel Wong"/>
    <s v="Urban"/>
    <s v="Mon-Fri 08:00-17:30"/>
    <x v="4"/>
    <n v="28"/>
    <n v="150"/>
    <s v="Specialist outpatient"/>
    <s v="Cardiology Clinician"/>
    <s v="Matched"/>
    <n v="35"/>
    <n v="0"/>
    <n v="39"/>
    <n v="0"/>
    <n v="1"/>
    <n v="0"/>
    <n v="1"/>
    <n v="0"/>
    <s v="Matches Standard"/>
    <x v="5"/>
    <n v="2026"/>
    <n v="5"/>
    <s v="May"/>
  </r>
  <r>
    <s v="APT-202605-0013"/>
    <d v="2026-05-15T00:00:00"/>
    <d v="2026-04-03T00:00:00"/>
    <s v="P0209"/>
    <s v="HAM"/>
    <s v="MHS"/>
    <s v="CL014"/>
    <x v="1"/>
    <x v="1"/>
    <d v="1899-12-30T13:30:00"/>
    <d v="1899-12-30T13:45:00"/>
    <d v="1899-12-30T13:38:00"/>
    <n v="20"/>
    <n v="120"/>
    <s v="Yes"/>
    <n v="3"/>
    <s v="New referral"/>
    <s v="appointment_export_2026_05.csv"/>
    <n v="0"/>
    <n v="0"/>
    <x v="1"/>
    <s v="Midland"/>
    <s v="Daniel Wong"/>
    <s v="Urban"/>
    <s v="Mon-Fri 08:00-17:30"/>
    <x v="2"/>
    <n v="14"/>
    <n v="120"/>
    <s v="Behavioural health"/>
    <s v="Mental Health Clinician"/>
    <s v="Matched"/>
    <n v="42"/>
    <n v="0"/>
    <m/>
    <m/>
    <n v="1"/>
    <n v="0"/>
    <n v="1"/>
    <n v="0"/>
    <s v="Matches Standard"/>
    <x v="5"/>
    <n v="2026"/>
    <n v="5"/>
    <s v="May"/>
  </r>
  <r>
    <s v="APT-202605-0014"/>
    <d v="2026-05-14T00:00:00"/>
    <d v="2026-04-20T00:00:00"/>
    <s v="P0082"/>
    <s v="WLG"/>
    <s v="PHY"/>
    <s v="CL035"/>
    <x v="1"/>
    <x v="2"/>
    <d v="1899-12-30T09:00:00"/>
    <d v="1899-12-30T09:15:00"/>
    <d v="1899-12-30T09:28:00"/>
    <n v="30"/>
    <n v="95"/>
    <s v="No"/>
    <n v="5"/>
    <s v="Patient requested appointment"/>
    <s v="appointment_export_2026_05.csv"/>
    <n v="0"/>
    <n v="0"/>
    <x v="0"/>
    <s v="Central"/>
    <s v="Sophie Martin"/>
    <s v="Urban"/>
    <s v="Mon-Sat 08:00-18:00"/>
    <x v="0"/>
    <n v="21"/>
    <n v="95"/>
    <s v="Rehabilitation"/>
    <s v="Physiotherapist"/>
    <s v="Matched"/>
    <n v="24"/>
    <n v="0"/>
    <n v="13"/>
    <n v="1"/>
    <n v="1"/>
    <n v="0"/>
    <n v="1"/>
    <n v="0"/>
    <s v="Matches Standard"/>
    <x v="5"/>
    <n v="2026"/>
    <n v="5"/>
    <s v="May"/>
  </r>
  <r>
    <s v="APT-202605-0015"/>
    <d v="2026-05-27T00:00:00"/>
    <d v="2026-05-19T00:00:00"/>
    <s v="P0065"/>
    <s v="PMR"/>
    <s v="DIA"/>
    <s v="CL028"/>
    <x v="1"/>
    <x v="3"/>
    <d v="1899-12-30T10:00:00"/>
    <d v="1899-12-30T10:02:00"/>
    <d v="1899-12-30T10:01:00"/>
    <n v="30"/>
    <n v="80"/>
    <s v="No"/>
    <n v="4"/>
    <s v="Follow-up visit"/>
    <s v="appointment_export_2026_05.csv"/>
    <n v="0"/>
    <n v="0"/>
    <x v="3"/>
    <s v="Central"/>
    <s v="Mereana Thompson"/>
    <s v="Regional"/>
    <s v="Mon-Fri 08:30-17:00"/>
    <x v="3"/>
    <n v="10"/>
    <n v="80"/>
    <s v="Long-term conditions"/>
    <s v="Diabetes Nurse"/>
    <s v="Matched"/>
    <n v="8"/>
    <n v="1"/>
    <m/>
    <m/>
    <n v="1"/>
    <n v="0"/>
    <n v="1"/>
    <n v="0"/>
    <s v="Matches Standard"/>
    <x v="5"/>
    <n v="2026"/>
    <n v="5"/>
    <s v="May"/>
  </r>
  <r>
    <s v="APT-202605-0016"/>
    <d v="2026-05-30T00:00:00"/>
    <d v="2026-05-22T00:00:00"/>
    <s v="P0003"/>
    <s v="WLG"/>
    <s v="CAR"/>
    <s v="CL040"/>
    <x v="0"/>
    <x v="3"/>
    <d v="1899-12-30T12:00:00"/>
    <m/>
    <m/>
    <n v="0"/>
    <n v="150"/>
    <s v="No"/>
    <m/>
    <s v="New referral"/>
    <s v="appointment_export_2026_05.csv"/>
    <n v="0"/>
    <n v="0"/>
    <x v="0"/>
    <s v="Central"/>
    <s v="Sophie Martin"/>
    <s v="Urban"/>
    <s v="Mon-Sat 08:00-18:00"/>
    <x v="4"/>
    <n v="28"/>
    <n v="150"/>
    <s v="Specialist outpatient"/>
    <s v="Cardiology Clinician"/>
    <s v="Matched"/>
    <n v="8"/>
    <n v="1"/>
    <m/>
    <m/>
    <n v="0"/>
    <m/>
    <n v="1"/>
    <n v="0"/>
    <s v="Matches Standard"/>
    <x v="5"/>
    <n v="2026"/>
    <n v="5"/>
    <s v="May"/>
  </r>
  <r>
    <s v="APT-202605-0017"/>
    <d v="2026-05-25T00:00:00"/>
    <d v="2026-05-11T00:00:00"/>
    <s v="P0022"/>
    <s v="WLG"/>
    <s v="CAR"/>
    <s v="CL039"/>
    <x v="1"/>
    <x v="1"/>
    <d v="1899-12-30T16:00:00"/>
    <d v="1899-12-30T16:07:00"/>
    <d v="1899-12-30T16:23:00"/>
    <n v="45"/>
    <n v="150"/>
    <s v="No"/>
    <n v="4"/>
    <s v="Care plan review"/>
    <s v="appointment_export_2026_05.csv"/>
    <n v="0"/>
    <n v="0"/>
    <x v="0"/>
    <s v="Central"/>
    <s v="Sophie Martin"/>
    <s v="Urban"/>
    <s v="Mon-Sat 08:00-18:00"/>
    <x v="4"/>
    <n v="28"/>
    <n v="150"/>
    <s v="Specialist outpatient"/>
    <s v="Cardiology Clinician"/>
    <s v="Matched"/>
    <n v="14"/>
    <n v="1"/>
    <n v="16"/>
    <n v="1"/>
    <n v="1"/>
    <n v="0"/>
    <n v="1"/>
    <n v="0"/>
    <s v="Matches Standard"/>
    <x v="5"/>
    <n v="2026"/>
    <n v="5"/>
    <s v="May"/>
  </r>
  <r>
    <s v="APT-202605-0018"/>
    <d v="2026-05-27T00:00:00"/>
    <d v="2026-04-27T00:00:00"/>
    <s v="P0224"/>
    <s v="WLG"/>
    <s v="CAR"/>
    <s v="CL040"/>
    <x v="1"/>
    <x v="1"/>
    <d v="1899-12-30T14:30:00"/>
    <d v="1899-12-30T14:45:00"/>
    <d v="1899-12-30T14:48:00"/>
    <n v="45"/>
    <n v="150"/>
    <s v="No"/>
    <n v="5"/>
    <s v="New referral"/>
    <s v="appointment_export_2026_05.csv"/>
    <n v="0"/>
    <n v="0"/>
    <x v="0"/>
    <s v="Central"/>
    <s v="Sophie Martin"/>
    <s v="Urban"/>
    <s v="Mon-Sat 08:00-18:00"/>
    <x v="4"/>
    <n v="28"/>
    <n v="150"/>
    <s v="Specialist outpatient"/>
    <s v="Cardiology Clinician"/>
    <s v="Matched"/>
    <n v="30"/>
    <n v="0"/>
    <n v="3"/>
    <n v="1"/>
    <n v="1"/>
    <n v="0"/>
    <n v="1"/>
    <n v="0"/>
    <s v="Matches Standard"/>
    <x v="5"/>
    <n v="2026"/>
    <n v="5"/>
    <s v="May"/>
  </r>
  <r>
    <s v="APT-202605-0019"/>
    <d v="2026-05-08T00:00:00"/>
    <d v="2026-03-30T00:00:00"/>
    <s v="P0079"/>
    <s v="WLG"/>
    <s v="MHS"/>
    <s v="CL034"/>
    <x v="0"/>
    <x v="2"/>
    <d v="1899-12-30T08:00:00"/>
    <m/>
    <m/>
    <n v="0"/>
    <n v="120"/>
    <s v="No"/>
    <m/>
    <s v="Care plan review"/>
    <s v="appointment_export_2026_05.csv"/>
    <n v="0"/>
    <n v="0"/>
    <x v="0"/>
    <s v="Central"/>
    <s v="Sophie Martin"/>
    <s v="Urban"/>
    <s v="Mon-Sat 08:00-18:00"/>
    <x v="2"/>
    <n v="14"/>
    <n v="120"/>
    <s v="Behavioural health"/>
    <s v="Mental Health Clinician"/>
    <s v="Matched"/>
    <n v="39"/>
    <n v="0"/>
    <m/>
    <m/>
    <n v="0"/>
    <m/>
    <n v="1"/>
    <n v="0"/>
    <s v="Matches Standard"/>
    <x v="5"/>
    <n v="2026"/>
    <n v="5"/>
    <s v="May"/>
  </r>
  <r>
    <s v="APT-202605-0020"/>
    <d v="2026-05-13T00:00:00"/>
    <d v="2026-03-22T00:00:00"/>
    <s v="P0146"/>
    <s v="PMR"/>
    <s v="PHY"/>
    <s v="CL026"/>
    <x v="0"/>
    <x v="1"/>
    <d v="1899-12-30T12:00:00"/>
    <m/>
    <m/>
    <n v="0"/>
    <n v="95"/>
    <s v="Yes"/>
    <m/>
    <s v="Care plan review"/>
    <s v="appointment_export_2026_05.csv"/>
    <n v="0"/>
    <n v="0"/>
    <x v="3"/>
    <s v="Central"/>
    <s v="Mereana Thompson"/>
    <s v="Regional"/>
    <s v="Mon-Fri 08:30-17:00"/>
    <x v="0"/>
    <n v="21"/>
    <n v="95"/>
    <s v="Rehabilitation"/>
    <s v="Physiotherapist"/>
    <s v="Matched"/>
    <n v="52"/>
    <n v="0"/>
    <m/>
    <m/>
    <n v="0"/>
    <m/>
    <n v="1"/>
    <n v="0"/>
    <s v="Matches Standard"/>
    <x v="5"/>
    <n v="2026"/>
    <n v="5"/>
    <s v="May"/>
  </r>
  <r>
    <s v="APT-202605-0021"/>
    <d v="2026-05-20T00:00:00"/>
    <d v="2026-04-12T00:00:00"/>
    <s v="P0054"/>
    <s v="HAM"/>
    <s v="MHS"/>
    <s v="CL013"/>
    <x v="1"/>
    <x v="3"/>
    <d v="1899-12-30T12:00:00"/>
    <d v="1899-12-30T11:53:00"/>
    <d v="1899-12-30T12:23:00"/>
    <n v="30"/>
    <n v="120"/>
    <s v="No"/>
    <n v="5"/>
    <s v="Patient requested appointment"/>
    <s v="appointment_export_2026_05.csv"/>
    <n v="0"/>
    <n v="0"/>
    <x v="1"/>
    <s v="Midland"/>
    <s v="Daniel Wong"/>
    <s v="Urban"/>
    <s v="Mon-Fri 08:00-17:30"/>
    <x v="2"/>
    <n v="14"/>
    <n v="120"/>
    <s v="Behavioural health"/>
    <s v="Mental Health Clinician"/>
    <s v="Matched"/>
    <n v="38"/>
    <n v="0"/>
    <n v="30"/>
    <n v="1"/>
    <n v="1"/>
    <n v="0"/>
    <n v="1"/>
    <n v="0"/>
    <s v="Matches Standard"/>
    <x v="5"/>
    <n v="2026"/>
    <n v="5"/>
    <s v="May"/>
  </r>
  <r>
    <s v="APT-202605-0022"/>
    <d v="2026-05-06T00:00:00"/>
    <d v="2026-03-18T00:00:00"/>
    <s v="P0166"/>
    <s v="AUC"/>
    <s v="PHY"/>
    <s v="CL005"/>
    <x v="1"/>
    <x v="1"/>
    <d v="1899-12-30T12:00:00"/>
    <d v="1899-12-30T11:56:00"/>
    <d v="1899-12-30T12:25:00"/>
    <n v="60"/>
    <n v="95"/>
    <s v="No"/>
    <n v="2"/>
    <s v="Routine review"/>
    <s v="appointment_export_2026_05.csv"/>
    <n v="0"/>
    <n v="0"/>
    <x v="2"/>
    <s v="Northern"/>
    <s v="Aroha Rangi"/>
    <s v="Urban"/>
    <s v="Mon-Fri 08:00-18:00"/>
    <x v="0"/>
    <n v="21"/>
    <n v="95"/>
    <s v="Rehabilitation"/>
    <s v="Physiotherapist"/>
    <s v="Matched"/>
    <n v="49"/>
    <n v="0"/>
    <n v="29"/>
    <n v="1"/>
    <n v="1"/>
    <n v="0"/>
    <n v="1"/>
    <n v="0"/>
    <s v="Matches Standard"/>
    <x v="5"/>
    <n v="2026"/>
    <n v="5"/>
    <s v="May"/>
  </r>
  <r>
    <s v="APT-202605-0023"/>
    <d v="2026-05-13T00:00:00"/>
    <d v="2026-04-23T00:00:00"/>
    <s v="P0060"/>
    <s v="AUC"/>
    <s v="GEN"/>
    <s v="CL001"/>
    <x v="1"/>
    <x v="2"/>
    <d v="1899-12-30T10:00:00"/>
    <d v="1899-12-30T10:17:00"/>
    <d v="1899-12-30T10:08:00"/>
    <n v="45"/>
    <n v="65"/>
    <s v="No"/>
    <n v="2"/>
    <s v="New referral"/>
    <s v="appointment_export_2026_05.csv"/>
    <n v="0"/>
    <n v="0"/>
    <x v="2"/>
    <s v="Northern"/>
    <s v="Aroha Rangi"/>
    <s v="Urban"/>
    <s v="Mon-Fri 08:00-18:00"/>
    <x v="1"/>
    <n v="7"/>
    <n v="65"/>
    <s v="Primary care"/>
    <s v="Doctor or Nurse Practitioner"/>
    <s v="Matched"/>
    <n v="20"/>
    <n v="0"/>
    <m/>
    <m/>
    <n v="1"/>
    <n v="0"/>
    <n v="1"/>
    <n v="0"/>
    <s v="Matches Standard"/>
    <x v="5"/>
    <n v="2026"/>
    <n v="5"/>
    <s v="May"/>
  </r>
  <r>
    <s v="APT-202605-0024"/>
    <d v="2026-05-30T00:00:00"/>
    <d v="2026-04-28T00:00:00"/>
    <s v="P0075"/>
    <s v="AUC"/>
    <s v="GEN"/>
    <s v="CL001"/>
    <x v="1"/>
    <x v="2"/>
    <d v="1899-12-30T13:30:00"/>
    <d v="1899-12-30T13:40:00"/>
    <d v="1899-12-30T13:50:00"/>
    <n v="30"/>
    <n v="65"/>
    <s v="No"/>
    <n v="5"/>
    <s v="New referral"/>
    <s v="appointment_export_2026_05.csv"/>
    <n v="0"/>
    <n v="0"/>
    <x v="2"/>
    <s v="Northern"/>
    <s v="Aroha Rangi"/>
    <s v="Urban"/>
    <s v="Mon-Fri 08:00-18:00"/>
    <x v="1"/>
    <n v="7"/>
    <n v="65"/>
    <s v="Primary care"/>
    <s v="Doctor or Nurse Practitioner"/>
    <s v="Matched"/>
    <n v="32"/>
    <n v="0"/>
    <n v="10"/>
    <n v="1"/>
    <n v="1"/>
    <n v="0"/>
    <n v="1"/>
    <n v="0"/>
    <s v="Matches Standard"/>
    <x v="5"/>
    <n v="2026"/>
    <n v="5"/>
    <s v="May"/>
  </r>
  <r>
    <s v="APT-202605-0025"/>
    <d v="2026-05-24T00:00:00"/>
    <d v="2026-04-11T00:00:00"/>
    <s v="P0210"/>
    <s v="WLG"/>
    <s v="CAR"/>
    <s v="CL040"/>
    <x v="1"/>
    <x v="3"/>
    <d v="1899-12-30T08:00:00"/>
    <d v="1899-12-30T07:55:00"/>
    <d v="1899-12-30T08:29:00"/>
    <n v="45"/>
    <n v="150"/>
    <s v="No"/>
    <n v="5"/>
    <s v="Care plan review"/>
    <s v="appointment_export_2026_05.csv"/>
    <n v="0"/>
    <n v="0"/>
    <x v="0"/>
    <s v="Central"/>
    <s v="Sophie Martin"/>
    <s v="Urban"/>
    <s v="Mon-Sat 08:00-18:00"/>
    <x v="4"/>
    <n v="28"/>
    <n v="150"/>
    <s v="Specialist outpatient"/>
    <s v="Cardiology Clinician"/>
    <s v="Matched"/>
    <n v="43"/>
    <n v="0"/>
    <n v="34"/>
    <n v="0"/>
    <n v="1"/>
    <n v="0"/>
    <n v="1"/>
    <n v="0"/>
    <s v="Matches Standard"/>
    <x v="5"/>
    <n v="2026"/>
    <n v="5"/>
    <s v="May"/>
  </r>
  <r>
    <s v="APT-202605-0026"/>
    <d v="2026-05-04T00:00:00"/>
    <d v="2026-04-22T00:00:00"/>
    <s v="P0205"/>
    <s v="PMR"/>
    <s v="PHY"/>
    <s v="CL025"/>
    <x v="0"/>
    <x v="2"/>
    <d v="1899-12-30T09:30:00"/>
    <m/>
    <m/>
    <n v="0"/>
    <n v="95"/>
    <s v="No"/>
    <m/>
    <s v="Care plan review"/>
    <s v="appointment_export_2026_05.csv"/>
    <n v="0"/>
    <n v="0"/>
    <x v="3"/>
    <s v="Central"/>
    <s v="Mereana Thompson"/>
    <s v="Regional"/>
    <s v="Mon-Fri 08:30-17:00"/>
    <x v="0"/>
    <n v="21"/>
    <n v="95"/>
    <s v="Rehabilitation"/>
    <s v="Physiotherapist"/>
    <s v="Matched"/>
    <n v="12"/>
    <n v="1"/>
    <m/>
    <m/>
    <n v="0"/>
    <m/>
    <n v="1"/>
    <n v="0"/>
    <s v="Matches Standard"/>
    <x v="5"/>
    <n v="2026"/>
    <n v="5"/>
    <s v="May"/>
  </r>
  <r>
    <s v="APT-202605-0027"/>
    <d v="2026-05-03T00:00:00"/>
    <d v="2026-04-14T00:00:00"/>
    <s v="P0069"/>
    <s v="WLG"/>
    <s v="CAR"/>
    <s v="CL039"/>
    <x v="2"/>
    <x v="2"/>
    <d v="1899-12-30T11:00:00"/>
    <m/>
    <m/>
    <n v="0"/>
    <n v="150"/>
    <s v="No"/>
    <m/>
    <s v="New referral"/>
    <s v="appointment_export_2026_05.csv"/>
    <n v="0"/>
    <n v="0"/>
    <x v="0"/>
    <s v="Central"/>
    <s v="Sophie Martin"/>
    <s v="Urban"/>
    <s v="Mon-Sat 08:00-18:00"/>
    <x v="4"/>
    <n v="28"/>
    <n v="150"/>
    <s v="Specialist outpatient"/>
    <s v="Cardiology Clinician"/>
    <s v="Matched"/>
    <n v="19"/>
    <n v="1"/>
    <m/>
    <m/>
    <n v="1"/>
    <n v="1"/>
    <n v="1"/>
    <n v="0"/>
    <s v="Matches Standard"/>
    <x v="5"/>
    <n v="2026"/>
    <n v="5"/>
    <s v="May"/>
  </r>
  <r>
    <s v="APT-202605-0028"/>
    <d v="2026-05-23T00:00:00"/>
    <d v="2026-04-09T00:00:00"/>
    <s v="P0031"/>
    <s v="AUC"/>
    <s v="PHY"/>
    <s v="CL005"/>
    <x v="1"/>
    <x v="0"/>
    <d v="1899-12-30T10:00:00"/>
    <d v="1899-12-30T10:04:00"/>
    <d v="1899-12-30T10:00:00"/>
    <n v="45"/>
    <n v="95"/>
    <s v="No"/>
    <n v="5"/>
    <s v="New referral"/>
    <s v="appointment_export_2026_05.csv"/>
    <n v="0"/>
    <n v="0"/>
    <x v="2"/>
    <s v="Northern"/>
    <s v="Aroha Rangi"/>
    <s v="Urban"/>
    <s v="Mon-Fri 08:00-18:00"/>
    <x v="0"/>
    <n v="21"/>
    <n v="95"/>
    <s v="Rehabilitation"/>
    <s v="Physiotherapist"/>
    <s v="Matched"/>
    <n v="44"/>
    <n v="0"/>
    <m/>
    <m/>
    <n v="1"/>
    <n v="0"/>
    <n v="1"/>
    <n v="0"/>
    <s v="Matches Standard"/>
    <x v="5"/>
    <n v="2026"/>
    <n v="5"/>
    <s v="May"/>
  </r>
  <r>
    <s v="APT-202605-0029"/>
    <d v="2026-05-04T00:00:00"/>
    <d v="2026-03-22T00:00:00"/>
    <s v="P0229"/>
    <s v="HAM"/>
    <s v="CAR"/>
    <s v="CL019"/>
    <x v="1"/>
    <x v="1"/>
    <d v="1899-12-30T15:00:00"/>
    <d v="1899-12-30T15:04:00"/>
    <d v="1899-12-30T15:03:00"/>
    <n v="30"/>
    <n v="150"/>
    <s v="No"/>
    <n v="3"/>
    <s v="Patient requested appointment"/>
    <s v="appointment_export_2026_05.csv"/>
    <n v="0"/>
    <n v="0"/>
    <x v="1"/>
    <s v="Midland"/>
    <s v="Daniel Wong"/>
    <s v="Urban"/>
    <s v="Mon-Fri 08:00-17:30"/>
    <x v="4"/>
    <n v="28"/>
    <n v="150"/>
    <s v="Specialist outpatient"/>
    <s v="Cardiology Clinician"/>
    <s v="Matched"/>
    <n v="43"/>
    <n v="0"/>
    <m/>
    <m/>
    <n v="1"/>
    <n v="0"/>
    <n v="1"/>
    <n v="0"/>
    <s v="Matches Standard"/>
    <x v="5"/>
    <n v="2026"/>
    <n v="5"/>
    <s v="May"/>
  </r>
  <r>
    <s v="APT-202605-0030"/>
    <d v="2026-05-04T00:00:00"/>
    <d v="2026-05-03T00:00:00"/>
    <s v="P0076"/>
    <s v="AUC"/>
    <s v="CAR"/>
    <s v="CL010"/>
    <x v="1"/>
    <x v="1"/>
    <d v="1899-12-30T13:00:00"/>
    <d v="1899-12-30T12:54:00"/>
    <d v="1899-12-30T13:09:00"/>
    <n v="20"/>
    <n v="150"/>
    <s v="No"/>
    <n v="5"/>
    <s v="Care plan review"/>
    <s v="appointment_export_2026_05.csv"/>
    <n v="0"/>
    <n v="0"/>
    <x v="2"/>
    <s v="Northern"/>
    <s v="Aroha Rangi"/>
    <s v="Urban"/>
    <s v="Mon-Fri 08:00-18:00"/>
    <x v="4"/>
    <n v="28"/>
    <n v="150"/>
    <s v="Specialist outpatient"/>
    <s v="Cardiology Clinician"/>
    <s v="Matched"/>
    <n v="1"/>
    <n v="1"/>
    <n v="15"/>
    <n v="1"/>
    <n v="1"/>
    <n v="0"/>
    <n v="1"/>
    <n v="0"/>
    <s v="Matches Standard"/>
    <x v="5"/>
    <n v="2026"/>
    <n v="5"/>
    <s v="May"/>
  </r>
  <r>
    <s v="APT-202605-0031"/>
    <d v="2026-05-25T00:00:00"/>
    <d v="2026-05-12T00:00:00"/>
    <s v="P0046"/>
    <s v="PMR"/>
    <s v="PHY"/>
    <s v="CL025"/>
    <x v="2"/>
    <x v="3"/>
    <d v="1899-12-30T08:00:00"/>
    <d v="1899-12-30T08:07:00"/>
    <d v="1899-12-30T08:29:00"/>
    <n v="45"/>
    <n v="95"/>
    <s v="Yes"/>
    <n v="5"/>
    <s v="Care plan review"/>
    <s v="appointment_export_2026_05.csv"/>
    <n v="0"/>
    <n v="0"/>
    <x v="3"/>
    <s v="Central"/>
    <s v="Mereana Thompson"/>
    <s v="Regional"/>
    <s v="Mon-Fri 08:30-17:00"/>
    <x v="0"/>
    <n v="21"/>
    <n v="95"/>
    <s v="Rehabilitation"/>
    <s v="Physiotherapist"/>
    <s v="Matched"/>
    <n v="13"/>
    <n v="1"/>
    <m/>
    <m/>
    <n v="1"/>
    <n v="1"/>
    <n v="1"/>
    <n v="0"/>
    <s v="Matches Standard"/>
    <x v="5"/>
    <n v="2026"/>
    <n v="5"/>
    <s v="May"/>
  </r>
  <r>
    <s v="APT-202605-0032"/>
    <d v="2026-05-19T00:00:00"/>
    <d v="2026-05-13T00:00:00"/>
    <s v="P0099"/>
    <s v="AUC"/>
    <s v="PHY"/>
    <s v="CL005"/>
    <x v="1"/>
    <x v="1"/>
    <d v="1899-12-30T09:30:00"/>
    <d v="1899-12-30T09:36:00"/>
    <d v="1899-12-30T09:55:00"/>
    <n v="20"/>
    <n v="95"/>
    <s v="Yes"/>
    <n v="4"/>
    <s v="Routine review"/>
    <s v="appointment_export_2026_05.csv"/>
    <n v="0"/>
    <n v="0"/>
    <x v="2"/>
    <s v="Northern"/>
    <s v="Aroha Rangi"/>
    <s v="Urban"/>
    <s v="Mon-Fri 08:00-18:00"/>
    <x v="0"/>
    <n v="21"/>
    <n v="95"/>
    <s v="Rehabilitation"/>
    <s v="Physiotherapist"/>
    <s v="Matched"/>
    <n v="6"/>
    <n v="1"/>
    <n v="19"/>
    <n v="1"/>
    <n v="1"/>
    <n v="0"/>
    <n v="1"/>
    <n v="0"/>
    <s v="Matches Standard"/>
    <x v="5"/>
    <n v="2026"/>
    <n v="5"/>
    <s v="May"/>
  </r>
  <r>
    <s v="APT-202605-0033"/>
    <d v="2026-05-09T00:00:00"/>
    <d v="2026-05-01T00:00:00"/>
    <s v="P0194"/>
    <s v="PMR"/>
    <s v="DIA"/>
    <s v="CL027"/>
    <x v="1"/>
    <x v="2"/>
    <d v="1899-12-30T08:30:00"/>
    <d v="1899-12-30T08:41:00"/>
    <d v="1899-12-30T08:31:00"/>
    <n v="60"/>
    <n v="80"/>
    <s v="No"/>
    <n v="3"/>
    <s v="Patient requested appointment"/>
    <s v="appointment_export_2026_05.csv"/>
    <n v="0"/>
    <n v="0"/>
    <x v="3"/>
    <s v="Central"/>
    <s v="Mereana Thompson"/>
    <s v="Regional"/>
    <s v="Mon-Fri 08:30-17:00"/>
    <x v="3"/>
    <n v="10"/>
    <n v="80"/>
    <s v="Long-term conditions"/>
    <s v="Diabetes Nurse"/>
    <s v="Matched"/>
    <n v="8"/>
    <n v="1"/>
    <m/>
    <m/>
    <n v="1"/>
    <n v="0"/>
    <n v="1"/>
    <n v="0"/>
    <s v="Matches Standard"/>
    <x v="5"/>
    <n v="2026"/>
    <n v="5"/>
    <s v="May"/>
  </r>
  <r>
    <s v="APT-202605-0034"/>
    <d v="2026-05-26T00:00:00"/>
    <d v="2026-05-25T00:00:00"/>
    <s v="P0007"/>
    <s v="WLG"/>
    <s v="DIA"/>
    <s v="CL038"/>
    <x v="3"/>
    <x v="2"/>
    <d v="1899-12-30T13:00:00"/>
    <m/>
    <m/>
    <n v="0"/>
    <n v="80"/>
    <s v="Yes"/>
    <m/>
    <s v="Follow-up visit"/>
    <s v="appointment_export_2026_05.csv"/>
    <n v="0"/>
    <n v="0"/>
    <x v="0"/>
    <s v="Central"/>
    <s v="Sophie Martin"/>
    <s v="Urban"/>
    <s v="Mon-Sat 08:00-18:00"/>
    <x v="3"/>
    <n v="10"/>
    <n v="80"/>
    <s v="Long-term conditions"/>
    <s v="Diabetes Nurse"/>
    <s v="Matched"/>
    <n v="1"/>
    <n v="1"/>
    <m/>
    <m/>
    <n v="0"/>
    <m/>
    <n v="1"/>
    <n v="0"/>
    <s v="Matches Standard"/>
    <x v="5"/>
    <n v="2026"/>
    <n v="5"/>
    <s v="May"/>
  </r>
  <r>
    <s v="APT-202605-0035"/>
    <d v="2026-05-29T00:00:00"/>
    <d v="2026-04-30T00:00:00"/>
    <s v="P0150"/>
    <s v="AUC"/>
    <s v="MHS"/>
    <s v="CL003"/>
    <x v="2"/>
    <x v="3"/>
    <d v="1899-12-30T10:30:00"/>
    <m/>
    <m/>
    <n v="0"/>
    <n v="120"/>
    <s v="Yes"/>
    <m/>
    <s v="Care plan review"/>
    <s v="appointment_export_2026_05.csv"/>
    <n v="0"/>
    <n v="0"/>
    <x v="2"/>
    <s v="Northern"/>
    <s v="Aroha Rangi"/>
    <s v="Urban"/>
    <s v="Mon-Fri 08:00-18:00"/>
    <x v="2"/>
    <n v="14"/>
    <n v="120"/>
    <s v="Behavioural health"/>
    <s v="Mental Health Clinician"/>
    <s v="Matched"/>
    <n v="29"/>
    <n v="0"/>
    <m/>
    <m/>
    <n v="1"/>
    <n v="1"/>
    <n v="1"/>
    <n v="0"/>
    <s v="Matches Standard"/>
    <x v="5"/>
    <n v="2026"/>
    <n v="5"/>
    <s v="May"/>
  </r>
  <r>
    <s v="APT-202605-0036"/>
    <d v="2026-05-13T00:00:00"/>
    <d v="2026-04-20T00:00:00"/>
    <s v="P0038"/>
    <s v="HAM"/>
    <s v="CAR"/>
    <s v="CL019"/>
    <x v="0"/>
    <x v="2"/>
    <d v="1899-12-30T14:00:00"/>
    <m/>
    <m/>
    <n v="0"/>
    <n v="150"/>
    <s v="No"/>
    <m/>
    <s v="Care plan review"/>
    <s v="appointment_export_2026_05.csv"/>
    <n v="0"/>
    <n v="0"/>
    <x v="1"/>
    <s v="Midland"/>
    <s v="Daniel Wong"/>
    <s v="Urban"/>
    <s v="Mon-Fri 08:00-17:30"/>
    <x v="4"/>
    <n v="28"/>
    <n v="150"/>
    <s v="Specialist outpatient"/>
    <s v="Cardiology Clinician"/>
    <s v="Matched"/>
    <n v="23"/>
    <n v="1"/>
    <m/>
    <m/>
    <n v="0"/>
    <m/>
    <n v="1"/>
    <n v="0"/>
    <s v="Matches Standard"/>
    <x v="5"/>
    <n v="2026"/>
    <n v="5"/>
    <s v="May"/>
  </r>
  <r>
    <s v="APT-202605-0037"/>
    <d v="2026-05-24T00:00:00"/>
    <d v="2026-05-19T00:00:00"/>
    <s v="P0151"/>
    <s v="PMR"/>
    <s v="GEN"/>
    <s v="CL022"/>
    <x v="1"/>
    <x v="3"/>
    <d v="1899-12-30T13:00:00"/>
    <d v="1899-12-30T13:11:00"/>
    <d v="1899-12-30T13:19:00"/>
    <n v="30"/>
    <n v="65"/>
    <s v="Yes"/>
    <n v="4"/>
    <s v="Follow-up visit"/>
    <s v="appointment_export_2026_05.csv"/>
    <n v="0"/>
    <n v="0"/>
    <x v="3"/>
    <s v="Central"/>
    <s v="Mereana Thompson"/>
    <s v="Regional"/>
    <s v="Mon-Fri 08:30-17:00"/>
    <x v="1"/>
    <n v="7"/>
    <n v="65"/>
    <s v="Primary care"/>
    <s v="Doctor or Nurse Practitioner"/>
    <s v="Matched"/>
    <n v="5"/>
    <n v="1"/>
    <n v="8"/>
    <n v="1"/>
    <n v="1"/>
    <n v="0"/>
    <n v="1"/>
    <n v="0"/>
    <s v="Matches Standard"/>
    <x v="5"/>
    <n v="2026"/>
    <n v="5"/>
    <s v="May"/>
  </r>
  <r>
    <s v="APT-202605-0038"/>
    <d v="2026-05-16T00:00:00"/>
    <d v="2026-04-21T00:00:00"/>
    <s v="P0076"/>
    <s v="HAM"/>
    <s v="GEN"/>
    <s v="CL011"/>
    <x v="1"/>
    <x v="2"/>
    <d v="1899-12-30T09:00:00"/>
    <d v="1899-12-30T09:15:00"/>
    <d v="1899-12-30T09:38:00"/>
    <n v="30"/>
    <n v="65"/>
    <s v="No"/>
    <n v="5"/>
    <s v="Patient requested appointment"/>
    <s v="appointment_export_2026_05.csv"/>
    <n v="0"/>
    <n v="0"/>
    <x v="1"/>
    <s v="Midland"/>
    <s v="Daniel Wong"/>
    <s v="Urban"/>
    <s v="Mon-Fri 08:00-17:30"/>
    <x v="1"/>
    <n v="7"/>
    <n v="65"/>
    <s v="Primary care"/>
    <s v="Doctor or Nurse Practitioner"/>
    <s v="Matched"/>
    <n v="25"/>
    <n v="0"/>
    <n v="23"/>
    <n v="1"/>
    <n v="1"/>
    <n v="0"/>
    <n v="1"/>
    <n v="0"/>
    <s v="Matches Standard"/>
    <x v="5"/>
    <n v="2026"/>
    <n v="5"/>
    <s v="May"/>
  </r>
  <r>
    <s v="APT-202605-0039"/>
    <d v="2026-05-05T00:00:00"/>
    <d v="2026-04-26T00:00:00"/>
    <s v="P0139"/>
    <s v="AUC"/>
    <s v="PHY"/>
    <s v="CL005"/>
    <x v="1"/>
    <x v="3"/>
    <d v="1899-12-30T09:30:00"/>
    <d v="1899-12-30T09:39:00"/>
    <d v="1899-12-30T10:00:00"/>
    <n v="30"/>
    <n v="95"/>
    <s v="No"/>
    <n v="3"/>
    <s v="Care plan review"/>
    <s v="appointment_export_2026_05.csv"/>
    <n v="0"/>
    <n v="0"/>
    <x v="2"/>
    <s v="Northern"/>
    <s v="Aroha Rangi"/>
    <s v="Urban"/>
    <s v="Mon-Fri 08:00-18:00"/>
    <x v="0"/>
    <n v="21"/>
    <n v="95"/>
    <s v="Rehabilitation"/>
    <s v="Physiotherapist"/>
    <s v="Matched"/>
    <n v="9"/>
    <n v="1"/>
    <n v="21"/>
    <n v="1"/>
    <n v="1"/>
    <n v="0"/>
    <n v="1"/>
    <n v="0"/>
    <s v="Matches Standard"/>
    <x v="5"/>
    <n v="2026"/>
    <n v="5"/>
    <s v="May"/>
  </r>
  <r>
    <s v="APT-202605-0040"/>
    <d v="2026-05-11T00:00:00"/>
    <d v="2026-05-01T00:00:00"/>
    <s v="P0101"/>
    <s v="PMR"/>
    <s v="PHY"/>
    <s v="CL025"/>
    <x v="1"/>
    <x v="3"/>
    <d v="1899-12-30T12:00:00"/>
    <d v="1899-12-30T11:54:00"/>
    <d v="1899-12-30T12:24:00"/>
    <n v="20"/>
    <n v="95"/>
    <s v="Yes"/>
    <n v="4"/>
    <s v="Patient requested appointment"/>
    <s v="appointment_export_2026_05.csv"/>
    <n v="0"/>
    <n v="0"/>
    <x v="3"/>
    <s v="Central"/>
    <s v="Mereana Thompson"/>
    <s v="Regional"/>
    <s v="Mon-Fri 08:30-17:00"/>
    <x v="0"/>
    <n v="21"/>
    <n v="95"/>
    <s v="Rehabilitation"/>
    <s v="Physiotherapist"/>
    <s v="Matched"/>
    <n v="10"/>
    <n v="1"/>
    <n v="30"/>
    <n v="1"/>
    <n v="1"/>
    <n v="0"/>
    <n v="1"/>
    <n v="0"/>
    <s v="Matches Standard"/>
    <x v="5"/>
    <n v="2026"/>
    <n v="5"/>
    <s v="May"/>
  </r>
  <r>
    <s v="APT-202605-0041"/>
    <d v="2026-05-11T00:00:00"/>
    <d v="2026-04-25T00:00:00"/>
    <s v="P0093"/>
    <s v="HAM"/>
    <s v="DIA"/>
    <s v="CL018"/>
    <x v="1"/>
    <x v="2"/>
    <d v="1899-12-30T10:30:00"/>
    <d v="1899-12-30T10:36:00"/>
    <d v="1899-12-30T10:48:00"/>
    <n v="45"/>
    <n v="80"/>
    <s v="Yes"/>
    <n v="5"/>
    <s v="New referral"/>
    <s v="appointment_export_2026_05.csv"/>
    <n v="0"/>
    <n v="0"/>
    <x v="1"/>
    <s v="Midland"/>
    <s v="Daniel Wong"/>
    <s v="Urban"/>
    <s v="Mon-Fri 08:00-17:30"/>
    <x v="3"/>
    <n v="10"/>
    <n v="80"/>
    <s v="Long-term conditions"/>
    <s v="Diabetes Nurse"/>
    <s v="Matched"/>
    <n v="16"/>
    <n v="0"/>
    <n v="12"/>
    <n v="1"/>
    <n v="1"/>
    <n v="0"/>
    <n v="1"/>
    <n v="0"/>
    <s v="Matches Standard"/>
    <x v="5"/>
    <n v="2026"/>
    <n v="5"/>
    <s v="May"/>
  </r>
  <r>
    <s v="APT-202605-0042"/>
    <d v="2026-05-17T00:00:00"/>
    <d v="2026-03-23T00:00:00"/>
    <s v="P0060"/>
    <s v="PMR"/>
    <s v="MHS"/>
    <s v="CL024"/>
    <x v="2"/>
    <x v="2"/>
    <d v="1899-12-30T10:30:00"/>
    <m/>
    <m/>
    <n v="0"/>
    <n v="120"/>
    <s v="Yes"/>
    <m/>
    <s v="New referral"/>
    <s v="appointment_export_2026_05.csv"/>
    <n v="0"/>
    <n v="0"/>
    <x v="3"/>
    <s v="Central"/>
    <s v="Mereana Thompson"/>
    <s v="Regional"/>
    <s v="Mon-Fri 08:30-17:00"/>
    <x v="2"/>
    <n v="14"/>
    <n v="120"/>
    <s v="Behavioural health"/>
    <s v="Mental Health Clinician"/>
    <s v="Matched"/>
    <n v="55"/>
    <n v="0"/>
    <m/>
    <m/>
    <n v="1"/>
    <n v="1"/>
    <n v="1"/>
    <n v="0"/>
    <s v="Matches Standard"/>
    <x v="5"/>
    <n v="2026"/>
    <n v="5"/>
    <s v="May"/>
  </r>
  <r>
    <s v="APT-202605-0043"/>
    <d v="2026-05-01T00:00:00"/>
    <d v="2026-04-09T00:00:00"/>
    <s v="P0066"/>
    <s v="PMR"/>
    <s v="CAR"/>
    <s v="CL029"/>
    <x v="1"/>
    <x v="3"/>
    <d v="1899-12-30T10:30:00"/>
    <d v="1899-12-30T10:32:00"/>
    <d v="1899-12-30T10:50:00"/>
    <n v="45"/>
    <n v="150"/>
    <s v="Yes"/>
    <n v="2"/>
    <s v="Patient requested appointment"/>
    <s v="appointment_export_2026_05.csv"/>
    <n v="0"/>
    <n v="0"/>
    <x v="3"/>
    <s v="Central"/>
    <s v="Mereana Thompson"/>
    <s v="Regional"/>
    <s v="Mon-Fri 08:30-17:00"/>
    <x v="4"/>
    <n v="28"/>
    <n v="150"/>
    <s v="Specialist outpatient"/>
    <s v="Cardiology Clinician"/>
    <s v="Matched"/>
    <n v="22"/>
    <n v="1"/>
    <n v="18"/>
    <n v="1"/>
    <n v="1"/>
    <n v="0"/>
    <n v="1"/>
    <n v="0"/>
    <s v="Matches Standard"/>
    <x v="5"/>
    <n v="2026"/>
    <n v="5"/>
    <s v="May"/>
  </r>
  <r>
    <s v="APT-202605-0044"/>
    <d v="2026-05-01T00:00:00"/>
    <d v="2026-04-17T00:00:00"/>
    <s v="P0042"/>
    <s v="HAM"/>
    <s v="DIA"/>
    <s v="CL017"/>
    <x v="1"/>
    <x v="2"/>
    <d v="1899-12-30T15:00:00"/>
    <d v="1899-12-30T15:17:00"/>
    <d v="1899-12-30T15:34:00"/>
    <n v="60"/>
    <n v="80"/>
    <s v="No"/>
    <n v="5"/>
    <s v="Routine review"/>
    <s v="appointment_export_2026_05.csv"/>
    <n v="0"/>
    <n v="0"/>
    <x v="1"/>
    <s v="Midland"/>
    <s v="Daniel Wong"/>
    <s v="Urban"/>
    <s v="Mon-Fri 08:00-17:30"/>
    <x v="3"/>
    <n v="10"/>
    <n v="80"/>
    <s v="Long-term conditions"/>
    <s v="Diabetes Nurse"/>
    <s v="Matched"/>
    <n v="14"/>
    <n v="0"/>
    <n v="17"/>
    <n v="1"/>
    <n v="1"/>
    <n v="0"/>
    <n v="1"/>
    <n v="0"/>
    <s v="Matches Standard"/>
    <x v="5"/>
    <n v="2026"/>
    <n v="5"/>
    <s v="May"/>
  </r>
  <r>
    <s v="APT-202605-0045"/>
    <d v="2026-05-19T00:00:00"/>
    <d v="2026-05-12T00:00:00"/>
    <s v="P0031"/>
    <s v="WLG"/>
    <s v="GEN"/>
    <s v="CL032"/>
    <x v="1"/>
    <x v="1"/>
    <d v="1899-12-30T16:00:00"/>
    <d v="1899-12-30T16:16:00"/>
    <d v="1899-12-30T16:04:00"/>
    <n v="30"/>
    <n v="65"/>
    <s v="No"/>
    <n v="5"/>
    <s v="Routine review"/>
    <s v="appointment_export_2026_05.csv"/>
    <n v="0"/>
    <n v="0"/>
    <x v="0"/>
    <s v="Central"/>
    <s v="Sophie Martin"/>
    <s v="Urban"/>
    <s v="Mon-Sat 08:00-18:00"/>
    <x v="1"/>
    <n v="7"/>
    <n v="65"/>
    <s v="Primary care"/>
    <s v="Doctor or Nurse Practitioner"/>
    <s v="Matched"/>
    <n v="7"/>
    <n v="1"/>
    <m/>
    <m/>
    <n v="1"/>
    <n v="0"/>
    <n v="1"/>
    <n v="0"/>
    <s v="Matches Standard"/>
    <x v="5"/>
    <n v="2026"/>
    <n v="5"/>
    <s v="May"/>
  </r>
  <r>
    <s v="APT-202605-0046"/>
    <d v="2026-05-09T00:00:00"/>
    <d v="2026-05-07T00:00:00"/>
    <s v="P0033"/>
    <s v="AUC"/>
    <s v="CAR"/>
    <s v="CL010"/>
    <x v="3"/>
    <x v="2"/>
    <d v="1899-12-30T16:00:00"/>
    <m/>
    <m/>
    <n v="0"/>
    <n v="150"/>
    <s v="No"/>
    <m/>
    <s v="New referral"/>
    <s v="appointment_export_2026_05.csv"/>
    <n v="0"/>
    <n v="0"/>
    <x v="2"/>
    <s v="Northern"/>
    <s v="Aroha Rangi"/>
    <s v="Urban"/>
    <s v="Mon-Fri 08:00-18:00"/>
    <x v="4"/>
    <n v="28"/>
    <n v="150"/>
    <s v="Specialist outpatient"/>
    <s v="Cardiology Clinician"/>
    <s v="Matched"/>
    <n v="2"/>
    <n v="1"/>
    <m/>
    <m/>
    <n v="0"/>
    <m/>
    <n v="1"/>
    <n v="0"/>
    <s v="Matches Standard"/>
    <x v="5"/>
    <n v="2026"/>
    <n v="5"/>
    <s v="May"/>
  </r>
  <r>
    <s v="APT-202605-0047"/>
    <d v="2026-05-23T00:00:00"/>
    <d v="2026-05-15T00:00:00"/>
    <s v="P0081"/>
    <s v="WLG"/>
    <s v="DIA"/>
    <s v="CL037"/>
    <x v="1"/>
    <x v="2"/>
    <d v="1899-12-30T09:00:00"/>
    <d v="1899-12-30T09:07:00"/>
    <d v="1899-12-30T09:04:00"/>
    <n v="45"/>
    <n v="80"/>
    <s v="No"/>
    <n v="4"/>
    <s v="Care plan review"/>
    <s v="appointment_export_2026_05.csv"/>
    <n v="0"/>
    <n v="0"/>
    <x v="0"/>
    <s v="Central"/>
    <s v="Sophie Martin"/>
    <s v="Urban"/>
    <s v="Mon-Sat 08:00-18:00"/>
    <x v="3"/>
    <n v="10"/>
    <n v="80"/>
    <s v="Long-term conditions"/>
    <s v="Diabetes Nurse"/>
    <s v="Matched"/>
    <n v="8"/>
    <n v="1"/>
    <m/>
    <m/>
    <n v="1"/>
    <n v="0"/>
    <n v="1"/>
    <n v="0"/>
    <s v="Matches Standard"/>
    <x v="5"/>
    <n v="2026"/>
    <n v="5"/>
    <s v="May"/>
  </r>
  <r>
    <s v="APT-202605-0048"/>
    <d v="2026-05-08T00:00:00"/>
    <d v="2026-05-02T00:00:00"/>
    <s v="P0041"/>
    <s v="AUC"/>
    <s v="DIA"/>
    <s v="CL007"/>
    <x v="1"/>
    <x v="1"/>
    <d v="1899-12-30T11:00:00"/>
    <d v="1899-12-30T11:13:00"/>
    <d v="1899-12-30T11:04:00"/>
    <n v="20"/>
    <n v="80"/>
    <s v="No"/>
    <n v="3"/>
    <s v="Care plan review"/>
    <s v="appointment_export_2026_05.csv"/>
    <n v="0"/>
    <n v="0"/>
    <x v="2"/>
    <s v="Northern"/>
    <s v="Aroha Rangi"/>
    <s v="Urban"/>
    <s v="Mon-Fri 08:00-18:00"/>
    <x v="3"/>
    <n v="10"/>
    <n v="80"/>
    <s v="Long-term conditions"/>
    <s v="Diabetes Nurse"/>
    <s v="Matched"/>
    <n v="6"/>
    <n v="1"/>
    <m/>
    <m/>
    <n v="1"/>
    <n v="0"/>
    <n v="1"/>
    <n v="0"/>
    <s v="Matches Standard"/>
    <x v="5"/>
    <n v="2026"/>
    <n v="5"/>
    <s v="May"/>
  </r>
  <r>
    <s v="APT-202605-0049"/>
    <d v="2026-05-21T00:00:00"/>
    <d v="2026-03-30T00:00:00"/>
    <s v="P0177"/>
    <s v="WLG"/>
    <s v="GEN"/>
    <s v="CL032"/>
    <x v="1"/>
    <x v="3"/>
    <d v="1899-12-30T14:00:00"/>
    <d v="1899-12-30T13:59:00"/>
    <d v="1899-12-30T14:40:00"/>
    <n v="20"/>
    <n v="65"/>
    <s v="No"/>
    <n v="5"/>
    <s v="Routine review"/>
    <s v="appointment_export_2026_05.csv"/>
    <n v="0"/>
    <n v="0"/>
    <x v="0"/>
    <s v="Central"/>
    <s v="Sophie Martin"/>
    <s v="Urban"/>
    <s v="Mon-Sat 08:00-18:00"/>
    <x v="1"/>
    <n v="7"/>
    <n v="65"/>
    <s v="Primary care"/>
    <s v="Doctor or Nurse Practitioner"/>
    <s v="Matched"/>
    <n v="52"/>
    <n v="0"/>
    <n v="41"/>
    <n v="0"/>
    <n v="1"/>
    <n v="0"/>
    <n v="1"/>
    <n v="0"/>
    <s v="Matches Standard"/>
    <x v="5"/>
    <n v="2026"/>
    <n v="5"/>
    <s v="May"/>
  </r>
  <r>
    <s v="APT-202605-0050"/>
    <d v="2026-05-10T00:00:00"/>
    <d v="2026-05-09T00:00:00"/>
    <s v="P0185"/>
    <s v="HAM"/>
    <s v="CAR"/>
    <s v="CL019"/>
    <x v="1"/>
    <x v="2"/>
    <d v="1899-12-30T09:00:00"/>
    <d v="1899-12-30T09:16:00"/>
    <d v="1899-12-30T09:15:00"/>
    <n v="60"/>
    <n v="150"/>
    <s v="No"/>
    <n v="4"/>
    <s v="Follow-up visit"/>
    <s v="appointment_export_2026_05.csv"/>
    <n v="0"/>
    <n v="0"/>
    <x v="1"/>
    <s v="Midland"/>
    <s v="Daniel Wong"/>
    <s v="Urban"/>
    <s v="Mon-Fri 08:00-17:30"/>
    <x v="4"/>
    <n v="28"/>
    <n v="150"/>
    <s v="Specialist outpatient"/>
    <s v="Cardiology Clinician"/>
    <s v="Matched"/>
    <n v="1"/>
    <n v="1"/>
    <m/>
    <m/>
    <n v="1"/>
    <n v="0"/>
    <n v="1"/>
    <n v="0"/>
    <s v="Matches Standard"/>
    <x v="5"/>
    <n v="2026"/>
    <n v="5"/>
    <s v="May"/>
  </r>
  <r>
    <s v="APT-202605-0051"/>
    <d v="2026-05-29T00:00:00"/>
    <d v="2026-05-04T00:00:00"/>
    <s v="P0026"/>
    <s v="HAM"/>
    <s v="DIA"/>
    <s v="CL017"/>
    <x v="2"/>
    <x v="3"/>
    <d v="1899-12-30T10:30:00"/>
    <m/>
    <m/>
    <n v="0"/>
    <n v="80"/>
    <s v="No"/>
    <m/>
    <s v="Follow-up visit"/>
    <s v="appointment_export_2026_05.csv"/>
    <n v="0"/>
    <n v="0"/>
    <x v="1"/>
    <s v="Midland"/>
    <s v="Daniel Wong"/>
    <s v="Urban"/>
    <s v="Mon-Fri 08:00-17:30"/>
    <x v="3"/>
    <n v="10"/>
    <n v="80"/>
    <s v="Long-term conditions"/>
    <s v="Diabetes Nurse"/>
    <s v="Matched"/>
    <n v="25"/>
    <n v="0"/>
    <m/>
    <m/>
    <n v="1"/>
    <n v="1"/>
    <n v="1"/>
    <n v="0"/>
    <s v="Matches Standard"/>
    <x v="5"/>
    <n v="2026"/>
    <n v="5"/>
    <s v="May"/>
  </r>
  <r>
    <s v="APT-202605-0052"/>
    <d v="2026-05-14T00:00:00"/>
    <d v="2026-04-02T00:00:00"/>
    <s v="P0196"/>
    <s v="HAM"/>
    <s v="CAR"/>
    <s v="CL020"/>
    <x v="1"/>
    <x v="2"/>
    <d v="1899-12-30T08:00:00"/>
    <d v="1899-12-30T08:18:00"/>
    <d v="1899-12-30T08:22:00"/>
    <n v="60"/>
    <n v="150"/>
    <s v="No"/>
    <n v="2"/>
    <s v="New referral"/>
    <s v="appointment_export_2026_05.csv"/>
    <n v="0"/>
    <n v="0"/>
    <x v="1"/>
    <s v="Midland"/>
    <s v="Daniel Wong"/>
    <s v="Urban"/>
    <s v="Mon-Fri 08:00-17:30"/>
    <x v="4"/>
    <n v="28"/>
    <n v="150"/>
    <s v="Specialist outpatient"/>
    <s v="Cardiology Clinician"/>
    <s v="Matched"/>
    <n v="42"/>
    <n v="0"/>
    <n v="4"/>
    <n v="1"/>
    <n v="1"/>
    <n v="0"/>
    <n v="1"/>
    <n v="0"/>
    <s v="Matches Standard"/>
    <x v="5"/>
    <n v="2026"/>
    <n v="5"/>
    <s v="May"/>
  </r>
  <r>
    <s v="APT-202605-0053"/>
    <d v="2026-05-11T00:00:00"/>
    <d v="2026-03-21T00:00:00"/>
    <s v="P0182"/>
    <s v="HAM"/>
    <s v="CAR"/>
    <s v="CL019"/>
    <x v="3"/>
    <x v="3"/>
    <d v="1899-12-30T08:00:00"/>
    <m/>
    <m/>
    <n v="0"/>
    <n v="150"/>
    <s v="No"/>
    <m/>
    <s v="Patient requested appointment"/>
    <s v="appointment_export_2026_05.csv"/>
    <n v="0"/>
    <n v="0"/>
    <x v="1"/>
    <s v="Midland"/>
    <s v="Daniel Wong"/>
    <s v="Urban"/>
    <s v="Mon-Fri 08:00-17:30"/>
    <x v="4"/>
    <n v="28"/>
    <n v="150"/>
    <s v="Specialist outpatient"/>
    <s v="Cardiology Clinician"/>
    <s v="Matched"/>
    <n v="51"/>
    <n v="0"/>
    <m/>
    <m/>
    <n v="0"/>
    <m/>
    <n v="1"/>
    <n v="0"/>
    <s v="Matches Standard"/>
    <x v="5"/>
    <n v="2026"/>
    <n v="5"/>
    <s v="May"/>
  </r>
  <r>
    <s v="APT-202605-0054"/>
    <d v="2026-05-30T00:00:00"/>
    <d v="2026-05-15T00:00:00"/>
    <s v="P0199"/>
    <s v="HAM"/>
    <s v="CAR"/>
    <s v="CL019"/>
    <x v="1"/>
    <x v="0"/>
    <d v="1899-12-30T08:30:00"/>
    <d v="1899-12-30T08:22:00"/>
    <d v="1899-12-30T08:41:00"/>
    <n v="20"/>
    <n v="150"/>
    <s v="Yes"/>
    <n v="4"/>
    <s v="Follow-up visit"/>
    <s v="appointment_export_2026_05.csv"/>
    <n v="0"/>
    <n v="0"/>
    <x v="1"/>
    <s v="Midland"/>
    <s v="Daniel Wong"/>
    <s v="Urban"/>
    <s v="Mon-Fri 08:00-17:30"/>
    <x v="4"/>
    <n v="28"/>
    <n v="150"/>
    <s v="Specialist outpatient"/>
    <s v="Cardiology Clinician"/>
    <s v="Matched"/>
    <n v="15"/>
    <n v="1"/>
    <n v="19"/>
    <n v="1"/>
    <n v="1"/>
    <n v="0"/>
    <n v="1"/>
    <n v="0"/>
    <s v="Matches Standard"/>
    <x v="5"/>
    <n v="2026"/>
    <n v="5"/>
    <s v="May"/>
  </r>
  <r>
    <s v="APT-202605-0055"/>
    <d v="2026-05-31T00:00:00"/>
    <d v="2026-05-21T00:00:00"/>
    <s v="P0231"/>
    <s v="HAM"/>
    <s v="DIA"/>
    <s v="CL017"/>
    <x v="3"/>
    <x v="2"/>
    <d v="1899-12-30T08:30:00"/>
    <m/>
    <m/>
    <n v="0"/>
    <n v="80"/>
    <s v="No"/>
    <m/>
    <s v="Care plan review"/>
    <s v="appointment_export_2026_05.csv"/>
    <n v="0"/>
    <n v="0"/>
    <x v="1"/>
    <s v="Midland"/>
    <s v="Daniel Wong"/>
    <s v="Urban"/>
    <s v="Mon-Fri 08:00-17:30"/>
    <x v="3"/>
    <n v="10"/>
    <n v="80"/>
    <s v="Long-term conditions"/>
    <s v="Diabetes Nurse"/>
    <s v="Matched"/>
    <n v="10"/>
    <n v="1"/>
    <m/>
    <m/>
    <n v="0"/>
    <m/>
    <n v="1"/>
    <n v="0"/>
    <s v="Matches Standard"/>
    <x v="5"/>
    <n v="2026"/>
    <n v="5"/>
    <s v="May"/>
  </r>
  <r>
    <s v="APT-202605-0056"/>
    <d v="2026-05-21T00:00:00"/>
    <d v="2026-04-07T00:00:00"/>
    <s v="P0113"/>
    <s v="PMR"/>
    <s v="PHY"/>
    <s v="CL025"/>
    <x v="1"/>
    <x v="2"/>
    <d v="1899-12-30T11:30:00"/>
    <d v="1899-12-30T11:37:00"/>
    <d v="1899-12-30T11:59:00"/>
    <n v="30"/>
    <n v="95"/>
    <s v="No"/>
    <n v="3"/>
    <s v="Patient requested appointment"/>
    <s v="appointment_export_2026_05.csv"/>
    <n v="0"/>
    <n v="0"/>
    <x v="3"/>
    <s v="Central"/>
    <s v="Mereana Thompson"/>
    <s v="Regional"/>
    <s v="Mon-Fri 08:30-17:00"/>
    <x v="0"/>
    <n v="21"/>
    <n v="95"/>
    <s v="Rehabilitation"/>
    <s v="Physiotherapist"/>
    <s v="Matched"/>
    <n v="44"/>
    <n v="0"/>
    <n v="22"/>
    <n v="1"/>
    <n v="1"/>
    <n v="0"/>
    <n v="1"/>
    <n v="0"/>
    <s v="Matches Standard"/>
    <x v="5"/>
    <n v="2026"/>
    <n v="5"/>
    <s v="May"/>
  </r>
  <r>
    <s v="APT-202605-0057"/>
    <d v="2026-05-28T00:00:00"/>
    <d v="2026-05-03T00:00:00"/>
    <s v="P0121"/>
    <s v="HAM"/>
    <s v="PHY"/>
    <s v="CL016"/>
    <x v="3"/>
    <x v="1"/>
    <d v="1899-12-30T10:30:00"/>
    <m/>
    <m/>
    <n v="0"/>
    <n v="95"/>
    <s v="No"/>
    <m/>
    <s v="Follow-up visit"/>
    <s v="appointment_export_2026_05.csv"/>
    <n v="0"/>
    <n v="0"/>
    <x v="1"/>
    <s v="Midland"/>
    <s v="Daniel Wong"/>
    <s v="Urban"/>
    <s v="Mon-Fri 08:00-17:30"/>
    <x v="0"/>
    <n v="21"/>
    <n v="95"/>
    <s v="Rehabilitation"/>
    <s v="Physiotherapist"/>
    <s v="Matched"/>
    <n v="25"/>
    <n v="0"/>
    <m/>
    <m/>
    <n v="0"/>
    <m/>
    <n v="1"/>
    <n v="0"/>
    <s v="Matches Standard"/>
    <x v="5"/>
    <n v="2026"/>
    <n v="5"/>
    <s v="May"/>
  </r>
  <r>
    <s v="APT-202605-0058"/>
    <d v="2026-05-01T00:00:00"/>
    <d v="2026-04-03T00:00:00"/>
    <s v="P0106"/>
    <s v="HAM"/>
    <s v="DIA"/>
    <s v="CL018"/>
    <x v="1"/>
    <x v="1"/>
    <d v="1899-12-30T11:00:00"/>
    <d v="1899-12-30T10:58:00"/>
    <d v="1899-12-30T11:28:00"/>
    <n v="30"/>
    <n v="80"/>
    <s v="No"/>
    <n v="2"/>
    <s v="Follow-up visit"/>
    <s v="appointment_export_2026_05.csv"/>
    <n v="0"/>
    <n v="0"/>
    <x v="1"/>
    <s v="Midland"/>
    <s v="Daniel Wong"/>
    <s v="Urban"/>
    <s v="Mon-Fri 08:00-17:30"/>
    <x v="3"/>
    <n v="10"/>
    <n v="80"/>
    <s v="Long-term conditions"/>
    <s v="Diabetes Nurse"/>
    <s v="Matched"/>
    <n v="28"/>
    <n v="0"/>
    <n v="30"/>
    <n v="1"/>
    <n v="1"/>
    <n v="0"/>
    <n v="1"/>
    <n v="0"/>
    <s v="Matches Standard"/>
    <x v="5"/>
    <n v="2026"/>
    <n v="5"/>
    <s v="May"/>
  </r>
  <r>
    <s v="APT-202605-0059"/>
    <d v="2026-05-30T00:00:00"/>
    <d v="2026-04-24T00:00:00"/>
    <s v="P0166"/>
    <s v="HAM"/>
    <s v="MHS"/>
    <s v="CL013"/>
    <x v="1"/>
    <x v="1"/>
    <d v="1899-12-30T10:30:00"/>
    <d v="1899-12-30T10:40:00"/>
    <d v="1899-12-30T10:40:00"/>
    <n v="30"/>
    <n v="120"/>
    <s v="No"/>
    <n v="5"/>
    <s v="New referral"/>
    <s v="appointment_export_2026_05.csv"/>
    <n v="0"/>
    <n v="0"/>
    <x v="1"/>
    <s v="Midland"/>
    <s v="Daniel Wong"/>
    <s v="Urban"/>
    <s v="Mon-Fri 08:00-17:30"/>
    <x v="2"/>
    <n v="14"/>
    <n v="120"/>
    <s v="Behavioural health"/>
    <s v="Mental Health Clinician"/>
    <s v="Matched"/>
    <n v="36"/>
    <n v="0"/>
    <n v="0"/>
    <n v="1"/>
    <n v="1"/>
    <n v="0"/>
    <n v="1"/>
    <n v="0"/>
    <s v="Matches Standard"/>
    <x v="5"/>
    <n v="2026"/>
    <n v="5"/>
    <s v="May"/>
  </r>
  <r>
    <s v="APT-202605-0060"/>
    <d v="2026-05-20T00:00:00"/>
    <d v="2026-05-12T00:00:00"/>
    <s v="P0098"/>
    <s v="HAM"/>
    <s v="DIA"/>
    <s v="CL017"/>
    <x v="1"/>
    <x v="3"/>
    <d v="1899-12-30T10:30:00"/>
    <d v="1899-12-30T10:39:00"/>
    <d v="1899-12-30T10:44:00"/>
    <n v="20"/>
    <n v="80"/>
    <s v="No"/>
    <n v="4"/>
    <s v="Follow-up visit"/>
    <s v="appointment_export_2026_05.csv"/>
    <n v="0"/>
    <n v="0"/>
    <x v="1"/>
    <s v="Midland"/>
    <s v="Daniel Wong"/>
    <s v="Urban"/>
    <s v="Mon-Fri 08:00-17:30"/>
    <x v="3"/>
    <n v="10"/>
    <n v="80"/>
    <s v="Long-term conditions"/>
    <s v="Diabetes Nurse"/>
    <s v="Matched"/>
    <n v="8"/>
    <n v="1"/>
    <n v="5"/>
    <n v="1"/>
    <n v="1"/>
    <n v="0"/>
    <n v="1"/>
    <n v="0"/>
    <s v="Matches Standard"/>
    <x v="5"/>
    <n v="2026"/>
    <n v="5"/>
    <s v="May"/>
  </r>
  <r>
    <s v="APT-202605-0061"/>
    <d v="2026-05-07T00:00:00"/>
    <d v="2026-04-13T00:00:00"/>
    <s v="P0114"/>
    <s v="WLG"/>
    <s v="CAR"/>
    <s v="CL039"/>
    <x v="1"/>
    <x v="2"/>
    <d v="1899-12-30T09:30:00"/>
    <d v="1899-12-30T09:32:00"/>
    <d v="1899-12-30T09:57:00"/>
    <n v="30"/>
    <n v="150"/>
    <s v="No"/>
    <n v="4"/>
    <s v="Routine review"/>
    <s v="appointment_export_2026_05.csv"/>
    <n v="0"/>
    <n v="0"/>
    <x v="0"/>
    <s v="Central"/>
    <s v="Sophie Martin"/>
    <s v="Urban"/>
    <s v="Mon-Sat 08:00-18:00"/>
    <x v="4"/>
    <n v="28"/>
    <n v="150"/>
    <s v="Specialist outpatient"/>
    <s v="Cardiology Clinician"/>
    <s v="Matched"/>
    <n v="24"/>
    <n v="1"/>
    <n v="25"/>
    <n v="1"/>
    <n v="1"/>
    <n v="0"/>
    <n v="1"/>
    <n v="0"/>
    <s v="Matches Standard"/>
    <x v="5"/>
    <n v="2026"/>
    <n v="5"/>
    <s v="May"/>
  </r>
  <r>
    <s v="APT-202605-0062"/>
    <d v="2026-05-02T00:00:00"/>
    <d v="2026-04-26T00:00:00"/>
    <s v="P0199"/>
    <s v="HAM"/>
    <s v="PHY"/>
    <s v="CL015"/>
    <x v="3"/>
    <x v="2"/>
    <d v="1899-12-30T16:00:00"/>
    <d v="1899-12-30T16:13:00"/>
    <d v="1899-12-30T16:38:00"/>
    <n v="60"/>
    <n v="95"/>
    <s v="No"/>
    <n v="5"/>
    <s v="Care plan review"/>
    <s v="appointment_export_2026_05.csv"/>
    <n v="0"/>
    <n v="0"/>
    <x v="1"/>
    <s v="Midland"/>
    <s v="Daniel Wong"/>
    <s v="Urban"/>
    <s v="Mon-Fri 08:00-17:30"/>
    <x v="0"/>
    <n v="21"/>
    <n v="95"/>
    <s v="Rehabilitation"/>
    <s v="Physiotherapist"/>
    <s v="Matched"/>
    <n v="6"/>
    <n v="1"/>
    <m/>
    <m/>
    <n v="0"/>
    <m/>
    <n v="1"/>
    <n v="0"/>
    <s v="Matches Standard"/>
    <x v="5"/>
    <n v="2026"/>
    <n v="5"/>
    <s v="May"/>
  </r>
  <r>
    <s v="APT-202605-0063"/>
    <d v="2026-05-30T00:00:00"/>
    <d v="2026-04-21T00:00:00"/>
    <s v="P0009"/>
    <s v="WLG"/>
    <s v="GEN"/>
    <s v="CL032"/>
    <x v="1"/>
    <x v="2"/>
    <d v="1899-12-30T10:30:00"/>
    <d v="1899-12-30T10:44:00"/>
    <d v="1899-12-30T10:57:00"/>
    <n v="30"/>
    <n v="65"/>
    <s v="No"/>
    <n v="3"/>
    <s v="Follow-up visit"/>
    <s v="appointment_export_2026_05.csv"/>
    <n v="0"/>
    <n v="0"/>
    <x v="0"/>
    <s v="Central"/>
    <s v="Sophie Martin"/>
    <s v="Urban"/>
    <s v="Mon-Sat 08:00-18:00"/>
    <x v="1"/>
    <n v="7"/>
    <n v="65"/>
    <s v="Primary care"/>
    <s v="Doctor or Nurse Practitioner"/>
    <s v="Matched"/>
    <n v="39"/>
    <n v="0"/>
    <n v="13"/>
    <n v="1"/>
    <n v="1"/>
    <n v="0"/>
    <n v="1"/>
    <n v="0"/>
    <s v="Matches Standard"/>
    <x v="5"/>
    <n v="2026"/>
    <n v="5"/>
    <s v="May"/>
  </r>
  <r>
    <s v="APT-202605-0064"/>
    <d v="2026-05-12T00:00:00"/>
    <d v="2026-05-05T00:00:00"/>
    <s v="P0056"/>
    <s v="AUC"/>
    <s v="CAR"/>
    <s v="CL010"/>
    <x v="0"/>
    <x v="3"/>
    <d v="1899-12-30T15:00:00"/>
    <m/>
    <m/>
    <n v="0"/>
    <n v="150"/>
    <s v="Yes"/>
    <m/>
    <s v="Patient requested appointment"/>
    <s v="appointment_export_2026_05.csv"/>
    <n v="0"/>
    <n v="0"/>
    <x v="2"/>
    <s v="Northern"/>
    <s v="Aroha Rangi"/>
    <s v="Urban"/>
    <s v="Mon-Fri 08:00-18:00"/>
    <x v="4"/>
    <n v="28"/>
    <n v="150"/>
    <s v="Specialist outpatient"/>
    <s v="Cardiology Clinician"/>
    <s v="Matched"/>
    <n v="7"/>
    <n v="1"/>
    <m/>
    <m/>
    <n v="0"/>
    <m/>
    <n v="1"/>
    <n v="0"/>
    <s v="Matches Standard"/>
    <x v="5"/>
    <n v="2026"/>
    <n v="5"/>
    <s v="May"/>
  </r>
  <r>
    <s v="APT-202605-0065"/>
    <d v="2026-05-28T00:00:00"/>
    <d v="2026-04-30T00:00:00"/>
    <s v="P0150"/>
    <s v="AUC"/>
    <s v="CAR"/>
    <s v="CL009"/>
    <x v="0"/>
    <x v="3"/>
    <d v="1899-12-30T12:30:00"/>
    <m/>
    <m/>
    <n v="0"/>
    <n v="150"/>
    <s v="No"/>
    <m/>
    <s v="Patient requested appointment"/>
    <s v="appointment_export_2026_05.csv"/>
    <n v="0"/>
    <n v="0"/>
    <x v="2"/>
    <s v="Northern"/>
    <s v="Aroha Rangi"/>
    <s v="Urban"/>
    <s v="Mon-Fri 08:00-18:00"/>
    <x v="4"/>
    <n v="28"/>
    <n v="150"/>
    <s v="Specialist outpatient"/>
    <s v="Cardiology Clinician"/>
    <s v="Matched"/>
    <n v="28"/>
    <n v="1"/>
    <m/>
    <m/>
    <n v="0"/>
    <m/>
    <n v="1"/>
    <n v="0"/>
    <s v="Matches Standard"/>
    <x v="5"/>
    <n v="2026"/>
    <n v="5"/>
    <s v="May"/>
  </r>
  <r>
    <s v="APT-202605-0066"/>
    <d v="2026-05-01T00:00:00"/>
    <d v="2026-03-12T00:00:00"/>
    <s v="P0136"/>
    <s v="PMR"/>
    <s v="CAR"/>
    <s v="CL029"/>
    <x v="1"/>
    <x v="3"/>
    <d v="1899-12-30T09:30:00"/>
    <d v="1899-12-30T09:24:00"/>
    <d v="1899-12-30T09:49:00"/>
    <n v="30"/>
    <n v="150"/>
    <s v="No"/>
    <n v="5"/>
    <s v="Follow-up visit"/>
    <s v="appointment_export_2026_05.csv"/>
    <n v="0"/>
    <n v="0"/>
    <x v="3"/>
    <s v="Central"/>
    <s v="Mereana Thompson"/>
    <s v="Regional"/>
    <s v="Mon-Fri 08:30-17:00"/>
    <x v="4"/>
    <n v="28"/>
    <n v="150"/>
    <s v="Specialist outpatient"/>
    <s v="Cardiology Clinician"/>
    <s v="Matched"/>
    <n v="50"/>
    <n v="0"/>
    <n v="25"/>
    <n v="1"/>
    <n v="1"/>
    <n v="0"/>
    <n v="1"/>
    <n v="0"/>
    <s v="Matches Standard"/>
    <x v="5"/>
    <n v="2026"/>
    <n v="5"/>
    <s v="May"/>
  </r>
  <r>
    <s v="APT-202605-0067"/>
    <d v="2026-05-02T00:00:00"/>
    <d v="2026-03-21T00:00:00"/>
    <s v="P0078"/>
    <s v="PMR"/>
    <s v="PHY"/>
    <s v="CL025"/>
    <x v="1"/>
    <x v="0"/>
    <d v="1899-12-30T14:00:00"/>
    <d v="1899-12-30T14:07:00"/>
    <d v="1899-12-30T14:18:00"/>
    <n v="45"/>
    <n v="95"/>
    <s v="Yes"/>
    <n v="4"/>
    <s v="Care plan review"/>
    <s v="appointment_export_2026_05.csv"/>
    <n v="0"/>
    <n v="0"/>
    <x v="3"/>
    <s v="Central"/>
    <s v="Mereana Thompson"/>
    <s v="Regional"/>
    <s v="Mon-Fri 08:30-17:00"/>
    <x v="0"/>
    <n v="21"/>
    <n v="95"/>
    <s v="Rehabilitation"/>
    <s v="Physiotherapist"/>
    <s v="Matched"/>
    <n v="42"/>
    <n v="0"/>
    <n v="11"/>
    <n v="1"/>
    <n v="1"/>
    <n v="0"/>
    <n v="1"/>
    <n v="0"/>
    <s v="Matches Standard"/>
    <x v="5"/>
    <n v="2026"/>
    <n v="5"/>
    <s v="May"/>
  </r>
  <r>
    <s v="APT-202605-0068"/>
    <d v="2026-05-06T00:00:00"/>
    <d v="2026-03-25T00:00:00"/>
    <s v="P0029"/>
    <s v="AUC"/>
    <s v="PHY"/>
    <s v="CL005"/>
    <x v="1"/>
    <x v="1"/>
    <d v="1899-12-30T12:30:00"/>
    <d v="1899-12-30T12:48:00"/>
    <d v="1899-12-30T12:52:00"/>
    <n v="30"/>
    <n v="95"/>
    <s v="Yes"/>
    <n v="3"/>
    <s v="Routine review"/>
    <s v="appointment_export_2026_05.csv"/>
    <n v="0"/>
    <n v="0"/>
    <x v="2"/>
    <s v="Northern"/>
    <s v="Aroha Rangi"/>
    <s v="Urban"/>
    <s v="Mon-Fri 08:00-18:00"/>
    <x v="0"/>
    <n v="21"/>
    <n v="95"/>
    <s v="Rehabilitation"/>
    <s v="Physiotherapist"/>
    <s v="Matched"/>
    <n v="42"/>
    <n v="0"/>
    <n v="4"/>
    <n v="1"/>
    <n v="1"/>
    <n v="0"/>
    <n v="1"/>
    <n v="0"/>
    <s v="Matches Standard"/>
    <x v="5"/>
    <n v="2026"/>
    <n v="5"/>
    <s v="May"/>
  </r>
  <r>
    <s v="APT-202605-0069"/>
    <d v="2026-05-14T00:00:00"/>
    <d v="2026-05-06T00:00:00"/>
    <s v="P0084"/>
    <s v="WLG"/>
    <s v="DIA"/>
    <s v="CL037"/>
    <x v="1"/>
    <x v="3"/>
    <d v="1899-12-30T14:30:00"/>
    <d v="1899-12-30T14:40:00"/>
    <d v="1899-12-30T14:58:00"/>
    <n v="30"/>
    <n v="80"/>
    <s v="Yes"/>
    <n v="2"/>
    <s v="Follow-up visit"/>
    <s v="appointment_export_2026_05.csv"/>
    <n v="0"/>
    <n v="0"/>
    <x v="0"/>
    <s v="Central"/>
    <s v="Sophie Martin"/>
    <s v="Urban"/>
    <s v="Mon-Sat 08:00-18:00"/>
    <x v="3"/>
    <n v="10"/>
    <n v="80"/>
    <s v="Long-term conditions"/>
    <s v="Diabetes Nurse"/>
    <s v="Matched"/>
    <n v="8"/>
    <n v="1"/>
    <n v="18"/>
    <n v="1"/>
    <n v="1"/>
    <n v="0"/>
    <n v="1"/>
    <n v="0"/>
    <s v="Matches Standard"/>
    <x v="5"/>
    <n v="2026"/>
    <n v="5"/>
    <s v="May"/>
  </r>
  <r>
    <s v="APT-202605-0070"/>
    <d v="2026-05-31T00:00:00"/>
    <d v="2026-05-18T00:00:00"/>
    <s v="P0155"/>
    <s v="WLG"/>
    <s v="MHS"/>
    <s v="CL034"/>
    <x v="1"/>
    <x v="1"/>
    <d v="1899-12-30T10:00:00"/>
    <d v="1899-12-30T10:03:00"/>
    <d v="1899-12-30T10:14:00"/>
    <n v="45"/>
    <n v="120"/>
    <s v="No"/>
    <n v="4"/>
    <s v="Follow-up visit"/>
    <s v="appointment_export_2026_05.csv"/>
    <n v="0"/>
    <n v="0"/>
    <x v="0"/>
    <s v="Central"/>
    <s v="Sophie Martin"/>
    <s v="Urban"/>
    <s v="Mon-Sat 08:00-18:00"/>
    <x v="2"/>
    <n v="14"/>
    <n v="120"/>
    <s v="Behavioural health"/>
    <s v="Mental Health Clinician"/>
    <s v="Matched"/>
    <n v="13"/>
    <n v="1"/>
    <n v="11"/>
    <n v="1"/>
    <n v="1"/>
    <n v="0"/>
    <n v="1"/>
    <n v="0"/>
    <s v="Matches Standard"/>
    <x v="5"/>
    <n v="2026"/>
    <n v="5"/>
    <s v="May"/>
  </r>
  <r>
    <s v="APT-202605-0071"/>
    <d v="2026-05-20T00:00:00"/>
    <d v="2026-05-17T00:00:00"/>
    <s v="P0103"/>
    <s v="HAM"/>
    <s v="GEN"/>
    <s v="CL012"/>
    <x v="1"/>
    <x v="3"/>
    <d v="1899-12-30T15:00:00"/>
    <d v="1899-12-30T15:18:00"/>
    <d v="1899-12-30T15:39:00"/>
    <n v="60"/>
    <n v="65"/>
    <s v="Yes"/>
    <n v="4"/>
    <s v="Follow-up visit"/>
    <s v="appointment_export_2026_05.csv"/>
    <n v="0"/>
    <n v="0"/>
    <x v="1"/>
    <s v="Midland"/>
    <s v="Daniel Wong"/>
    <s v="Urban"/>
    <s v="Mon-Fri 08:00-17:30"/>
    <x v="1"/>
    <n v="7"/>
    <n v="65"/>
    <s v="Primary care"/>
    <s v="Doctor or Nurse Practitioner"/>
    <s v="Matched"/>
    <n v="3"/>
    <n v="1"/>
    <n v="21"/>
    <n v="1"/>
    <n v="1"/>
    <n v="0"/>
    <n v="1"/>
    <n v="0"/>
    <s v="Matches Standard"/>
    <x v="5"/>
    <n v="2026"/>
    <n v="5"/>
    <s v="May"/>
  </r>
  <r>
    <s v="APT-202605-0072"/>
    <d v="2026-05-01T00:00:00"/>
    <d v="2026-03-16T00:00:00"/>
    <s v="P0160"/>
    <s v="WLG"/>
    <s v="DIA"/>
    <s v="CL037"/>
    <x v="1"/>
    <x v="1"/>
    <d v="1899-12-30T14:30:00"/>
    <d v="1899-12-30T14:46:00"/>
    <d v="1899-12-30T14:43:00"/>
    <n v="45"/>
    <n v="80"/>
    <s v="Yes"/>
    <n v="3"/>
    <s v="Follow-up visit"/>
    <s v="appointment_export_2026_05.csv"/>
    <n v="0"/>
    <n v="0"/>
    <x v="0"/>
    <s v="Central"/>
    <s v="Sophie Martin"/>
    <s v="Urban"/>
    <s v="Mon-Sat 08:00-18:00"/>
    <x v="3"/>
    <n v="10"/>
    <n v="80"/>
    <s v="Long-term conditions"/>
    <s v="Diabetes Nurse"/>
    <s v="Matched"/>
    <n v="46"/>
    <n v="0"/>
    <m/>
    <m/>
    <n v="1"/>
    <n v="0"/>
    <n v="1"/>
    <n v="0"/>
    <s v="Matches Standard"/>
    <x v="5"/>
    <n v="2026"/>
    <n v="5"/>
    <s v="May"/>
  </r>
  <r>
    <s v="APT-202605-0073"/>
    <d v="2026-05-24T00:00:00"/>
    <d v="2026-04-09T00:00:00"/>
    <s v="P0025"/>
    <s v="AUC"/>
    <s v="CAR"/>
    <s v="CL009"/>
    <x v="1"/>
    <x v="3"/>
    <d v="1899-12-30T08:30:00"/>
    <d v="1899-12-30T08:26:00"/>
    <d v="1899-12-30T08:38:00"/>
    <n v="45"/>
    <n v="150"/>
    <s v="Yes"/>
    <n v="4"/>
    <s v="New referral"/>
    <s v="appointment_export_2026_05.csv"/>
    <n v="0"/>
    <n v="0"/>
    <x v="2"/>
    <s v="Northern"/>
    <s v="Aroha Rangi"/>
    <s v="Urban"/>
    <s v="Mon-Fri 08:00-18:00"/>
    <x v="4"/>
    <n v="28"/>
    <n v="150"/>
    <s v="Specialist outpatient"/>
    <s v="Cardiology Clinician"/>
    <s v="Matched"/>
    <n v="45"/>
    <n v="0"/>
    <n v="12"/>
    <n v="1"/>
    <n v="1"/>
    <n v="0"/>
    <n v="1"/>
    <n v="0"/>
    <s v="Matches Standard"/>
    <x v="5"/>
    <n v="2026"/>
    <n v="5"/>
    <s v="May"/>
  </r>
  <r>
    <s v="APT-202605-0074"/>
    <d v="2026-05-23T00:00:00"/>
    <d v="2026-04-08T00:00:00"/>
    <s v="P0011"/>
    <s v="WLG"/>
    <s v="DIA"/>
    <s v="CL038"/>
    <x v="1"/>
    <x v="1"/>
    <d v="1899-12-30T09:30:00"/>
    <d v="1899-12-30T09:41:00"/>
    <d v="1899-12-30T09:41:00"/>
    <n v="60"/>
    <n v="80"/>
    <s v="Yes"/>
    <n v="5"/>
    <s v="Routine review"/>
    <s v="appointment_export_2026_05.csv"/>
    <n v="0"/>
    <n v="0"/>
    <x v="0"/>
    <s v="Central"/>
    <s v="Sophie Martin"/>
    <s v="Urban"/>
    <s v="Mon-Sat 08:00-18:00"/>
    <x v="3"/>
    <n v="10"/>
    <n v="80"/>
    <s v="Long-term conditions"/>
    <s v="Diabetes Nurse"/>
    <s v="Matched"/>
    <n v="45"/>
    <n v="0"/>
    <n v="0"/>
    <n v="1"/>
    <n v="1"/>
    <n v="0"/>
    <n v="1"/>
    <n v="0"/>
    <s v="Matches Standard"/>
    <x v="5"/>
    <n v="2026"/>
    <n v="5"/>
    <s v="May"/>
  </r>
  <r>
    <s v="APT-202605-0075"/>
    <d v="2026-05-04T00:00:00"/>
    <d v="2026-04-08T00:00:00"/>
    <s v="P0071"/>
    <s v="HAM"/>
    <s v="CAR"/>
    <s v="CL020"/>
    <x v="1"/>
    <x v="1"/>
    <d v="1899-12-30T15:00:00"/>
    <d v="1899-12-30T14:54:00"/>
    <d v="1899-12-30T15:06:00"/>
    <n v="30"/>
    <n v="150"/>
    <s v="No"/>
    <n v="4"/>
    <s v="New referral"/>
    <s v="appointment_export_2026_05.csv"/>
    <n v="0"/>
    <n v="0"/>
    <x v="1"/>
    <s v="Midland"/>
    <s v="Daniel Wong"/>
    <s v="Urban"/>
    <s v="Mon-Fri 08:00-17:30"/>
    <x v="4"/>
    <n v="28"/>
    <n v="150"/>
    <s v="Specialist outpatient"/>
    <s v="Cardiology Clinician"/>
    <s v="Matched"/>
    <n v="26"/>
    <n v="1"/>
    <n v="12"/>
    <n v="1"/>
    <n v="1"/>
    <n v="0"/>
    <n v="1"/>
    <n v="0"/>
    <s v="Matches Standard"/>
    <x v="5"/>
    <n v="2026"/>
    <n v="5"/>
    <s v="May"/>
  </r>
  <r>
    <s v="APT-202605-0076"/>
    <d v="2026-05-17T00:00:00"/>
    <d v="2026-04-02T00:00:00"/>
    <s v="P0072"/>
    <s v="HAM"/>
    <s v="MHS"/>
    <s v="CL014"/>
    <x v="3"/>
    <x v="3"/>
    <d v="1899-12-30T14:00:00"/>
    <m/>
    <m/>
    <n v="0"/>
    <n v="120"/>
    <s v="Yes"/>
    <m/>
    <s v="Care plan review"/>
    <s v="appointment_export_2026_05.csv"/>
    <n v="0"/>
    <n v="0"/>
    <x v="1"/>
    <s v="Midland"/>
    <s v="Daniel Wong"/>
    <s v="Urban"/>
    <s v="Mon-Fri 08:00-17:30"/>
    <x v="2"/>
    <n v="14"/>
    <n v="120"/>
    <s v="Behavioural health"/>
    <s v="Mental Health Clinician"/>
    <s v="Matched"/>
    <n v="45"/>
    <n v="0"/>
    <m/>
    <m/>
    <n v="0"/>
    <m/>
    <n v="1"/>
    <n v="0"/>
    <s v="Matches Standard"/>
    <x v="5"/>
    <n v="2026"/>
    <n v="5"/>
    <s v="May"/>
  </r>
  <r>
    <s v="APT-202605-0077"/>
    <d v="2026-05-20T00:00:00"/>
    <d v="2026-05-02T00:00:00"/>
    <s v="P0130"/>
    <s v="WLG"/>
    <s v="CAR"/>
    <s v="CL039"/>
    <x v="1"/>
    <x v="0"/>
    <d v="1899-12-30T11:00:00"/>
    <d v="1899-12-30T11:02:00"/>
    <d v="1899-12-30T11:10:00"/>
    <n v="20"/>
    <n v="150"/>
    <s v="Yes"/>
    <n v="3"/>
    <s v="Patient requested appointment"/>
    <s v="appointment_export_2026_05.csv"/>
    <n v="0"/>
    <n v="0"/>
    <x v="0"/>
    <s v="Central"/>
    <s v="Sophie Martin"/>
    <s v="Urban"/>
    <s v="Mon-Sat 08:00-18:00"/>
    <x v="4"/>
    <n v="28"/>
    <n v="150"/>
    <s v="Specialist outpatient"/>
    <s v="Cardiology Clinician"/>
    <s v="Matched"/>
    <n v="18"/>
    <n v="1"/>
    <n v="8"/>
    <n v="1"/>
    <n v="1"/>
    <n v="0"/>
    <n v="1"/>
    <n v="0"/>
    <s v="Matches Standard"/>
    <x v="5"/>
    <n v="2026"/>
    <n v="5"/>
    <s v="May"/>
  </r>
  <r>
    <s v="APT-202605-0078"/>
    <d v="2026-05-26T00:00:00"/>
    <d v="2026-05-01T00:00:00"/>
    <s v="P0007"/>
    <s v="WLG"/>
    <s v="DIA"/>
    <s v="CL037"/>
    <x v="1"/>
    <x v="0"/>
    <d v="1899-12-30T15:30:00"/>
    <d v="1899-12-30T15:24:00"/>
    <d v="1899-12-30T16:07:00"/>
    <n v="45"/>
    <n v="80"/>
    <s v="Yes"/>
    <n v="5"/>
    <s v="New referral"/>
    <s v="appointment_export_2026_05.csv"/>
    <n v="0"/>
    <n v="0"/>
    <x v="0"/>
    <s v="Central"/>
    <s v="Sophie Martin"/>
    <s v="Urban"/>
    <s v="Mon-Sat 08:00-18:00"/>
    <x v="3"/>
    <n v="10"/>
    <n v="80"/>
    <s v="Long-term conditions"/>
    <s v="Diabetes Nurse"/>
    <s v="Matched"/>
    <n v="25"/>
    <n v="0"/>
    <n v="43"/>
    <n v="0"/>
    <n v="1"/>
    <n v="0"/>
    <n v="1"/>
    <n v="0"/>
    <s v="Matches Standard"/>
    <x v="5"/>
    <n v="2026"/>
    <n v="5"/>
    <s v="May"/>
  </r>
  <r>
    <s v="APT-202605-0079"/>
    <d v="2026-05-31T00:00:00"/>
    <d v="2026-04-24T00:00:00"/>
    <s v="P0036"/>
    <s v="WLG"/>
    <m/>
    <s v="CL034"/>
    <x v="1"/>
    <x v="3"/>
    <d v="1899-12-30T11:30:00"/>
    <d v="1899-12-30T11:20:00"/>
    <d v="1899-12-30T11:36:00"/>
    <n v="45"/>
    <n v="120"/>
    <s v="No"/>
    <n v="5"/>
    <s v="Routine review"/>
    <s v="appointment_export_2026_05.csv"/>
    <n v="0"/>
    <n v="1"/>
    <x v="0"/>
    <s v="Central"/>
    <s v="Sophie Martin"/>
    <s v="Urban"/>
    <s v="Mon-Sat 08:00-18:00"/>
    <x v="5"/>
    <m/>
    <m/>
    <m/>
    <m/>
    <s v="Missing Service Code"/>
    <n v="37"/>
    <m/>
    <n v="16"/>
    <n v="1"/>
    <n v="1"/>
    <n v="0"/>
    <n v="1"/>
    <m/>
    <s v="Missing Standard Fee"/>
    <x v="5"/>
    <n v="2026"/>
    <n v="5"/>
    <s v="May"/>
  </r>
  <r>
    <s v="APT-202605-0080"/>
    <d v="2026-05-16T00:00:00"/>
    <d v="2026-04-28T00:00:00"/>
    <s v="P0193"/>
    <s v="PMR"/>
    <s v="PHY"/>
    <s v="CL025"/>
    <x v="1"/>
    <x v="3"/>
    <d v="1899-12-30T15:00:00"/>
    <d v="1899-12-30T14:52:00"/>
    <d v="1899-12-30T15:01:00"/>
    <n v="30"/>
    <n v="95"/>
    <s v="No"/>
    <n v="3"/>
    <s v="Follow-up visit"/>
    <s v="appointment_export_2026_05.csv"/>
    <n v="0"/>
    <n v="0"/>
    <x v="3"/>
    <s v="Central"/>
    <s v="Mereana Thompson"/>
    <s v="Regional"/>
    <s v="Mon-Fri 08:30-17:00"/>
    <x v="0"/>
    <n v="21"/>
    <n v="95"/>
    <s v="Rehabilitation"/>
    <s v="Physiotherapist"/>
    <s v="Matched"/>
    <n v="18"/>
    <n v="1"/>
    <n v="9"/>
    <n v="1"/>
    <n v="1"/>
    <n v="0"/>
    <n v="1"/>
    <n v="0"/>
    <s v="Matches Standard"/>
    <x v="5"/>
    <n v="2026"/>
    <n v="5"/>
    <s v="May"/>
  </r>
  <r>
    <s v="APT-202605-0081"/>
    <d v="2026-05-15T00:00:00"/>
    <d v="2026-04-24T00:00:00"/>
    <s v="P0162"/>
    <s v="WLG"/>
    <s v="PHY"/>
    <s v="CL036"/>
    <x v="1"/>
    <x v="1"/>
    <d v="1899-12-30T10:30:00"/>
    <d v="1899-12-30T10:31:00"/>
    <d v="1899-12-30T10:50:00"/>
    <n v="30"/>
    <n v="95"/>
    <s v="No"/>
    <n v="5"/>
    <s v="Follow-up visit"/>
    <s v="appointment_export_2026_05.csv"/>
    <n v="0"/>
    <n v="0"/>
    <x v="0"/>
    <s v="Central"/>
    <s v="Sophie Martin"/>
    <s v="Urban"/>
    <s v="Mon-Sat 08:00-18:00"/>
    <x v="0"/>
    <n v="21"/>
    <n v="95"/>
    <s v="Rehabilitation"/>
    <s v="Physiotherapist"/>
    <s v="Matched"/>
    <n v="21"/>
    <n v="1"/>
    <n v="19"/>
    <n v="1"/>
    <n v="1"/>
    <n v="0"/>
    <n v="1"/>
    <n v="0"/>
    <s v="Matches Standard"/>
    <x v="5"/>
    <n v="2026"/>
    <n v="5"/>
    <s v="May"/>
  </r>
  <r>
    <s v="APT-202605-0082"/>
    <d v="2026-05-24T00:00:00"/>
    <d v="2026-03-30T00:00:00"/>
    <s v="P0121"/>
    <s v="WLG"/>
    <s v="CAR"/>
    <s v="CL040"/>
    <x v="0"/>
    <x v="3"/>
    <d v="1899-12-30T08:00:00"/>
    <m/>
    <m/>
    <n v="0"/>
    <n v="150"/>
    <s v="No"/>
    <m/>
    <s v="Routine review"/>
    <s v="appointment_export_2026_05.csv"/>
    <n v="0"/>
    <n v="0"/>
    <x v="0"/>
    <s v="Central"/>
    <s v="Sophie Martin"/>
    <s v="Urban"/>
    <s v="Mon-Sat 08:00-18:00"/>
    <x v="4"/>
    <n v="28"/>
    <n v="150"/>
    <s v="Specialist outpatient"/>
    <s v="Cardiology Clinician"/>
    <s v="Matched"/>
    <n v="55"/>
    <n v="0"/>
    <m/>
    <m/>
    <n v="0"/>
    <m/>
    <n v="1"/>
    <n v="0"/>
    <s v="Matches Standard"/>
    <x v="5"/>
    <n v="2026"/>
    <n v="5"/>
    <s v="May"/>
  </r>
  <r>
    <s v="APT-202605-0083"/>
    <d v="2026-05-26T00:00:00"/>
    <d v="2026-05-18T00:00:00"/>
    <s v="P0188"/>
    <s v="AUC"/>
    <s v="PHY"/>
    <s v="CL005"/>
    <x v="1"/>
    <x v="3"/>
    <d v="1899-12-30T14:00:00"/>
    <d v="1899-12-30T13:51:00"/>
    <d v="1899-12-30T14:28:00"/>
    <n v="30"/>
    <n v="95"/>
    <s v="No"/>
    <m/>
    <s v="Patient requested appointment"/>
    <s v="appointment_export_2026_05.csv"/>
    <n v="0"/>
    <n v="0"/>
    <x v="2"/>
    <s v="Northern"/>
    <s v="Aroha Rangi"/>
    <s v="Urban"/>
    <s v="Mon-Fri 08:00-18:00"/>
    <x v="0"/>
    <n v="21"/>
    <n v="95"/>
    <s v="Rehabilitation"/>
    <s v="Physiotherapist"/>
    <s v="Matched"/>
    <n v="8"/>
    <n v="1"/>
    <n v="37"/>
    <n v="0"/>
    <n v="1"/>
    <n v="0"/>
    <n v="1"/>
    <n v="0"/>
    <s v="Matches Standard"/>
    <x v="5"/>
    <n v="2026"/>
    <n v="5"/>
    <s v="May"/>
  </r>
  <r>
    <s v="APT-202605-0084"/>
    <d v="2026-05-18T00:00:00"/>
    <d v="2026-05-06T00:00:00"/>
    <s v="P0225"/>
    <s v="AUC"/>
    <s v="MHS"/>
    <s v="CL004"/>
    <x v="1"/>
    <x v="0"/>
    <d v="1899-12-30T13:00:00"/>
    <d v="1899-12-30T13:15:00"/>
    <d v="1899-12-30T13:21:00"/>
    <n v="45"/>
    <n v="120"/>
    <s v="No"/>
    <n v="5"/>
    <s v="Routine review"/>
    <s v="appointment_export_2026_05.csv"/>
    <n v="0"/>
    <n v="0"/>
    <x v="2"/>
    <s v="Northern"/>
    <s v="Aroha Rangi"/>
    <s v="Urban"/>
    <s v="Mon-Fri 08:00-18:00"/>
    <x v="2"/>
    <n v="14"/>
    <n v="120"/>
    <s v="Behavioural health"/>
    <s v="Mental Health Clinician"/>
    <s v="Matched"/>
    <n v="12"/>
    <n v="1"/>
    <n v="6"/>
    <n v="1"/>
    <n v="1"/>
    <n v="0"/>
    <n v="1"/>
    <n v="0"/>
    <s v="Matches Standard"/>
    <x v="5"/>
    <n v="2026"/>
    <n v="5"/>
    <s v="May"/>
  </r>
  <r>
    <s v="APT-202605-0085"/>
    <d v="2026-05-07T00:00:00"/>
    <d v="2026-04-20T00:00:00"/>
    <s v="P0085"/>
    <s v="PMR"/>
    <s v="CAR"/>
    <s v="CL029"/>
    <x v="1"/>
    <x v="0"/>
    <d v="1899-12-30T09:00:00"/>
    <d v="1899-12-30T09:09:00"/>
    <d v="1899-12-30T09:25:00"/>
    <n v="20"/>
    <n v="150"/>
    <s v="No"/>
    <n v="2"/>
    <s v="Patient requested appointment"/>
    <s v="appointment_export_2026_05.csv"/>
    <n v="0"/>
    <n v="0"/>
    <x v="3"/>
    <s v="Central"/>
    <s v="Mereana Thompson"/>
    <s v="Regional"/>
    <s v="Mon-Fri 08:30-17:00"/>
    <x v="4"/>
    <n v="28"/>
    <n v="150"/>
    <s v="Specialist outpatient"/>
    <s v="Cardiology Clinician"/>
    <s v="Matched"/>
    <n v="17"/>
    <n v="1"/>
    <n v="16"/>
    <n v="1"/>
    <n v="1"/>
    <n v="0"/>
    <n v="1"/>
    <n v="0"/>
    <s v="Matches Standard"/>
    <x v="5"/>
    <n v="2026"/>
    <n v="5"/>
    <s v="May"/>
  </r>
  <r>
    <s v="APT-202605-0086"/>
    <d v="2026-05-25T00:00:00"/>
    <d v="2026-04-27T00:00:00"/>
    <s v="P0204"/>
    <s v="HAM"/>
    <s v="CAR"/>
    <s v="CL020"/>
    <x v="1"/>
    <x v="3"/>
    <d v="1899-12-30T13:00:00"/>
    <d v="1899-12-30T13:02:00"/>
    <d v="1899-12-30T13:04:00"/>
    <n v="20"/>
    <n v="150"/>
    <s v="No"/>
    <n v="4"/>
    <s v="New referral"/>
    <s v="appointment_export_2026_05.csv"/>
    <n v="0"/>
    <n v="0"/>
    <x v="1"/>
    <s v="Midland"/>
    <s v="Daniel Wong"/>
    <s v="Urban"/>
    <s v="Mon-Fri 08:00-17:30"/>
    <x v="4"/>
    <n v="28"/>
    <n v="150"/>
    <s v="Specialist outpatient"/>
    <s v="Cardiology Clinician"/>
    <s v="Matched"/>
    <n v="28"/>
    <n v="1"/>
    <n v="2"/>
    <n v="1"/>
    <n v="1"/>
    <n v="0"/>
    <n v="1"/>
    <n v="0"/>
    <s v="Matches Standard"/>
    <x v="5"/>
    <n v="2026"/>
    <n v="5"/>
    <s v="May"/>
  </r>
  <r>
    <s v="APT-202605-0087"/>
    <d v="2026-05-09T00:00:00"/>
    <d v="2026-04-29T00:00:00"/>
    <s v="P0041"/>
    <s v="AUC"/>
    <s v="DIA"/>
    <s v="CL008"/>
    <x v="2"/>
    <x v="3"/>
    <d v="1899-12-30T09:30:00"/>
    <m/>
    <m/>
    <n v="0"/>
    <n v="80"/>
    <s v="No"/>
    <m/>
    <s v="Patient requested appointment"/>
    <s v="appointment_export_2026_05.csv"/>
    <n v="0"/>
    <n v="0"/>
    <x v="2"/>
    <s v="Northern"/>
    <s v="Aroha Rangi"/>
    <s v="Urban"/>
    <s v="Mon-Fri 08:00-18:00"/>
    <x v="3"/>
    <n v="10"/>
    <n v="80"/>
    <s v="Long-term conditions"/>
    <s v="Diabetes Nurse"/>
    <s v="Matched"/>
    <n v="10"/>
    <n v="1"/>
    <m/>
    <m/>
    <n v="1"/>
    <n v="1"/>
    <n v="1"/>
    <n v="0"/>
    <s v="Matches Standard"/>
    <x v="5"/>
    <n v="2026"/>
    <n v="5"/>
    <s v="May"/>
  </r>
  <r>
    <s v="APT-202605-0088"/>
    <d v="2026-05-11T00:00:00"/>
    <d v="2026-05-03T00:00:00"/>
    <s v="P0009"/>
    <s v="WLG"/>
    <s v="MHS"/>
    <s v="CL034"/>
    <x v="1"/>
    <x v="3"/>
    <d v="1899-12-30T10:30:00"/>
    <d v="1899-12-30T10:24:00"/>
    <d v="1899-12-30T10:41:00"/>
    <n v="30"/>
    <n v="120"/>
    <s v="Yes"/>
    <n v="4"/>
    <s v="Routine review"/>
    <s v="appointment_export_2026_05.csv"/>
    <n v="0"/>
    <n v="0"/>
    <x v="0"/>
    <s v="Central"/>
    <s v="Sophie Martin"/>
    <s v="Urban"/>
    <s v="Mon-Sat 08:00-18:00"/>
    <x v="2"/>
    <n v="14"/>
    <n v="120"/>
    <s v="Behavioural health"/>
    <s v="Mental Health Clinician"/>
    <s v="Matched"/>
    <n v="8"/>
    <n v="1"/>
    <n v="17"/>
    <n v="1"/>
    <n v="1"/>
    <n v="0"/>
    <n v="1"/>
    <n v="0"/>
    <s v="Matches Standard"/>
    <x v="5"/>
    <n v="2026"/>
    <n v="5"/>
    <s v="May"/>
  </r>
  <r>
    <s v="APT-202605-0089"/>
    <d v="2026-05-27T00:00:00"/>
    <d v="2026-05-07T00:00:00"/>
    <s v="P0178"/>
    <s v="HAM"/>
    <s v="CAR"/>
    <s v="CL020"/>
    <x v="1"/>
    <x v="3"/>
    <d v="1899-12-30T11:30:00"/>
    <d v="1899-12-30T11:20:00"/>
    <d v="1899-12-30T11:52:00"/>
    <n v="45"/>
    <n v="150"/>
    <s v="No"/>
    <n v="4"/>
    <s v="Routine review"/>
    <s v="appointment_export_2026_05.csv"/>
    <n v="0"/>
    <n v="0"/>
    <x v="1"/>
    <s v="Midland"/>
    <s v="Daniel Wong"/>
    <s v="Urban"/>
    <s v="Mon-Fri 08:00-17:30"/>
    <x v="4"/>
    <n v="28"/>
    <n v="150"/>
    <s v="Specialist outpatient"/>
    <s v="Cardiology Clinician"/>
    <s v="Matched"/>
    <n v="20"/>
    <n v="1"/>
    <n v="32"/>
    <n v="0"/>
    <n v="1"/>
    <n v="0"/>
    <n v="1"/>
    <n v="0"/>
    <s v="Matches Standard"/>
    <x v="5"/>
    <n v="2026"/>
    <n v="5"/>
    <s v="May"/>
  </r>
  <r>
    <s v="APT-202605-0090"/>
    <d v="2026-05-14T00:00:00"/>
    <d v="2026-04-29T00:00:00"/>
    <s v="P0095"/>
    <s v="PMR"/>
    <s v="CAR"/>
    <s v="CL029"/>
    <x v="1"/>
    <x v="1"/>
    <d v="1899-12-30T10:30:00"/>
    <d v="1899-12-30T10:24:00"/>
    <d v="1899-12-30T11:00:00"/>
    <n v="30"/>
    <n v="150"/>
    <s v="No"/>
    <n v="5"/>
    <s v="Follow-up visit"/>
    <s v="appointment_export_2026_05.csv"/>
    <n v="0"/>
    <n v="0"/>
    <x v="3"/>
    <s v="Central"/>
    <s v="Mereana Thompson"/>
    <s v="Regional"/>
    <s v="Mon-Fri 08:30-17:00"/>
    <x v="4"/>
    <n v="28"/>
    <n v="150"/>
    <s v="Specialist outpatient"/>
    <s v="Cardiology Clinician"/>
    <s v="Matched"/>
    <n v="15"/>
    <n v="1"/>
    <n v="36"/>
    <n v="0"/>
    <n v="1"/>
    <n v="0"/>
    <n v="1"/>
    <n v="0"/>
    <s v="Matches Standard"/>
    <x v="5"/>
    <n v="2026"/>
    <n v="5"/>
    <s v="May"/>
  </r>
  <r>
    <s v="APT-202605-0091"/>
    <d v="2026-05-30T00:00:00"/>
    <d v="2026-04-16T00:00:00"/>
    <s v="P0229"/>
    <s v="WLG"/>
    <s v="GEN"/>
    <s v="CL032"/>
    <x v="1"/>
    <x v="3"/>
    <d v="1899-12-30T15:30:00"/>
    <d v="1899-12-30T15:34:00"/>
    <d v="1899-12-30T15:41:00"/>
    <n v="30"/>
    <n v="65"/>
    <s v="No"/>
    <n v="4"/>
    <s v="Follow-up visit"/>
    <s v="appointment_export_2026_05.csv"/>
    <n v="0"/>
    <n v="0"/>
    <x v="0"/>
    <s v="Central"/>
    <s v="Sophie Martin"/>
    <s v="Urban"/>
    <s v="Mon-Sat 08:00-18:00"/>
    <x v="1"/>
    <n v="7"/>
    <n v="65"/>
    <s v="Primary care"/>
    <s v="Doctor or Nurse Practitioner"/>
    <s v="Matched"/>
    <n v="44"/>
    <n v="0"/>
    <n v="7"/>
    <n v="1"/>
    <n v="1"/>
    <n v="0"/>
    <n v="1"/>
    <n v="0"/>
    <s v="Matches Standard"/>
    <x v="5"/>
    <n v="2026"/>
    <n v="5"/>
    <s v="May"/>
  </r>
  <r>
    <s v="APT-202605-0092"/>
    <d v="2026-05-09T00:00:00"/>
    <d v="2026-04-17T00:00:00"/>
    <s v="P0238"/>
    <s v="WLG"/>
    <s v="MHS"/>
    <s v="CL034"/>
    <x v="1"/>
    <x v="1"/>
    <d v="1899-12-30T08:30:00"/>
    <d v="1899-12-30T08:33:00"/>
    <d v="1899-12-30T09:10:00"/>
    <n v="20"/>
    <n v="120"/>
    <s v="No"/>
    <n v="3"/>
    <s v="Patient requested appointment"/>
    <s v="appointment_export_2026_05.csv"/>
    <n v="0"/>
    <n v="0"/>
    <x v="0"/>
    <s v="Central"/>
    <s v="Sophie Martin"/>
    <s v="Urban"/>
    <s v="Mon-Sat 08:00-18:00"/>
    <x v="2"/>
    <n v="14"/>
    <n v="120"/>
    <s v="Behavioural health"/>
    <s v="Mental Health Clinician"/>
    <s v="Matched"/>
    <n v="22"/>
    <n v="0"/>
    <n v="37"/>
    <n v="0"/>
    <n v="1"/>
    <n v="0"/>
    <n v="1"/>
    <n v="0"/>
    <s v="Matches Standard"/>
    <x v="5"/>
    <n v="2026"/>
    <n v="5"/>
    <s v="May"/>
  </r>
  <r>
    <s v="APT-202605-0093"/>
    <d v="2026-05-04T00:00:00"/>
    <d v="2026-05-02T00:00:00"/>
    <s v="P0175"/>
    <s v="AUC"/>
    <s v="PHY"/>
    <s v="CL006"/>
    <x v="2"/>
    <x v="0"/>
    <d v="1899-12-30T12:30:00"/>
    <d v="1899-12-30T12:23:00"/>
    <d v="1899-12-30T12:31:00"/>
    <n v="30"/>
    <n v="95"/>
    <s v="No"/>
    <n v="5"/>
    <s v="Care plan review"/>
    <s v="appointment_export_2026_05.csv"/>
    <n v="0"/>
    <n v="0"/>
    <x v="2"/>
    <s v="Northern"/>
    <s v="Aroha Rangi"/>
    <s v="Urban"/>
    <s v="Mon-Fri 08:00-18:00"/>
    <x v="0"/>
    <n v="21"/>
    <n v="95"/>
    <s v="Rehabilitation"/>
    <s v="Physiotherapist"/>
    <s v="Matched"/>
    <n v="2"/>
    <n v="1"/>
    <m/>
    <m/>
    <n v="1"/>
    <n v="1"/>
    <n v="1"/>
    <n v="0"/>
    <s v="Matches Standard"/>
    <x v="5"/>
    <n v="2026"/>
    <n v="5"/>
    <s v="May"/>
  </r>
  <r>
    <s v="APT-202605-0094"/>
    <d v="2026-05-09T00:00:00"/>
    <d v="2026-03-19T00:00:00"/>
    <s v="P0203"/>
    <s v="AUC"/>
    <s v="CAR"/>
    <s v="CL010"/>
    <x v="1"/>
    <x v="2"/>
    <d v="1899-12-30T15:00:00"/>
    <d v="1899-12-30T14:56:00"/>
    <d v="1899-12-30T15:39:00"/>
    <n v="45"/>
    <n v="150"/>
    <s v="Yes"/>
    <n v="5"/>
    <s v="Routine review"/>
    <s v="appointment_export_2026_05.csv"/>
    <n v="0"/>
    <n v="0"/>
    <x v="2"/>
    <s v="Northern"/>
    <s v="Aroha Rangi"/>
    <s v="Urban"/>
    <s v="Mon-Fri 08:00-18:00"/>
    <x v="4"/>
    <n v="28"/>
    <n v="150"/>
    <s v="Specialist outpatient"/>
    <s v="Cardiology Clinician"/>
    <s v="Matched"/>
    <n v="51"/>
    <n v="0"/>
    <n v="43"/>
    <n v="0"/>
    <n v="1"/>
    <n v="0"/>
    <n v="1"/>
    <n v="0"/>
    <s v="Matches Standard"/>
    <x v="5"/>
    <n v="2026"/>
    <n v="5"/>
    <s v="May"/>
  </r>
  <r>
    <s v="APT-202605-0095"/>
    <d v="2026-05-18T00:00:00"/>
    <d v="2026-04-15T00:00:00"/>
    <s v="P0121"/>
    <s v="WLG"/>
    <s v="MHS"/>
    <s v="CL034"/>
    <x v="0"/>
    <x v="3"/>
    <d v="1899-12-30T08:30:00"/>
    <m/>
    <m/>
    <n v="0"/>
    <n v="120"/>
    <s v="No"/>
    <m/>
    <s v="Routine review"/>
    <s v="appointment_export_2026_05.csv"/>
    <n v="0"/>
    <n v="0"/>
    <x v="0"/>
    <s v="Central"/>
    <s v="Sophie Martin"/>
    <s v="Urban"/>
    <s v="Mon-Sat 08:00-18:00"/>
    <x v="2"/>
    <n v="14"/>
    <n v="120"/>
    <s v="Behavioural health"/>
    <s v="Mental Health Clinician"/>
    <s v="Matched"/>
    <n v="33"/>
    <n v="0"/>
    <m/>
    <m/>
    <n v="0"/>
    <m/>
    <n v="1"/>
    <n v="0"/>
    <s v="Matches Standard"/>
    <x v="5"/>
    <n v="2026"/>
    <n v="5"/>
    <s v="May"/>
  </r>
  <r>
    <s v="APT-202605-0096"/>
    <d v="2026-05-18T00:00:00"/>
    <d v="2026-05-07T00:00:00"/>
    <s v="P0100"/>
    <s v="HAM"/>
    <s v="CAR"/>
    <s v="CL019"/>
    <x v="1"/>
    <x v="0"/>
    <d v="1899-12-30T11:30:00"/>
    <d v="1899-12-30T11:20:00"/>
    <d v="1899-12-30T11:56:00"/>
    <n v="30"/>
    <n v="150"/>
    <s v="No"/>
    <n v="2"/>
    <s v="Patient requested appointment"/>
    <s v="appointment_export_2026_05.csv"/>
    <n v="0"/>
    <n v="0"/>
    <x v="1"/>
    <s v="Midland"/>
    <s v="Daniel Wong"/>
    <s v="Urban"/>
    <s v="Mon-Fri 08:00-17:30"/>
    <x v="4"/>
    <n v="28"/>
    <n v="150"/>
    <s v="Specialist outpatient"/>
    <s v="Cardiology Clinician"/>
    <s v="Matched"/>
    <n v="11"/>
    <n v="1"/>
    <n v="36"/>
    <n v="0"/>
    <n v="1"/>
    <n v="0"/>
    <n v="1"/>
    <n v="0"/>
    <s v="Matches Standard"/>
    <x v="5"/>
    <n v="2026"/>
    <n v="5"/>
    <s v="May"/>
  </r>
  <r>
    <s v="APT-202605-0097"/>
    <m/>
    <d v="2026-05-11T00:00:00"/>
    <s v="P0065"/>
    <s v="WLG"/>
    <s v="GEN"/>
    <s v="CL032"/>
    <x v="1"/>
    <x v="1"/>
    <d v="1899-12-30T14:30:00"/>
    <d v="1899-12-30T14:24:00"/>
    <d v="1899-12-30T14:35:00"/>
    <n v="45"/>
    <n v="65"/>
    <s v="Yes"/>
    <n v="4"/>
    <s v="New referral"/>
    <s v="appointment_export_2026_05.csv"/>
    <n v="0"/>
    <n v="0"/>
    <x v="0"/>
    <s v="Central"/>
    <s v="Sophie Martin"/>
    <s v="Urban"/>
    <s v="Mon-Sat 08:00-18:00"/>
    <x v="1"/>
    <n v="7"/>
    <n v="65"/>
    <s v="Primary care"/>
    <s v="Doctor or Nurse Practitioner"/>
    <s v="Matched"/>
    <m/>
    <m/>
    <n v="11"/>
    <n v="1"/>
    <n v="1"/>
    <n v="0"/>
    <n v="1"/>
    <n v="0"/>
    <s v="Matches Standard"/>
    <x v="1"/>
    <m/>
    <m/>
    <m/>
  </r>
  <r>
    <s v="APT-202605-0098"/>
    <d v="2026-05-01T00:00:00"/>
    <d v="2026-04-30T00:00:00"/>
    <s v="P0204"/>
    <s v="PMR"/>
    <s v="CAR"/>
    <s v="CL029"/>
    <x v="1"/>
    <x v="2"/>
    <d v="1899-12-30T09:30:00"/>
    <d v="1899-12-30T09:45:00"/>
    <d v="1899-12-30T09:39:00"/>
    <n v="60"/>
    <n v="150"/>
    <s v="No"/>
    <n v="4"/>
    <s v="New referral"/>
    <s v="appointment_export_2026_05.csv"/>
    <n v="0"/>
    <n v="0"/>
    <x v="3"/>
    <s v="Central"/>
    <s v="Mereana Thompson"/>
    <s v="Regional"/>
    <s v="Mon-Fri 08:30-17:00"/>
    <x v="4"/>
    <n v="28"/>
    <n v="150"/>
    <s v="Specialist outpatient"/>
    <s v="Cardiology Clinician"/>
    <s v="Matched"/>
    <n v="1"/>
    <n v="1"/>
    <m/>
    <m/>
    <n v="1"/>
    <n v="0"/>
    <n v="1"/>
    <n v="0"/>
    <s v="Matches Standard"/>
    <x v="5"/>
    <n v="2026"/>
    <n v="5"/>
    <s v="May"/>
  </r>
  <r>
    <s v="APT-202605-0099"/>
    <d v="2026-05-28T00:00:00"/>
    <d v="2026-05-27T00:00:00"/>
    <s v="P0113"/>
    <s v="AUC"/>
    <s v="PHY"/>
    <s v="CL005"/>
    <x v="1"/>
    <x v="3"/>
    <d v="1899-12-30T08:00:00"/>
    <d v="1899-12-30T07:56:00"/>
    <d v="1899-12-30T08:13:00"/>
    <n v="20"/>
    <n v="95"/>
    <s v="No"/>
    <n v="4"/>
    <s v="Care plan review"/>
    <s v="appointment_export_2026_05.csv"/>
    <n v="0"/>
    <n v="0"/>
    <x v="2"/>
    <s v="Northern"/>
    <s v="Aroha Rangi"/>
    <s v="Urban"/>
    <s v="Mon-Fri 08:00-18:00"/>
    <x v="0"/>
    <n v="21"/>
    <n v="95"/>
    <s v="Rehabilitation"/>
    <s v="Physiotherapist"/>
    <s v="Matched"/>
    <n v="1"/>
    <n v="1"/>
    <n v="17"/>
    <n v="1"/>
    <n v="1"/>
    <n v="0"/>
    <n v="1"/>
    <n v="0"/>
    <s v="Matches Standard"/>
    <x v="5"/>
    <n v="2026"/>
    <n v="5"/>
    <s v="May"/>
  </r>
  <r>
    <s v="APT-202605-0100"/>
    <d v="2026-05-03T00:00:00"/>
    <d v="2026-03-28T00:00:00"/>
    <s v="P0193"/>
    <s v="HAM"/>
    <s v="PHY"/>
    <s v="CL015"/>
    <x v="1"/>
    <x v="3"/>
    <d v="1899-12-30T15:30:00"/>
    <d v="1899-12-30T15:24:00"/>
    <d v="1899-12-30T15:51:00"/>
    <n v="30"/>
    <n v="95"/>
    <s v="No"/>
    <n v="5"/>
    <s v="Follow-up visit"/>
    <s v="appointment_export_2026_05.csv"/>
    <n v="0"/>
    <n v="0"/>
    <x v="1"/>
    <s v="Midland"/>
    <s v="Daniel Wong"/>
    <s v="Urban"/>
    <s v="Mon-Fri 08:00-17:30"/>
    <x v="0"/>
    <n v="21"/>
    <n v="95"/>
    <s v="Rehabilitation"/>
    <s v="Physiotherapist"/>
    <s v="Matched"/>
    <n v="36"/>
    <n v="0"/>
    <n v="27"/>
    <n v="1"/>
    <n v="1"/>
    <n v="0"/>
    <n v="1"/>
    <n v="0"/>
    <s v="Matches Standard"/>
    <x v="5"/>
    <n v="2026"/>
    <n v="5"/>
    <s v="May"/>
  </r>
  <r>
    <s v="APT-202605-0101"/>
    <d v="2026-05-31T00:00:00"/>
    <d v="2026-05-18T00:00:00"/>
    <s v="P0108"/>
    <s v="AUC"/>
    <s v="CAR"/>
    <s v="CL999"/>
    <x v="1"/>
    <x v="0"/>
    <d v="1899-12-30T12:00:00"/>
    <d v="1899-12-30T12:07:00"/>
    <d v="1899-12-30T12:32:00"/>
    <n v="20"/>
    <n v="150"/>
    <s v="No"/>
    <n v="4"/>
    <s v="Routine review"/>
    <s v="appointment_export_2026_05.csv"/>
    <n v="0"/>
    <n v="0"/>
    <x v="2"/>
    <s v="Northern"/>
    <s v="Aroha Rangi"/>
    <s v="Urban"/>
    <s v="Mon-Fri 08:00-18:00"/>
    <x v="4"/>
    <n v="28"/>
    <n v="150"/>
    <s v="Specialist outpatient"/>
    <s v="Cardiology Clinician"/>
    <s v="Matched"/>
    <n v="13"/>
    <n v="1"/>
    <n v="25"/>
    <n v="1"/>
    <n v="1"/>
    <n v="0"/>
    <n v="1"/>
    <n v="0"/>
    <s v="Matches Standard"/>
    <x v="5"/>
    <n v="2026"/>
    <n v="5"/>
    <s v="May"/>
  </r>
  <r>
    <s v="APT-202605-0102"/>
    <d v="2026-05-04T00:00:00"/>
    <d v="2026-03-13T00:00:00"/>
    <s v="P0154"/>
    <s v="PMR"/>
    <s v="MHS"/>
    <s v="CL023"/>
    <x v="1"/>
    <x v="2"/>
    <d v="1899-12-30T12:00:00"/>
    <d v="1899-12-30T12:06:00"/>
    <d v="1899-12-30T12:32:00"/>
    <n v="30"/>
    <n v="120"/>
    <s v="Yes"/>
    <n v="4"/>
    <s v="Follow-up visit"/>
    <s v="appointment_export_2026_05.csv"/>
    <n v="0"/>
    <n v="0"/>
    <x v="3"/>
    <s v="Central"/>
    <s v="Mereana Thompson"/>
    <s v="Regional"/>
    <s v="Mon-Fri 08:30-17:00"/>
    <x v="2"/>
    <n v="14"/>
    <n v="120"/>
    <s v="Behavioural health"/>
    <s v="Mental Health Clinician"/>
    <s v="Matched"/>
    <n v="52"/>
    <n v="0"/>
    <n v="26"/>
    <n v="1"/>
    <n v="1"/>
    <n v="0"/>
    <n v="1"/>
    <n v="0"/>
    <s v="Matches Standard"/>
    <x v="5"/>
    <n v="2026"/>
    <n v="5"/>
    <s v="May"/>
  </r>
  <r>
    <s v="APT-202605-0103"/>
    <d v="2026-05-21T00:00:00"/>
    <d v="2026-04-04T00:00:00"/>
    <s v="P0103"/>
    <s v="HAM"/>
    <s v="PHY"/>
    <s v="CL015"/>
    <x v="1"/>
    <x v="0"/>
    <d v="1899-12-30T11:00:00"/>
    <d v="1899-12-30T11:16:00"/>
    <d v="1899-12-30T11:37:00"/>
    <n v="60"/>
    <n v="95"/>
    <s v="No"/>
    <n v="4"/>
    <s v="Patient requested appointment"/>
    <s v="appointment_export_2026_05.csv"/>
    <n v="0"/>
    <n v="0"/>
    <x v="1"/>
    <s v="Midland"/>
    <s v="Daniel Wong"/>
    <s v="Urban"/>
    <s v="Mon-Fri 08:00-17:30"/>
    <x v="0"/>
    <n v="21"/>
    <n v="95"/>
    <s v="Rehabilitation"/>
    <s v="Physiotherapist"/>
    <s v="Matched"/>
    <n v="47"/>
    <n v="0"/>
    <n v="21"/>
    <n v="1"/>
    <n v="1"/>
    <n v="0"/>
    <n v="1"/>
    <n v="0"/>
    <s v="Matches Standard"/>
    <x v="5"/>
    <n v="2026"/>
    <n v="5"/>
    <s v="May"/>
  </r>
  <r>
    <s v="APT-202605-0104"/>
    <d v="2026-05-02T00:00:00"/>
    <d v="2026-04-18T00:00:00"/>
    <s v="P0151"/>
    <s v="AUC"/>
    <s v="DIA"/>
    <s v="CL007"/>
    <x v="2"/>
    <x v="0"/>
    <d v="1899-12-30T08:00:00"/>
    <m/>
    <m/>
    <n v="0"/>
    <n v="80"/>
    <s v="No"/>
    <m/>
    <s v="Routine review"/>
    <s v="appointment_export_2026_05.csv"/>
    <n v="0"/>
    <n v="0"/>
    <x v="2"/>
    <s v="Northern"/>
    <s v="Aroha Rangi"/>
    <s v="Urban"/>
    <s v="Mon-Fri 08:00-18:00"/>
    <x v="3"/>
    <n v="10"/>
    <n v="80"/>
    <s v="Long-term conditions"/>
    <s v="Diabetes Nurse"/>
    <s v="Matched"/>
    <n v="14"/>
    <n v="0"/>
    <m/>
    <m/>
    <n v="1"/>
    <n v="1"/>
    <n v="1"/>
    <n v="0"/>
    <s v="Matches Standard"/>
    <x v="5"/>
    <n v="2026"/>
    <n v="5"/>
    <s v="May"/>
  </r>
  <r>
    <s v="APT-202605-0105"/>
    <d v="2026-05-12T00:00:00"/>
    <d v="2026-04-27T00:00:00"/>
    <s v="P0063"/>
    <s v="PMR"/>
    <s v="MHS"/>
    <s v="CL023"/>
    <x v="1"/>
    <x v="0"/>
    <d v="1899-12-30T10:00:00"/>
    <d v="1899-12-30T09:59:00"/>
    <d v="1899-12-30T10:07:00"/>
    <n v="20"/>
    <n v="120"/>
    <s v="No"/>
    <n v="3"/>
    <s v="Routine review"/>
    <s v="appointment_export_2026_05.csv"/>
    <n v="0"/>
    <n v="0"/>
    <x v="3"/>
    <s v="Central"/>
    <s v="Mereana Thompson"/>
    <s v="Regional"/>
    <s v="Mon-Fri 08:30-17:00"/>
    <x v="2"/>
    <n v="14"/>
    <n v="120"/>
    <s v="Behavioural health"/>
    <s v="Mental Health Clinician"/>
    <s v="Matched"/>
    <n v="15"/>
    <n v="0"/>
    <n v="8"/>
    <n v="1"/>
    <n v="1"/>
    <n v="0"/>
    <n v="1"/>
    <n v="0"/>
    <s v="Matches Standard"/>
    <x v="5"/>
    <n v="2026"/>
    <n v="5"/>
    <s v="May"/>
  </r>
  <r>
    <s v="APT-202605-0106"/>
    <d v="2026-05-28T00:00:00"/>
    <d v="2026-04-16T00:00:00"/>
    <s v="P0125"/>
    <s v="HAM"/>
    <s v="PHY"/>
    <s v="CL015"/>
    <x v="1"/>
    <x v="1"/>
    <d v="1899-12-30T08:00:00"/>
    <d v="1899-12-30T08:18:00"/>
    <d v="1899-12-30T08:15:00"/>
    <n v="20"/>
    <n v="95"/>
    <s v="No"/>
    <n v="4"/>
    <s v="Care plan review"/>
    <s v="appointment_export_2026_05.csv"/>
    <n v="0"/>
    <n v="0"/>
    <x v="1"/>
    <s v="Midland"/>
    <s v="Daniel Wong"/>
    <s v="Urban"/>
    <s v="Mon-Fri 08:00-17:30"/>
    <x v="0"/>
    <n v="21"/>
    <n v="95"/>
    <s v="Rehabilitation"/>
    <s v="Physiotherapist"/>
    <s v="Matched"/>
    <n v="42"/>
    <n v="0"/>
    <m/>
    <m/>
    <n v="1"/>
    <n v="0"/>
    <n v="1"/>
    <n v="0"/>
    <s v="Matches Standard"/>
    <x v="5"/>
    <n v="2026"/>
    <n v="5"/>
    <s v="May"/>
  </r>
  <r>
    <s v="APT-202605-0107"/>
    <d v="2026-05-10T00:00:00"/>
    <d v="2026-04-17T00:00:00"/>
    <s v="P0094"/>
    <s v="WLG"/>
    <s v="DIA"/>
    <s v="CL038"/>
    <x v="1"/>
    <x v="3"/>
    <d v="1899-12-30T12:30:00"/>
    <d v="1899-12-30T12:25:00"/>
    <d v="1899-12-30T12:32:00"/>
    <n v="45"/>
    <m/>
    <s v="No"/>
    <n v="4"/>
    <s v="Routine review"/>
    <s v="appointment_export_2026_05.csv"/>
    <n v="0"/>
    <n v="0"/>
    <x v="0"/>
    <s v="Central"/>
    <s v="Sophie Martin"/>
    <s v="Urban"/>
    <s v="Mon-Sat 08:00-18:00"/>
    <x v="3"/>
    <n v="10"/>
    <n v="80"/>
    <s v="Long-term conditions"/>
    <s v="Diabetes Nurse"/>
    <s v="Matched"/>
    <n v="23"/>
    <n v="0"/>
    <n v="7"/>
    <n v="1"/>
    <n v="1"/>
    <n v="0"/>
    <n v="0"/>
    <m/>
    <s v="Missing Actual Fee"/>
    <x v="5"/>
    <n v="2026"/>
    <n v="5"/>
    <s v="May"/>
  </r>
  <r>
    <s v="APT-202605-0108"/>
    <d v="2026-05-20T00:00:00"/>
    <d v="2026-04-02T00:00:00"/>
    <s v="P0111"/>
    <s v="AUC"/>
    <s v="DIA"/>
    <s v="CL007"/>
    <x v="1"/>
    <x v="0"/>
    <d v="1899-12-30T12:30:00"/>
    <d v="1899-12-30T12:35:00"/>
    <d v="1899-12-30T12:32:00"/>
    <n v="45"/>
    <n v="80"/>
    <s v="No"/>
    <n v="3"/>
    <s v="Follow-up visit"/>
    <s v="appointment_export_2026_05.csv"/>
    <n v="0"/>
    <n v="0"/>
    <x v="2"/>
    <s v="Northern"/>
    <s v="Aroha Rangi"/>
    <s v="Urban"/>
    <s v="Mon-Fri 08:00-18:00"/>
    <x v="3"/>
    <n v="10"/>
    <n v="80"/>
    <s v="Long-term conditions"/>
    <s v="Diabetes Nurse"/>
    <s v="Matched"/>
    <n v="48"/>
    <n v="0"/>
    <m/>
    <m/>
    <n v="1"/>
    <n v="0"/>
    <n v="1"/>
    <n v="0"/>
    <s v="Matches Standard"/>
    <x v="5"/>
    <n v="2026"/>
    <n v="5"/>
    <s v="May"/>
  </r>
  <r>
    <s v="APT-202605-0109"/>
    <d v="2026-05-28T00:00:00"/>
    <d v="2026-04-21T00:00:00"/>
    <m/>
    <s v="HAM"/>
    <s v="DIA"/>
    <s v="CL017"/>
    <x v="1"/>
    <x v="1"/>
    <d v="1899-12-30T16:00:00"/>
    <d v="1899-12-30T16:01:00"/>
    <d v="1899-12-30T16:16:00"/>
    <n v="45"/>
    <n v="80"/>
    <s v="Yes"/>
    <n v="2"/>
    <s v="Routine review"/>
    <s v="appointment_export_2026_05.csv"/>
    <n v="1"/>
    <n v="0"/>
    <x v="1"/>
    <s v="Midland"/>
    <s v="Daniel Wong"/>
    <s v="Urban"/>
    <s v="Mon-Fri 08:00-17:30"/>
    <x v="3"/>
    <n v="10"/>
    <n v="80"/>
    <s v="Long-term conditions"/>
    <s v="Diabetes Nurse"/>
    <s v="Matched"/>
    <n v="37"/>
    <n v="0"/>
    <n v="15"/>
    <n v="1"/>
    <n v="1"/>
    <n v="0"/>
    <n v="1"/>
    <n v="0"/>
    <s v="Matches Standard"/>
    <x v="5"/>
    <n v="2026"/>
    <n v="5"/>
    <s v="May"/>
  </r>
  <r>
    <s v="APT-202605-0110"/>
    <d v="2026-05-31T00:00:00"/>
    <d v="2026-05-22T00:00:00"/>
    <s v="P0134"/>
    <s v="WLG"/>
    <s v="PHY"/>
    <s v="CL036"/>
    <x v="0"/>
    <x v="0"/>
    <d v="1899-12-30T12:30:00"/>
    <m/>
    <m/>
    <n v="0"/>
    <n v="95"/>
    <s v="Yes"/>
    <m/>
    <s v="Patient requested appointment"/>
    <s v="appointment_export_2026_05.csv"/>
    <n v="0"/>
    <n v="0"/>
    <x v="0"/>
    <s v="Central"/>
    <s v="Sophie Martin"/>
    <s v="Urban"/>
    <s v="Mon-Sat 08:00-18:00"/>
    <x v="0"/>
    <n v="21"/>
    <n v="95"/>
    <s v="Rehabilitation"/>
    <s v="Physiotherapist"/>
    <s v="Matched"/>
    <n v="9"/>
    <n v="1"/>
    <m/>
    <m/>
    <n v="0"/>
    <m/>
    <n v="1"/>
    <n v="0"/>
    <s v="Matches Standard"/>
    <x v="5"/>
    <n v="2026"/>
    <n v="5"/>
    <s v="May"/>
  </r>
  <r>
    <s v="APT-202605-0111"/>
    <d v="2026-05-03T00:00:00"/>
    <d v="2026-04-01T00:00:00"/>
    <s v="P0216"/>
    <s v="AUC"/>
    <s v="GEN"/>
    <s v="CL002"/>
    <x v="1"/>
    <x v="1"/>
    <d v="1899-12-30T09:30:00"/>
    <d v="1899-12-30T09:28:00"/>
    <d v="1899-12-30T09:50:00"/>
    <n v="30"/>
    <n v="65"/>
    <s v="No"/>
    <n v="3"/>
    <s v="Patient requested appointment"/>
    <s v="appointment_export_2026_05.csv"/>
    <n v="0"/>
    <n v="0"/>
    <x v="2"/>
    <s v="Northern"/>
    <s v="Aroha Rangi"/>
    <s v="Urban"/>
    <s v="Mon-Fri 08:00-18:00"/>
    <x v="1"/>
    <n v="7"/>
    <n v="65"/>
    <s v="Primary care"/>
    <s v="Doctor or Nurse Practitioner"/>
    <s v="Matched"/>
    <n v="32"/>
    <n v="0"/>
    <n v="22"/>
    <n v="1"/>
    <n v="1"/>
    <n v="0"/>
    <n v="1"/>
    <n v="0"/>
    <s v="Matches Standard"/>
    <x v="5"/>
    <n v="2026"/>
    <n v="5"/>
    <s v="May"/>
  </r>
  <r>
    <s v="APT-202605-0112"/>
    <d v="2026-05-22T00:00:00"/>
    <d v="2026-05-08T00:00:00"/>
    <s v="P0196"/>
    <s v="AUC"/>
    <s v="GEN"/>
    <s v="CL001"/>
    <x v="1"/>
    <x v="2"/>
    <d v="1899-12-30T13:30:00"/>
    <d v="1899-12-30T13:32:00"/>
    <d v="1899-12-30T13:35:00"/>
    <n v="60"/>
    <n v="65"/>
    <s v="No"/>
    <n v="2"/>
    <s v="Patient requested appointment"/>
    <s v="appointment_export_2026_05.csv"/>
    <n v="0"/>
    <n v="0"/>
    <x v="2"/>
    <s v="Northern"/>
    <s v="Aroha Rangi"/>
    <s v="Urban"/>
    <s v="Mon-Fri 08:00-18:00"/>
    <x v="1"/>
    <n v="7"/>
    <n v="65"/>
    <s v="Primary care"/>
    <s v="Doctor or Nurse Practitioner"/>
    <s v="Matched"/>
    <n v="14"/>
    <n v="0"/>
    <n v="3"/>
    <n v="1"/>
    <n v="1"/>
    <n v="0"/>
    <n v="1"/>
    <n v="0"/>
    <s v="Matches Standard"/>
    <x v="5"/>
    <n v="2026"/>
    <n v="5"/>
    <s v="May"/>
  </r>
  <r>
    <s v="APT-202605-0113"/>
    <d v="2026-05-16T00:00:00"/>
    <m/>
    <s v="P0195"/>
    <s v="WLG"/>
    <s v="DIA"/>
    <s v="CL038"/>
    <x v="2"/>
    <x v="1"/>
    <d v="1899-12-30T14:30:00"/>
    <m/>
    <m/>
    <n v="0"/>
    <n v="80"/>
    <s v="No"/>
    <m/>
    <s v="New referral"/>
    <s v="appointment_export_2026_05.csv"/>
    <n v="0"/>
    <n v="0"/>
    <x v="0"/>
    <s v="Central"/>
    <s v="Sophie Martin"/>
    <s v="Urban"/>
    <s v="Mon-Sat 08:00-18:00"/>
    <x v="3"/>
    <n v="10"/>
    <n v="80"/>
    <s v="Long-term conditions"/>
    <s v="Diabetes Nurse"/>
    <s v="Matched"/>
    <m/>
    <m/>
    <m/>
    <m/>
    <n v="1"/>
    <n v="1"/>
    <n v="1"/>
    <n v="0"/>
    <s v="Matches Standard"/>
    <x v="5"/>
    <n v="2026"/>
    <n v="5"/>
    <s v="May"/>
  </r>
  <r>
    <s v="APT-202605-0114"/>
    <d v="2026-05-26T00:00:00"/>
    <d v="2026-05-09T00:00:00"/>
    <s v="P0180"/>
    <s v="WLG"/>
    <s v="MHS"/>
    <s v="CL034"/>
    <x v="0"/>
    <x v="1"/>
    <d v="1899-12-30T10:30:00"/>
    <m/>
    <m/>
    <n v="0"/>
    <n v="120"/>
    <s v="No"/>
    <m/>
    <s v="New referral"/>
    <s v="appointment_export_2026_05.csv"/>
    <n v="0"/>
    <n v="0"/>
    <x v="0"/>
    <s v="Central"/>
    <s v="Sophie Martin"/>
    <s v="Urban"/>
    <s v="Mon-Sat 08:00-18:00"/>
    <x v="2"/>
    <n v="14"/>
    <n v="120"/>
    <s v="Behavioural health"/>
    <s v="Mental Health Clinician"/>
    <s v="Matched"/>
    <n v="17"/>
    <n v="0"/>
    <m/>
    <m/>
    <n v="0"/>
    <m/>
    <n v="1"/>
    <n v="0"/>
    <s v="Matches Standard"/>
    <x v="5"/>
    <n v="2026"/>
    <n v="5"/>
    <s v="May"/>
  </r>
  <r>
    <s v="APT-202605-0115"/>
    <d v="2026-05-01T00:00:00"/>
    <d v="2026-04-21T00:00:00"/>
    <s v="P0021"/>
    <s v="HAM"/>
    <s v="GEN"/>
    <s v="CL011"/>
    <x v="1"/>
    <x v="0"/>
    <d v="1899-12-30T11:30:00"/>
    <d v="1899-12-30T11:26:00"/>
    <d v="1899-12-30T12:07:00"/>
    <n v="20"/>
    <n v="65"/>
    <s v="No"/>
    <n v="4"/>
    <s v="New referral"/>
    <s v="appointment_export_2026_05.csv"/>
    <n v="0"/>
    <n v="0"/>
    <x v="1"/>
    <s v="Midland"/>
    <s v="Daniel Wong"/>
    <s v="Urban"/>
    <s v="Mon-Fri 08:00-17:30"/>
    <x v="1"/>
    <n v="7"/>
    <n v="65"/>
    <s v="Primary care"/>
    <s v="Doctor or Nurse Practitioner"/>
    <s v="Matched"/>
    <n v="10"/>
    <n v="0"/>
    <n v="41"/>
    <n v="0"/>
    <n v="1"/>
    <n v="0"/>
    <n v="1"/>
    <n v="0"/>
    <s v="Matches Standard"/>
    <x v="5"/>
    <n v="2026"/>
    <n v="5"/>
    <s v="May"/>
  </r>
  <r>
    <s v="APT-202605-0116"/>
    <d v="2026-05-30T00:00:00"/>
    <d v="2026-04-29T00:00:00"/>
    <s v="P0214"/>
    <s v="WLG"/>
    <s v="DIA"/>
    <s v="CL038"/>
    <x v="1"/>
    <x v="3"/>
    <d v="1899-12-30T09:30:00"/>
    <d v="1899-12-30T09:33:00"/>
    <d v="1899-12-30T09:52:00"/>
    <n v="60"/>
    <n v="80"/>
    <s v="No"/>
    <n v="4"/>
    <s v="Follow-up visit"/>
    <s v="appointment_export_2026_05.csv"/>
    <n v="0"/>
    <n v="0"/>
    <x v="0"/>
    <s v="Central"/>
    <s v="Sophie Martin"/>
    <s v="Urban"/>
    <s v="Mon-Sat 08:00-18:00"/>
    <x v="3"/>
    <n v="10"/>
    <n v="80"/>
    <s v="Long-term conditions"/>
    <s v="Diabetes Nurse"/>
    <s v="Matched"/>
    <n v="31"/>
    <n v="0"/>
    <n v="19"/>
    <n v="1"/>
    <n v="1"/>
    <n v="0"/>
    <n v="1"/>
    <n v="0"/>
    <s v="Matches Standard"/>
    <x v="5"/>
    <n v="2026"/>
    <n v="5"/>
    <s v="May"/>
  </r>
  <r>
    <s v="APT-202605-0117"/>
    <d v="2026-05-19T00:00:00"/>
    <d v="2026-03-27T00:00:00"/>
    <s v="P0104"/>
    <s v="PMR"/>
    <s v="CAR"/>
    <s v="CL030"/>
    <x v="1"/>
    <x v="0"/>
    <d v="1899-12-30T13:00:00"/>
    <d v="1899-12-30T13:14:00"/>
    <d v="1899-12-30T13:16:00"/>
    <n v="30"/>
    <n v="150"/>
    <s v="No"/>
    <n v="5"/>
    <s v="Care plan review"/>
    <s v="appointment_export_2026_05.csv"/>
    <n v="0"/>
    <n v="0"/>
    <x v="3"/>
    <s v="Central"/>
    <s v="Mereana Thompson"/>
    <s v="Regional"/>
    <s v="Mon-Fri 08:30-17:00"/>
    <x v="4"/>
    <n v="28"/>
    <n v="150"/>
    <s v="Specialist outpatient"/>
    <s v="Cardiology Clinician"/>
    <s v="Matched"/>
    <n v="53"/>
    <n v="0"/>
    <n v="2"/>
    <n v="1"/>
    <n v="1"/>
    <n v="0"/>
    <n v="1"/>
    <n v="0"/>
    <s v="Matches Standard"/>
    <x v="5"/>
    <n v="2026"/>
    <n v="5"/>
    <s v="May"/>
  </r>
  <r>
    <s v="APT-202605-0118"/>
    <d v="2026-05-07T00:00:00"/>
    <d v="2026-04-24T00:00:00"/>
    <s v="P0195"/>
    <s v="AUC"/>
    <s v="MHS"/>
    <s v="CL003"/>
    <x v="1"/>
    <x v="3"/>
    <d v="1899-12-30T13:30:00"/>
    <d v="1899-12-30T13:38:00"/>
    <d v="1899-12-30T13:42:00"/>
    <n v="60"/>
    <n v="120"/>
    <s v="No"/>
    <n v="2"/>
    <s v="New referral"/>
    <s v="appointment_export_2026_05.csv"/>
    <n v="0"/>
    <n v="0"/>
    <x v="2"/>
    <s v="Northern"/>
    <s v="Aroha Rangi"/>
    <s v="Urban"/>
    <s v="Mon-Fri 08:00-18:00"/>
    <x v="2"/>
    <n v="14"/>
    <n v="120"/>
    <s v="Behavioural health"/>
    <s v="Mental Health Clinician"/>
    <s v="Matched"/>
    <n v="13"/>
    <n v="1"/>
    <n v="4"/>
    <n v="1"/>
    <n v="1"/>
    <n v="0"/>
    <n v="1"/>
    <n v="0"/>
    <s v="Matches Standard"/>
    <x v="5"/>
    <n v="2026"/>
    <n v="5"/>
    <s v="May"/>
  </r>
  <r>
    <s v="APT-202605-0119"/>
    <d v="2026-05-21T00:00:00"/>
    <d v="2026-05-10T00:00:00"/>
    <s v="P0128"/>
    <s v="HAM"/>
    <s v="MHS"/>
    <s v="CL013"/>
    <x v="1"/>
    <x v="0"/>
    <d v="1899-12-30T15:30:00"/>
    <d v="1899-12-30T15:35:00"/>
    <d v="1899-12-30T15:33:00"/>
    <n v="45"/>
    <n v="120"/>
    <s v="Yes"/>
    <n v="5"/>
    <s v="Patient requested appointment"/>
    <s v="appointment_export_2026_05.csv"/>
    <n v="0"/>
    <n v="0"/>
    <x v="1"/>
    <s v="Midland"/>
    <s v="Daniel Wong"/>
    <s v="Urban"/>
    <s v="Mon-Fri 08:00-17:30"/>
    <x v="2"/>
    <n v="14"/>
    <n v="120"/>
    <s v="Behavioural health"/>
    <s v="Mental Health Clinician"/>
    <s v="Matched"/>
    <n v="11"/>
    <n v="1"/>
    <m/>
    <m/>
    <n v="1"/>
    <n v="0"/>
    <n v="1"/>
    <n v="0"/>
    <s v="Matches Standard"/>
    <x v="5"/>
    <n v="2026"/>
    <n v="5"/>
    <s v="May"/>
  </r>
  <r>
    <s v="APT-202605-0120"/>
    <d v="2026-05-28T00:00:00"/>
    <d v="2026-04-03T00:00:00"/>
    <s v="P0220"/>
    <s v="PMR"/>
    <s v="CAR"/>
    <s v="CL029"/>
    <x v="0"/>
    <x v="0"/>
    <d v="1899-12-30T14:30:00"/>
    <m/>
    <m/>
    <n v="0"/>
    <n v="150"/>
    <s v="No"/>
    <m/>
    <s v="Care plan review"/>
    <s v="appointment_export_2026_05.csv"/>
    <n v="0"/>
    <n v="0"/>
    <x v="3"/>
    <s v="Central"/>
    <s v="Mereana Thompson"/>
    <s v="Regional"/>
    <s v="Mon-Fri 08:30-17:00"/>
    <x v="4"/>
    <n v="28"/>
    <n v="150"/>
    <s v="Specialist outpatient"/>
    <s v="Cardiology Clinician"/>
    <s v="Matched"/>
    <n v="55"/>
    <n v="0"/>
    <m/>
    <m/>
    <n v="0"/>
    <m/>
    <n v="1"/>
    <n v="0"/>
    <s v="Matches Standard"/>
    <x v="5"/>
    <n v="2026"/>
    <n v="5"/>
    <s v="May"/>
  </r>
  <r>
    <s v="APT-202605-0121"/>
    <d v="2026-05-09T00:00:00"/>
    <d v="2026-04-19T00:00:00"/>
    <s v="P0117"/>
    <s v="WLG"/>
    <s v="CAR"/>
    <s v="CL039"/>
    <x v="1"/>
    <x v="2"/>
    <d v="1899-12-30T13:00:00"/>
    <d v="1899-12-30T13:05:00"/>
    <d v="1899-12-30T13:18:00"/>
    <n v="45"/>
    <n v="150"/>
    <s v="No"/>
    <n v="4"/>
    <s v="Patient requested appointment"/>
    <s v="appointment_export_2026_05.csv"/>
    <n v="0"/>
    <n v="0"/>
    <x v="0"/>
    <s v="Central"/>
    <s v="Sophie Martin"/>
    <s v="Urban"/>
    <s v="Mon-Sat 08:00-18:00"/>
    <x v="4"/>
    <n v="28"/>
    <n v="150"/>
    <s v="Specialist outpatient"/>
    <s v="Cardiology Clinician"/>
    <s v="Matched"/>
    <n v="20"/>
    <n v="1"/>
    <n v="13"/>
    <n v="1"/>
    <n v="1"/>
    <n v="0"/>
    <n v="1"/>
    <n v="0"/>
    <s v="Matches Standard"/>
    <x v="5"/>
    <n v="2026"/>
    <n v="5"/>
    <s v="May"/>
  </r>
  <r>
    <s v="APT-202605-0122"/>
    <d v="2026-05-20T00:00:00"/>
    <d v="2026-05-02T00:00:00"/>
    <s v="P0089"/>
    <s v="HAM"/>
    <s v="CAR"/>
    <s v="CL019"/>
    <x v="1"/>
    <x v="1"/>
    <d v="1899-12-30T11:00:00"/>
    <d v="1899-12-30T11:16:00"/>
    <d v="1899-12-30T11:00:00"/>
    <n v="30"/>
    <n v="150"/>
    <s v="Yes"/>
    <n v="3"/>
    <s v="New referral"/>
    <s v="appointment_export_2026_05.csv"/>
    <n v="0"/>
    <n v="0"/>
    <x v="1"/>
    <s v="Midland"/>
    <s v="Daniel Wong"/>
    <s v="Urban"/>
    <s v="Mon-Fri 08:00-17:30"/>
    <x v="4"/>
    <n v="28"/>
    <n v="150"/>
    <s v="Specialist outpatient"/>
    <s v="Cardiology Clinician"/>
    <s v="Matched"/>
    <n v="18"/>
    <n v="1"/>
    <m/>
    <m/>
    <n v="1"/>
    <n v="0"/>
    <n v="1"/>
    <n v="0"/>
    <s v="Matches Standard"/>
    <x v="5"/>
    <n v="2026"/>
    <n v="5"/>
    <s v="May"/>
  </r>
  <r>
    <s v="APT-202605-0123"/>
    <d v="2026-05-25T00:00:00"/>
    <d v="2026-04-17T00:00:00"/>
    <s v="P0087"/>
    <s v="WLG"/>
    <s v="DIA"/>
    <s v="CL037"/>
    <x v="1"/>
    <x v="3"/>
    <d v="1899-12-30T11:30:00"/>
    <d v="1899-12-30T11:22:00"/>
    <d v="1899-12-30T11:53:00"/>
    <n v="30"/>
    <n v="80"/>
    <s v="Yes"/>
    <n v="4"/>
    <s v="Follow-up visit"/>
    <s v="appointment_export_2026_05.csv"/>
    <n v="0"/>
    <n v="0"/>
    <x v="0"/>
    <s v="Central"/>
    <s v="Sophie Martin"/>
    <s v="Urban"/>
    <s v="Mon-Sat 08:00-18:00"/>
    <x v="3"/>
    <n v="10"/>
    <n v="80"/>
    <s v="Long-term conditions"/>
    <s v="Diabetes Nurse"/>
    <s v="Matched"/>
    <n v="38"/>
    <n v="0"/>
    <n v="31"/>
    <n v="0"/>
    <n v="1"/>
    <n v="0"/>
    <n v="1"/>
    <n v="0"/>
    <s v="Matches Standard"/>
    <x v="5"/>
    <n v="2026"/>
    <n v="5"/>
    <s v="May"/>
  </r>
  <r>
    <s v="APT-202605-0124"/>
    <d v="2026-05-22T00:00:00"/>
    <d v="2026-04-20T00:00:00"/>
    <s v="P0015"/>
    <s v="HAM"/>
    <s v="GEN"/>
    <s v="CL011"/>
    <x v="2"/>
    <x v="1"/>
    <d v="1899-12-30T16:00:00"/>
    <d v="1899-12-30T16:02:00"/>
    <d v="1899-12-30T16:13:00"/>
    <n v="30"/>
    <n v="65"/>
    <s v="Yes"/>
    <n v="5"/>
    <s v="Follow-up visit"/>
    <s v="appointment_export_2026_05.csv"/>
    <n v="0"/>
    <n v="0"/>
    <x v="1"/>
    <s v="Midland"/>
    <s v="Daniel Wong"/>
    <s v="Urban"/>
    <s v="Mon-Fri 08:00-17:30"/>
    <x v="1"/>
    <n v="7"/>
    <n v="65"/>
    <s v="Primary care"/>
    <s v="Doctor or Nurse Practitioner"/>
    <s v="Matched"/>
    <n v="32"/>
    <n v="0"/>
    <m/>
    <m/>
    <n v="1"/>
    <n v="1"/>
    <n v="1"/>
    <n v="0"/>
    <s v="Matches Standard"/>
    <x v="5"/>
    <n v="2026"/>
    <n v="5"/>
    <s v="May"/>
  </r>
  <r>
    <s v="APT-202605-0125"/>
    <d v="2026-05-06T00:00:00"/>
    <d v="2026-04-27T00:00:00"/>
    <s v="P0045"/>
    <s v="WLG"/>
    <s v="MHS"/>
    <s v="CL033"/>
    <x v="2"/>
    <x v="3"/>
    <d v="1899-12-30T08:30:00"/>
    <m/>
    <m/>
    <n v="0"/>
    <n v="120"/>
    <s v="No"/>
    <m/>
    <s v="New referral"/>
    <s v="appointment_export_2026_05.csv"/>
    <n v="0"/>
    <n v="0"/>
    <x v="0"/>
    <s v="Central"/>
    <s v="Sophie Martin"/>
    <s v="Urban"/>
    <s v="Mon-Sat 08:00-18:00"/>
    <x v="2"/>
    <n v="14"/>
    <n v="120"/>
    <s v="Behavioural health"/>
    <s v="Mental Health Clinician"/>
    <s v="Matched"/>
    <n v="9"/>
    <n v="1"/>
    <m/>
    <m/>
    <n v="1"/>
    <n v="1"/>
    <n v="1"/>
    <n v="0"/>
    <s v="Matches Standard"/>
    <x v="5"/>
    <n v="2026"/>
    <n v="5"/>
    <s v="May"/>
  </r>
  <r>
    <s v="APT-202605-0126"/>
    <d v="2026-05-07T00:00:00"/>
    <d v="2026-04-03T00:00:00"/>
    <s v="P0216"/>
    <s v="HAM"/>
    <s v="DIA"/>
    <s v="CL018"/>
    <x v="1"/>
    <x v="0"/>
    <d v="1899-12-30T09:30:00"/>
    <d v="1899-12-30T09:40:00"/>
    <d v="1899-12-30T09:50:00"/>
    <n v="60"/>
    <n v="80"/>
    <s v="No"/>
    <n v="4"/>
    <s v="Follow-up visit"/>
    <s v="appointment_export_2026_05.csv"/>
    <n v="0"/>
    <n v="0"/>
    <x v="1"/>
    <s v="Midland"/>
    <s v="Daniel Wong"/>
    <s v="Urban"/>
    <s v="Mon-Fri 08:00-17:30"/>
    <x v="3"/>
    <n v="10"/>
    <n v="80"/>
    <s v="Long-term conditions"/>
    <s v="Diabetes Nurse"/>
    <s v="Matched"/>
    <n v="34"/>
    <n v="0"/>
    <n v="10"/>
    <n v="1"/>
    <n v="1"/>
    <n v="0"/>
    <n v="1"/>
    <n v="0"/>
    <s v="Matches Standard"/>
    <x v="5"/>
    <n v="2026"/>
    <n v="5"/>
    <s v="May"/>
  </r>
  <r>
    <s v="APT-202605-0127"/>
    <d v="2026-05-28T00:00:00"/>
    <d v="2026-05-03T00:00:00"/>
    <s v="P0166"/>
    <s v="AUC"/>
    <s v="MHS"/>
    <s v="CL003"/>
    <x v="0"/>
    <x v="1"/>
    <d v="1899-12-30T12:30:00"/>
    <m/>
    <m/>
    <n v="0"/>
    <n v="120"/>
    <s v="Yes"/>
    <m/>
    <s v="Patient requested appointment"/>
    <s v="appointment_export_2026_05.csv"/>
    <n v="0"/>
    <n v="0"/>
    <x v="2"/>
    <s v="Northern"/>
    <s v="Aroha Rangi"/>
    <s v="Urban"/>
    <s v="Mon-Fri 08:00-18:00"/>
    <x v="2"/>
    <n v="14"/>
    <n v="120"/>
    <s v="Behavioural health"/>
    <s v="Mental Health Clinician"/>
    <s v="Matched"/>
    <n v="25"/>
    <n v="0"/>
    <m/>
    <m/>
    <n v="0"/>
    <m/>
    <n v="1"/>
    <n v="0"/>
    <s v="Matches Standard"/>
    <x v="5"/>
    <n v="2026"/>
    <n v="5"/>
    <s v="May"/>
  </r>
  <r>
    <s v="APT-202605-0128"/>
    <d v="2026-05-23T00:00:00"/>
    <d v="2026-04-30T00:00:00"/>
    <s v="P0023"/>
    <s v="AUC"/>
    <s v="MHS"/>
    <s v="CL003"/>
    <x v="2"/>
    <x v="3"/>
    <d v="1899-12-30T12:30:00"/>
    <m/>
    <m/>
    <n v="0"/>
    <n v="120"/>
    <s v="No"/>
    <m/>
    <s v="Routine review"/>
    <s v="appointment_export_2026_05.csv"/>
    <n v="0"/>
    <n v="0"/>
    <x v="2"/>
    <s v="Northern"/>
    <s v="Aroha Rangi"/>
    <s v="Urban"/>
    <s v="Mon-Fri 08:00-18:00"/>
    <x v="2"/>
    <n v="14"/>
    <n v="120"/>
    <s v="Behavioural health"/>
    <s v="Mental Health Clinician"/>
    <s v="Matched"/>
    <n v="23"/>
    <n v="0"/>
    <m/>
    <m/>
    <n v="1"/>
    <n v="1"/>
    <n v="1"/>
    <n v="0"/>
    <s v="Matches Standard"/>
    <x v="5"/>
    <n v="2026"/>
    <n v="5"/>
    <s v="May"/>
  </r>
  <r>
    <s v="APT-202605-0129"/>
    <d v="2026-05-10T00:00:00"/>
    <d v="2026-04-17T00:00:00"/>
    <s v="P0146"/>
    <s v="WLG"/>
    <s v="MHS"/>
    <s v="CL033"/>
    <x v="0"/>
    <x v="3"/>
    <d v="1899-12-30T08:00:00"/>
    <m/>
    <m/>
    <n v="0"/>
    <n v="120"/>
    <s v="No"/>
    <m/>
    <s v="New referral"/>
    <s v="appointment_export_2026_05.csv"/>
    <n v="0"/>
    <n v="0"/>
    <x v="0"/>
    <s v="Central"/>
    <s v="Sophie Martin"/>
    <s v="Urban"/>
    <s v="Mon-Sat 08:00-18:00"/>
    <x v="2"/>
    <n v="14"/>
    <n v="120"/>
    <s v="Behavioural health"/>
    <s v="Mental Health Clinician"/>
    <s v="Matched"/>
    <n v="23"/>
    <n v="0"/>
    <m/>
    <m/>
    <n v="0"/>
    <m/>
    <n v="1"/>
    <n v="0"/>
    <s v="Matches Standard"/>
    <x v="5"/>
    <n v="2026"/>
    <n v="5"/>
    <s v="May"/>
  </r>
  <r>
    <s v="APT-202605-0130"/>
    <d v="2026-05-20T00:00:00"/>
    <d v="2026-04-28T00:00:00"/>
    <s v="P0146"/>
    <s v="AUC"/>
    <s v="CAR"/>
    <s v="CL009"/>
    <x v="1"/>
    <x v="1"/>
    <d v="1899-12-30T15:30:00"/>
    <d v="1899-12-30T15:21:00"/>
    <d v="1899-12-30T15:51:00"/>
    <n v="30"/>
    <n v="150"/>
    <s v="No"/>
    <n v="5"/>
    <s v="Patient requested appointment"/>
    <s v="appointment_export_2026_05.csv"/>
    <n v="0"/>
    <n v="0"/>
    <x v="2"/>
    <s v="Northern"/>
    <s v="Aroha Rangi"/>
    <s v="Urban"/>
    <s v="Mon-Fri 08:00-18:00"/>
    <x v="4"/>
    <n v="28"/>
    <n v="150"/>
    <s v="Specialist outpatient"/>
    <s v="Cardiology Clinician"/>
    <s v="Matched"/>
    <n v="22"/>
    <n v="1"/>
    <n v="30"/>
    <n v="1"/>
    <n v="1"/>
    <n v="0"/>
    <n v="1"/>
    <n v="0"/>
    <s v="Matches Standard"/>
    <x v="5"/>
    <n v="2026"/>
    <n v="5"/>
    <s v="May"/>
  </r>
  <r>
    <s v="APT-202605-0131"/>
    <d v="2026-05-13T00:00:00"/>
    <d v="2026-05-11T00:00:00"/>
    <s v="P9999"/>
    <s v="AUC"/>
    <s v="DIA"/>
    <s v="CL007"/>
    <x v="1"/>
    <x v="1"/>
    <d v="1899-12-30T09:30:00"/>
    <d v="1899-12-30T09:26:00"/>
    <d v="1899-12-30T10:03:00"/>
    <n v="60"/>
    <n v="80"/>
    <s v="Yes"/>
    <n v="2"/>
    <s v="Care plan review"/>
    <s v="appointment_export_2026_05.csv"/>
    <n v="0"/>
    <n v="0"/>
    <x v="2"/>
    <s v="Northern"/>
    <s v="Aroha Rangi"/>
    <s v="Urban"/>
    <s v="Mon-Fri 08:00-18:00"/>
    <x v="3"/>
    <n v="10"/>
    <n v="80"/>
    <s v="Long-term conditions"/>
    <s v="Diabetes Nurse"/>
    <s v="Matched"/>
    <n v="2"/>
    <n v="1"/>
    <n v="37"/>
    <n v="0"/>
    <n v="1"/>
    <n v="0"/>
    <n v="1"/>
    <n v="0"/>
    <s v="Matches Standard"/>
    <x v="5"/>
    <n v="2026"/>
    <n v="5"/>
    <s v="May"/>
  </r>
  <r>
    <s v="APT-202605-0132"/>
    <d v="2026-05-09T00:00:00"/>
    <d v="2026-04-15T00:00:00"/>
    <s v="P0104"/>
    <s v="HAM"/>
    <s v="CAR"/>
    <s v="CL020"/>
    <x v="1"/>
    <x v="2"/>
    <d v="1899-12-30T09:00:00"/>
    <d v="1899-12-30T09:14:00"/>
    <d v="1899-12-30T09:28:00"/>
    <n v="20"/>
    <n v="150"/>
    <s v="No"/>
    <n v="5"/>
    <s v="New referral"/>
    <s v="appointment_export_2026_05.csv"/>
    <n v="0"/>
    <n v="0"/>
    <x v="1"/>
    <s v="Midland"/>
    <s v="Daniel Wong"/>
    <s v="Urban"/>
    <s v="Mon-Fri 08:00-17:30"/>
    <x v="4"/>
    <n v="28"/>
    <n v="150"/>
    <s v="Specialist outpatient"/>
    <s v="Cardiology Clinician"/>
    <s v="Matched"/>
    <n v="24"/>
    <n v="1"/>
    <n v="14"/>
    <n v="1"/>
    <n v="1"/>
    <n v="0"/>
    <n v="1"/>
    <n v="0"/>
    <s v="Matches Standard"/>
    <x v="5"/>
    <n v="2026"/>
    <n v="5"/>
    <s v="May"/>
  </r>
  <r>
    <s v="APT-202605-0133"/>
    <d v="2026-05-05T00:00:00"/>
    <d v="2026-03-20T00:00:00"/>
    <s v="P0106"/>
    <s v="WLG"/>
    <s v="GEN"/>
    <s v="CL031"/>
    <x v="1"/>
    <x v="0"/>
    <d v="1899-12-30T14:30:00"/>
    <d v="1899-12-30T14:23:00"/>
    <d v="1899-12-30T14:52:00"/>
    <n v="30"/>
    <n v="65"/>
    <s v="No"/>
    <n v="4"/>
    <s v="New referral"/>
    <s v="appointment_export_2026_05.csv"/>
    <n v="0"/>
    <n v="0"/>
    <x v="0"/>
    <s v="Central"/>
    <s v="Sophie Martin"/>
    <s v="Urban"/>
    <s v="Mon-Sat 08:00-18:00"/>
    <x v="1"/>
    <n v="7"/>
    <n v="65"/>
    <s v="Primary care"/>
    <s v="Doctor or Nurse Practitioner"/>
    <s v="Matched"/>
    <n v="46"/>
    <n v="0"/>
    <n v="29"/>
    <n v="1"/>
    <n v="1"/>
    <n v="0"/>
    <n v="1"/>
    <n v="0"/>
    <s v="Matches Standard"/>
    <x v="5"/>
    <n v="2026"/>
    <n v="5"/>
    <s v="May"/>
  </r>
  <r>
    <s v="APT-202605-0134"/>
    <d v="2026-05-13T00:00:00"/>
    <d v="2026-04-15T00:00:00"/>
    <s v="P0160"/>
    <s v="PMR"/>
    <s v="MHS"/>
    <s v="CL023"/>
    <x v="2"/>
    <x v="3"/>
    <d v="1899-12-30T11:30:00"/>
    <m/>
    <m/>
    <n v="45"/>
    <n v="120"/>
    <s v="No"/>
    <m/>
    <s v="Care plan review"/>
    <s v="appointment_export_2026_05.csv"/>
    <n v="0"/>
    <n v="0"/>
    <x v="3"/>
    <s v="Central"/>
    <s v="Mereana Thompson"/>
    <s v="Regional"/>
    <s v="Mon-Fri 08:30-17:00"/>
    <x v="2"/>
    <n v="14"/>
    <n v="120"/>
    <s v="Behavioural health"/>
    <s v="Mental Health Clinician"/>
    <s v="Matched"/>
    <n v="28"/>
    <n v="0"/>
    <m/>
    <m/>
    <n v="1"/>
    <n v="1"/>
    <n v="1"/>
    <n v="0"/>
    <s v="Matches Standard"/>
    <x v="5"/>
    <n v="2026"/>
    <n v="5"/>
    <s v="May"/>
  </r>
  <r>
    <s v="APT-202605-0135"/>
    <d v="2026-05-04T00:00:00"/>
    <d v="2026-03-20T00:00:00"/>
    <s v="P0021"/>
    <s v="WLG"/>
    <s v="PHY"/>
    <s v="CL035"/>
    <x v="1"/>
    <x v="0"/>
    <d v="1899-12-30T12:00:00"/>
    <d v="1899-12-30T12:13:00"/>
    <d v="1899-12-30T12:34:00"/>
    <n v="45"/>
    <n v="95"/>
    <s v="No"/>
    <n v="3"/>
    <s v="Patient requested appointment"/>
    <s v="appointment_export_2026_05.csv"/>
    <n v="0"/>
    <n v="0"/>
    <x v="0"/>
    <s v="Central"/>
    <s v="Sophie Martin"/>
    <s v="Urban"/>
    <s v="Mon-Sat 08:00-18:00"/>
    <x v="0"/>
    <n v="21"/>
    <n v="95"/>
    <s v="Rehabilitation"/>
    <s v="Physiotherapist"/>
    <s v="Matched"/>
    <n v="45"/>
    <n v="0"/>
    <n v="21"/>
    <n v="1"/>
    <n v="1"/>
    <n v="0"/>
    <n v="1"/>
    <n v="0"/>
    <s v="Matches Standard"/>
    <x v="5"/>
    <n v="2026"/>
    <n v="5"/>
    <s v="May"/>
  </r>
  <r>
    <s v="APT-202605-0136"/>
    <d v="2026-05-29T00:00:00"/>
    <d v="2026-05-09T00:00:00"/>
    <s v="P0147"/>
    <s v="WLG"/>
    <s v="CAR"/>
    <s v="CL039"/>
    <x v="1"/>
    <x v="3"/>
    <d v="1899-12-30T11:00:00"/>
    <d v="1899-12-30T11:11:00"/>
    <d v="1899-12-30T11:28:00"/>
    <n v="20"/>
    <n v="150"/>
    <s v="No"/>
    <n v="2"/>
    <s v="Routine review"/>
    <s v="appointment_export_2026_05.csv"/>
    <n v="0"/>
    <n v="0"/>
    <x v="0"/>
    <s v="Central"/>
    <s v="Sophie Martin"/>
    <s v="Urban"/>
    <s v="Mon-Sat 08:00-18:00"/>
    <x v="4"/>
    <n v="28"/>
    <n v="150"/>
    <s v="Specialist outpatient"/>
    <s v="Cardiology Clinician"/>
    <s v="Matched"/>
    <n v="20"/>
    <n v="1"/>
    <n v="17"/>
    <n v="1"/>
    <n v="1"/>
    <n v="0"/>
    <n v="1"/>
    <n v="0"/>
    <s v="Matches Standard"/>
    <x v="5"/>
    <n v="2026"/>
    <n v="5"/>
    <s v="May"/>
  </r>
  <r>
    <s v="APT-202605-0137"/>
    <d v="2026-05-05T00:00:00"/>
    <d v="2026-03-17T00:00:00"/>
    <s v="P0135"/>
    <s v="PMR"/>
    <s v="DIA"/>
    <s v="CL027"/>
    <x v="0"/>
    <x v="1"/>
    <d v="1899-12-30T10:30:00"/>
    <m/>
    <m/>
    <m/>
    <n v="80"/>
    <s v="No"/>
    <m/>
    <s v="Patient requested appointment"/>
    <s v="appointment_export_2026_05.csv"/>
    <n v="0"/>
    <n v="0"/>
    <x v="3"/>
    <s v="Central"/>
    <s v="Mereana Thompson"/>
    <s v="Regional"/>
    <s v="Mon-Fri 08:30-17:00"/>
    <x v="3"/>
    <n v="10"/>
    <n v="80"/>
    <s v="Long-term conditions"/>
    <s v="Diabetes Nurse"/>
    <s v="Matched"/>
    <n v="49"/>
    <n v="0"/>
    <m/>
    <m/>
    <n v="0"/>
    <m/>
    <n v="1"/>
    <n v="0"/>
    <s v="Matches Standard"/>
    <x v="5"/>
    <n v="2026"/>
    <n v="5"/>
    <s v="May"/>
  </r>
  <r>
    <s v="APT-202605-0138"/>
    <d v="2026-05-10T00:00:00"/>
    <d v="2026-04-08T00:00:00"/>
    <s v="P0083"/>
    <s v="HAM"/>
    <s v="DIA"/>
    <s v="CL017"/>
    <x v="1"/>
    <x v="3"/>
    <d v="1899-12-30T10:00:00"/>
    <d v="1899-12-30T10:00:00"/>
    <d v="1899-12-30T10:16:00"/>
    <n v="20"/>
    <n v="80"/>
    <s v="No"/>
    <n v="2"/>
    <s v="Care plan review"/>
    <s v="appointment_export_2026_05.csv"/>
    <n v="0"/>
    <n v="0"/>
    <x v="1"/>
    <s v="Midland"/>
    <s v="Daniel Wong"/>
    <s v="Urban"/>
    <s v="Mon-Fri 08:00-17:30"/>
    <x v="3"/>
    <n v="10"/>
    <n v="80"/>
    <s v="Long-term conditions"/>
    <s v="Diabetes Nurse"/>
    <s v="Matched"/>
    <n v="32"/>
    <n v="0"/>
    <n v="16"/>
    <n v="1"/>
    <n v="1"/>
    <n v="0"/>
    <n v="1"/>
    <n v="0"/>
    <s v="Matches Standard"/>
    <x v="5"/>
    <n v="2026"/>
    <n v="5"/>
    <s v="May"/>
  </r>
  <r>
    <s v="APT-202605-0140"/>
    <d v="2026-05-22T00:00:00"/>
    <d v="2026-05-06T00:00:00"/>
    <s v="P0027"/>
    <s v="AUC"/>
    <s v="MHS"/>
    <s v="CL004"/>
    <x v="2"/>
    <x v="0"/>
    <d v="1899-12-30T10:30:00"/>
    <m/>
    <m/>
    <n v="0"/>
    <n v="120"/>
    <s v="No"/>
    <m/>
    <s v="Follow-up visit"/>
    <s v="appointment_export_2026_05.csv"/>
    <n v="0"/>
    <n v="0"/>
    <x v="2"/>
    <s v="Northern"/>
    <s v="Aroha Rangi"/>
    <s v="Urban"/>
    <s v="Mon-Fri 08:00-18:00"/>
    <x v="2"/>
    <n v="14"/>
    <n v="120"/>
    <s v="Behavioural health"/>
    <s v="Mental Health Clinician"/>
    <s v="Matched"/>
    <n v="16"/>
    <n v="0"/>
    <m/>
    <m/>
    <n v="1"/>
    <n v="1"/>
    <n v="1"/>
    <n v="0"/>
    <s v="Matches Standard"/>
    <x v="5"/>
    <n v="2026"/>
    <n v="5"/>
    <s v="May"/>
  </r>
  <r>
    <s v="APT-202605-0141"/>
    <d v="2026-05-13T00:00:00"/>
    <d v="2026-04-17T00:00:00"/>
    <s v="P0132"/>
    <s v="PMR"/>
    <s v="GEN"/>
    <s v="CL021"/>
    <x v="1"/>
    <x v="2"/>
    <d v="1899-12-30T11:30:00"/>
    <d v="1899-12-30T11:40:00"/>
    <d v="1899-12-30T11:48:00"/>
    <n v="20"/>
    <n v="65"/>
    <s v="No"/>
    <n v="2"/>
    <s v="Routine review"/>
    <s v="appointment_export_2026_05.csv"/>
    <n v="0"/>
    <n v="0"/>
    <x v="3"/>
    <s v="Central"/>
    <s v="Mereana Thompson"/>
    <s v="Regional"/>
    <s v="Mon-Fri 08:30-17:00"/>
    <x v="1"/>
    <n v="7"/>
    <n v="65"/>
    <s v="Primary care"/>
    <s v="Doctor or Nurse Practitioner"/>
    <s v="Matched"/>
    <n v="26"/>
    <n v="0"/>
    <n v="8"/>
    <n v="1"/>
    <n v="1"/>
    <n v="0"/>
    <n v="1"/>
    <n v="0"/>
    <s v="Matches Standard"/>
    <x v="5"/>
    <n v="2026"/>
    <n v="5"/>
    <s v="May"/>
  </r>
  <r>
    <s v="APT-202605-0142"/>
    <d v="2026-05-20T00:00:00"/>
    <d v="2026-03-29T00:00:00"/>
    <s v="P0002"/>
    <s v="WLG"/>
    <s v="PHY"/>
    <s v="CL035"/>
    <x v="1"/>
    <x v="2"/>
    <d v="1899-12-30T11:00:00"/>
    <d v="1899-12-30T11:07:00"/>
    <d v="1899-12-30T11:39:00"/>
    <n v="20"/>
    <n v="95"/>
    <s v="No"/>
    <n v="4"/>
    <s v="Patient requested appointment"/>
    <s v="appointment_export_2026_05.csv"/>
    <n v="0"/>
    <n v="0"/>
    <x v="0"/>
    <s v="Central"/>
    <s v="Sophie Martin"/>
    <s v="Urban"/>
    <s v="Mon-Sat 08:00-18:00"/>
    <x v="0"/>
    <n v="21"/>
    <n v="95"/>
    <s v="Rehabilitation"/>
    <s v="Physiotherapist"/>
    <s v="Matched"/>
    <n v="52"/>
    <n v="0"/>
    <n v="32"/>
    <n v="0"/>
    <n v="1"/>
    <n v="0"/>
    <n v="1"/>
    <n v="0"/>
    <s v="Matches Standard"/>
    <x v="5"/>
    <n v="2026"/>
    <n v="5"/>
    <s v="May"/>
  </r>
  <r>
    <s v="APT-202605-0143"/>
    <d v="2026-05-11T00:00:00"/>
    <d v="2026-04-09T00:00:00"/>
    <s v="P0005"/>
    <s v="HAM"/>
    <s v="MHS"/>
    <s v="CL014"/>
    <x v="1"/>
    <x v="3"/>
    <d v="1899-12-30T13:30:00"/>
    <d v="1899-12-30T13:25:00"/>
    <d v="1899-12-30T13:58:00"/>
    <n v="20"/>
    <n v="120"/>
    <s v="Yes"/>
    <n v="2"/>
    <s v="New referral"/>
    <s v="appointment_export_2026_05.csv"/>
    <n v="0"/>
    <n v="0"/>
    <x v="1"/>
    <s v="Midland"/>
    <s v="Daniel Wong"/>
    <s v="Urban"/>
    <s v="Mon-Fri 08:00-17:30"/>
    <x v="2"/>
    <n v="14"/>
    <n v="120"/>
    <s v="Behavioural health"/>
    <s v="Mental Health Clinician"/>
    <s v="Matched"/>
    <n v="32"/>
    <n v="0"/>
    <n v="33"/>
    <n v="0"/>
    <n v="1"/>
    <n v="0"/>
    <n v="1"/>
    <n v="0"/>
    <s v="Matches Standard"/>
    <x v="5"/>
    <n v="2026"/>
    <n v="5"/>
    <s v="May"/>
  </r>
  <r>
    <s v="APT-202605-0144"/>
    <d v="2026-05-03T00:00:00"/>
    <d v="2026-04-05T00:00:00"/>
    <s v="P0107"/>
    <s v="AUC"/>
    <s v="GEN"/>
    <s v="CL001"/>
    <x v="1"/>
    <x v="0"/>
    <d v="1899-12-30T14:00:00"/>
    <d v="1899-12-30T14:11:00"/>
    <d v="1899-12-30T14:20:00"/>
    <n v="45"/>
    <n v="65"/>
    <s v="No"/>
    <n v="5"/>
    <s v="Follow-up visit"/>
    <s v="appointment_export_2026_05.csv"/>
    <n v="0"/>
    <n v="0"/>
    <x v="2"/>
    <s v="Northern"/>
    <s v="Aroha Rangi"/>
    <s v="Urban"/>
    <s v="Mon-Fri 08:00-18:00"/>
    <x v="1"/>
    <n v="7"/>
    <n v="65"/>
    <s v="Primary care"/>
    <s v="Doctor or Nurse Practitioner"/>
    <s v="Matched"/>
    <n v="28"/>
    <n v="0"/>
    <n v="9"/>
    <n v="1"/>
    <n v="1"/>
    <n v="0"/>
    <n v="1"/>
    <n v="0"/>
    <s v="Matches Standard"/>
    <x v="5"/>
    <n v="2026"/>
    <n v="5"/>
    <s v="May"/>
  </r>
  <r>
    <s v="APT-202605-0145"/>
    <d v="2026-05-05T00:00:00"/>
    <d v="2026-03-14T00:00:00"/>
    <s v="P0021"/>
    <s v="AUC"/>
    <s v="GEN"/>
    <s v="CL001"/>
    <x v="1"/>
    <x v="3"/>
    <d v="1899-12-30T08:30:00"/>
    <d v="1899-12-30T08:42:00"/>
    <d v="1899-12-30T08:55:00"/>
    <n v="60"/>
    <n v="65"/>
    <s v="No"/>
    <n v="2"/>
    <s v="New referral"/>
    <s v="appointment_export_2026_05.csv"/>
    <n v="0"/>
    <n v="0"/>
    <x v="2"/>
    <s v="Northern"/>
    <s v="Aroha Rangi"/>
    <s v="Urban"/>
    <s v="Mon-Fri 08:00-18:00"/>
    <x v="1"/>
    <n v="7"/>
    <n v="65"/>
    <s v="Primary care"/>
    <s v="Doctor or Nurse Practitioner"/>
    <s v="Matched"/>
    <n v="52"/>
    <n v="0"/>
    <n v="13"/>
    <n v="1"/>
    <n v="1"/>
    <n v="0"/>
    <n v="1"/>
    <n v="0"/>
    <s v="Matches Standard"/>
    <x v="5"/>
    <n v="2026"/>
    <n v="5"/>
    <s v="May"/>
  </r>
  <r>
    <s v="APT-202605-0146"/>
    <d v="2026-05-01T00:00:00"/>
    <d v="2026-04-13T00:00:00"/>
    <s v="P0202"/>
    <s v="HAM"/>
    <s v="MHS"/>
    <s v="CL013"/>
    <x v="1"/>
    <x v="0"/>
    <d v="1899-12-30T12:30:00"/>
    <d v="1899-12-30T12:32:00"/>
    <d v="1899-12-30T13:04:00"/>
    <n v="30"/>
    <n v="120"/>
    <s v="No"/>
    <n v="3"/>
    <s v="Follow-up visit"/>
    <s v="appointment_export_2026_05.csv"/>
    <n v="0"/>
    <n v="0"/>
    <x v="1"/>
    <s v="Midland"/>
    <s v="Daniel Wong"/>
    <s v="Urban"/>
    <s v="Mon-Fri 08:00-17:30"/>
    <x v="2"/>
    <n v="14"/>
    <n v="120"/>
    <s v="Behavioural health"/>
    <s v="Mental Health Clinician"/>
    <s v="Matched"/>
    <n v="18"/>
    <n v="0"/>
    <n v="32"/>
    <n v="0"/>
    <n v="1"/>
    <n v="0"/>
    <n v="1"/>
    <n v="0"/>
    <s v="Matches Standard"/>
    <x v="5"/>
    <n v="2026"/>
    <n v="5"/>
    <s v="May"/>
  </r>
  <r>
    <s v="APT-202605-0147"/>
    <d v="2026-05-19T00:00:00"/>
    <d v="2026-04-16T00:00:00"/>
    <s v="P0187"/>
    <s v="WLG"/>
    <s v="CAR"/>
    <s v="CL040"/>
    <x v="1"/>
    <x v="0"/>
    <d v="1899-12-30T10:30:00"/>
    <d v="1899-12-30T10:21:00"/>
    <d v="1899-12-30T10:57:00"/>
    <n v="30"/>
    <n v="150"/>
    <s v="No"/>
    <n v="2"/>
    <s v="Care plan review"/>
    <s v="appointment_export_2026_05.csv"/>
    <n v="0"/>
    <n v="0"/>
    <x v="0"/>
    <s v="Central"/>
    <s v="Sophie Martin"/>
    <s v="Urban"/>
    <s v="Mon-Sat 08:00-18:00"/>
    <x v="4"/>
    <n v="28"/>
    <n v="150"/>
    <s v="Specialist outpatient"/>
    <s v="Cardiology Clinician"/>
    <s v="Matched"/>
    <n v="33"/>
    <n v="0"/>
    <n v="36"/>
    <n v="0"/>
    <n v="1"/>
    <n v="0"/>
    <n v="1"/>
    <n v="0"/>
    <s v="Matches Standard"/>
    <x v="5"/>
    <n v="2026"/>
    <n v="5"/>
    <s v="May"/>
  </r>
  <r>
    <s v="APT-202605-0148"/>
    <d v="2026-05-31T00:00:00"/>
    <d v="2026-05-04T00:00:00"/>
    <s v="P0041"/>
    <s v="HAM"/>
    <s v="GEN"/>
    <s v="CL011"/>
    <x v="3"/>
    <x v="1"/>
    <d v="1899-12-30T08:00:00"/>
    <m/>
    <m/>
    <n v="0"/>
    <n v="65"/>
    <s v="No"/>
    <m/>
    <s v="Care plan review"/>
    <s v="appointment_export_2026_05.csv"/>
    <n v="0"/>
    <n v="0"/>
    <x v="1"/>
    <s v="Midland"/>
    <s v="Daniel Wong"/>
    <s v="Urban"/>
    <s v="Mon-Fri 08:00-17:30"/>
    <x v="1"/>
    <n v="7"/>
    <n v="65"/>
    <s v="Primary care"/>
    <s v="Doctor or Nurse Practitioner"/>
    <s v="Matched"/>
    <n v="27"/>
    <n v="0"/>
    <m/>
    <m/>
    <n v="0"/>
    <m/>
    <n v="1"/>
    <n v="0"/>
    <s v="Matches Standard"/>
    <x v="5"/>
    <n v="2026"/>
    <n v="5"/>
    <s v="May"/>
  </r>
  <r>
    <s v="APT-202605-0149"/>
    <d v="2026-05-17T00:00:00"/>
    <d v="2026-05-03T00:00:00"/>
    <s v="P0073"/>
    <s v="AUC"/>
    <s v="PHY"/>
    <s v="CL006"/>
    <x v="1"/>
    <x v="3"/>
    <d v="1899-12-30T09:00:00"/>
    <d v="1899-12-30T08:57:00"/>
    <d v="1899-12-30T09:10:00"/>
    <n v="20"/>
    <m/>
    <s v="No"/>
    <n v="4"/>
    <s v="Care plan review"/>
    <s v="appointment_export_2026_05.csv"/>
    <n v="0"/>
    <n v="0"/>
    <x v="2"/>
    <s v="Northern"/>
    <s v="Aroha Rangi"/>
    <s v="Urban"/>
    <s v="Mon-Fri 08:00-18:00"/>
    <x v="0"/>
    <n v="21"/>
    <n v="95"/>
    <s v="Rehabilitation"/>
    <s v="Physiotherapist"/>
    <s v="Matched"/>
    <n v="14"/>
    <n v="1"/>
    <n v="13"/>
    <n v="1"/>
    <n v="1"/>
    <n v="0"/>
    <n v="0"/>
    <m/>
    <s v="Missing Actual Fee"/>
    <x v="5"/>
    <n v="2026"/>
    <n v="5"/>
    <s v="May"/>
  </r>
  <r>
    <s v="APT-202605-0150"/>
    <d v="2026-05-13T00:00:00"/>
    <d v="2026-03-20T00:00:00"/>
    <s v="P0124"/>
    <s v="WLG"/>
    <s v="PHY"/>
    <s v="CL036"/>
    <x v="3"/>
    <x v="3"/>
    <d v="1899-12-30T08:30:00"/>
    <m/>
    <m/>
    <n v="0"/>
    <n v="95"/>
    <s v="No"/>
    <m/>
    <s v="Patient requested appointment"/>
    <s v="appointment_export_2026_05.csv"/>
    <n v="0"/>
    <n v="0"/>
    <x v="0"/>
    <s v="Central"/>
    <s v="Sophie Martin"/>
    <s v="Urban"/>
    <s v="Mon-Sat 08:00-18:00"/>
    <x v="0"/>
    <n v="21"/>
    <n v="95"/>
    <s v="Rehabilitation"/>
    <s v="Physiotherapist"/>
    <s v="Matched"/>
    <n v="54"/>
    <n v="0"/>
    <m/>
    <m/>
    <n v="0"/>
    <m/>
    <n v="1"/>
    <n v="0"/>
    <s v="Matches Standard"/>
    <x v="5"/>
    <n v="2026"/>
    <n v="5"/>
    <s v="May"/>
  </r>
  <r>
    <s v="APT-202605-0151"/>
    <d v="2026-05-30T00:00:00"/>
    <d v="2026-05-27T00:00:00"/>
    <s v="P0133"/>
    <s v="HAM"/>
    <s v="GEN"/>
    <s v="CL012"/>
    <x v="1"/>
    <x v="2"/>
    <d v="1899-12-30T10:00:00"/>
    <d v="1899-12-30T09:58:00"/>
    <d v="1899-12-30T10:23:00"/>
    <n v="60"/>
    <n v="65"/>
    <s v="No"/>
    <n v="5"/>
    <s v="Routine review"/>
    <s v="appointment_export_2026_05.csv"/>
    <n v="0"/>
    <n v="0"/>
    <x v="1"/>
    <s v="Midland"/>
    <s v="Daniel Wong"/>
    <s v="Urban"/>
    <s v="Mon-Fri 08:00-17:30"/>
    <x v="1"/>
    <n v="7"/>
    <n v="65"/>
    <s v="Primary care"/>
    <s v="Doctor or Nurse Practitioner"/>
    <s v="Matched"/>
    <n v="3"/>
    <n v="1"/>
    <n v="25"/>
    <n v="1"/>
    <n v="1"/>
    <n v="0"/>
    <n v="1"/>
    <n v="0"/>
    <s v="Matches Standard"/>
    <x v="5"/>
    <n v="2026"/>
    <n v="5"/>
    <s v="May"/>
  </r>
  <r>
    <s v="APT-202605-0152"/>
    <d v="2026-05-05T00:00:00"/>
    <d v="2026-03-13T00:00:00"/>
    <s v="P0229"/>
    <s v="HAM"/>
    <s v="DIA"/>
    <s v="CL017"/>
    <x v="1"/>
    <x v="1"/>
    <d v="1899-12-30T10:30:00"/>
    <d v="1899-12-30T10:41:00"/>
    <d v="1899-12-30T11:09:00"/>
    <n v="30"/>
    <n v="80"/>
    <s v="Yes"/>
    <n v="5"/>
    <s v="New referral"/>
    <s v="appointment_export_2026_05.csv"/>
    <n v="0"/>
    <n v="0"/>
    <x v="1"/>
    <s v="Midland"/>
    <s v="Daniel Wong"/>
    <s v="Urban"/>
    <s v="Mon-Fri 08:00-17:30"/>
    <x v="3"/>
    <n v="10"/>
    <n v="80"/>
    <s v="Long-term conditions"/>
    <s v="Diabetes Nurse"/>
    <s v="Matched"/>
    <n v="53"/>
    <n v="0"/>
    <n v="28"/>
    <n v="1"/>
    <n v="1"/>
    <n v="0"/>
    <n v="1"/>
    <n v="0"/>
    <s v="Matches Standard"/>
    <x v="5"/>
    <n v="2026"/>
    <n v="5"/>
    <s v="May"/>
  </r>
  <r>
    <s v="APT-202605-0153"/>
    <d v="2026-05-21T00:00:00"/>
    <d v="2026-04-27T00:00:00"/>
    <s v="P0082"/>
    <s v="WLG"/>
    <s v="DIA"/>
    <s v="CL038"/>
    <x v="1"/>
    <x v="0"/>
    <d v="1899-12-30T14:00:00"/>
    <d v="1899-12-30T14:13:00"/>
    <d v="1899-12-30T14:31:00"/>
    <n v="20"/>
    <n v="80"/>
    <s v="No"/>
    <n v="2"/>
    <s v="Follow-up visit"/>
    <s v="appointment_export_2026_05.csv"/>
    <n v="0"/>
    <n v="0"/>
    <x v="0"/>
    <s v="Central"/>
    <s v="Sophie Martin"/>
    <s v="Urban"/>
    <s v="Mon-Sat 08:00-18:00"/>
    <x v="3"/>
    <n v="10"/>
    <n v="80"/>
    <s v="Long-term conditions"/>
    <s v="Diabetes Nurse"/>
    <s v="Matched"/>
    <n v="24"/>
    <n v="0"/>
    <n v="18"/>
    <n v="1"/>
    <n v="1"/>
    <n v="0"/>
    <n v="1"/>
    <n v="0"/>
    <s v="Matches Standard"/>
    <x v="5"/>
    <n v="2026"/>
    <n v="5"/>
    <s v="May"/>
  </r>
  <r>
    <s v="APT-202605-0154"/>
    <d v="2026-05-02T00:00:00"/>
    <d v="2026-03-08T00:00:00"/>
    <s v="P0045"/>
    <s v="AUC"/>
    <s v="GEN"/>
    <s v="CL001"/>
    <x v="1"/>
    <x v="3"/>
    <d v="1899-12-30T13:30:00"/>
    <d v="1899-12-30T13:30:00"/>
    <d v="1899-12-30T14:04:00"/>
    <n v="30"/>
    <n v="65"/>
    <s v="No"/>
    <n v="2"/>
    <s v="Patient requested appointment"/>
    <s v="appointment_export_2026_05.csv"/>
    <n v="0"/>
    <n v="0"/>
    <x v="2"/>
    <s v="Northern"/>
    <s v="Aroha Rangi"/>
    <s v="Urban"/>
    <s v="Mon-Fri 08:00-18:00"/>
    <x v="1"/>
    <n v="7"/>
    <n v="65"/>
    <s v="Primary care"/>
    <s v="Doctor or Nurse Practitioner"/>
    <s v="Matched"/>
    <n v="55"/>
    <n v="0"/>
    <n v="34"/>
    <n v="0"/>
    <n v="1"/>
    <n v="0"/>
    <n v="1"/>
    <n v="0"/>
    <s v="Matches Standard"/>
    <x v="5"/>
    <n v="2026"/>
    <n v="5"/>
    <s v="May"/>
  </r>
  <r>
    <s v="APT-202605-0155"/>
    <d v="2026-05-08T00:00:00"/>
    <d v="2026-03-30T00:00:00"/>
    <s v="P0144"/>
    <s v="AUC"/>
    <s v="GEN"/>
    <s v="CL002"/>
    <x v="3"/>
    <x v="2"/>
    <d v="1899-12-30T09:00:00"/>
    <m/>
    <m/>
    <n v="0"/>
    <n v="65"/>
    <s v="No"/>
    <m/>
    <s v="Patient requested appointment"/>
    <s v="appointment_export_2026_05.csv"/>
    <n v="0"/>
    <n v="0"/>
    <x v="2"/>
    <s v="Northern"/>
    <s v="Aroha Rangi"/>
    <s v="Urban"/>
    <s v="Mon-Fri 08:00-18:00"/>
    <x v="1"/>
    <n v="7"/>
    <n v="65"/>
    <s v="Primary care"/>
    <s v="Doctor or Nurse Practitioner"/>
    <s v="Matched"/>
    <n v="39"/>
    <n v="0"/>
    <m/>
    <m/>
    <n v="0"/>
    <m/>
    <n v="1"/>
    <n v="0"/>
    <s v="Matches Standard"/>
    <x v="5"/>
    <n v="2026"/>
    <n v="5"/>
    <s v="May"/>
  </r>
  <r>
    <s v="APT-202605-0156"/>
    <d v="2026-05-13T00:00:00"/>
    <d v="2026-03-19T00:00:00"/>
    <s v="P0233"/>
    <s v="HAM"/>
    <s v="MHS"/>
    <s v="CL013"/>
    <x v="1"/>
    <x v="2"/>
    <d v="1899-12-30T12:30:00"/>
    <d v="1899-12-30T12:28:00"/>
    <d v="1899-12-30T12:56:00"/>
    <n v="20"/>
    <n v="120"/>
    <s v="No"/>
    <n v="5"/>
    <s v="Routine review"/>
    <s v="appointment_export_2026_05.csv"/>
    <n v="0"/>
    <n v="0"/>
    <x v="1"/>
    <s v="Midland"/>
    <s v="Daniel Wong"/>
    <s v="Urban"/>
    <s v="Mon-Fri 08:00-17:30"/>
    <x v="2"/>
    <n v="14"/>
    <n v="120"/>
    <s v="Behavioural health"/>
    <s v="Mental Health Clinician"/>
    <s v="Matched"/>
    <n v="55"/>
    <n v="0"/>
    <n v="28"/>
    <n v="1"/>
    <n v="1"/>
    <n v="0"/>
    <n v="1"/>
    <n v="0"/>
    <s v="Matches Standard"/>
    <x v="5"/>
    <n v="2026"/>
    <n v="5"/>
    <s v="May"/>
  </r>
  <r>
    <s v="APT-202605-0157"/>
    <d v="2026-05-28T00:00:00"/>
    <d v="2026-05-03T00:00:00"/>
    <s v="P0038"/>
    <s v="HAM"/>
    <s v="MHS"/>
    <s v="CL014"/>
    <x v="1"/>
    <x v="3"/>
    <d v="1899-12-30T15:00:00"/>
    <d v="1899-12-30T14:54:00"/>
    <d v="1899-12-30T15:15:00"/>
    <n v="30"/>
    <n v="120"/>
    <s v="Yes"/>
    <n v="2"/>
    <s v="Routine review"/>
    <s v="appointment_export_2026_05.csv"/>
    <n v="0"/>
    <n v="0"/>
    <x v="1"/>
    <s v="Midland"/>
    <s v="Daniel Wong"/>
    <s v="Urban"/>
    <s v="Mon-Fri 08:00-17:30"/>
    <x v="2"/>
    <n v="14"/>
    <n v="120"/>
    <s v="Behavioural health"/>
    <s v="Mental Health Clinician"/>
    <s v="Matched"/>
    <n v="25"/>
    <n v="0"/>
    <n v="21"/>
    <n v="1"/>
    <n v="1"/>
    <n v="0"/>
    <n v="1"/>
    <n v="0"/>
    <s v="Matches Standard"/>
    <x v="5"/>
    <n v="2026"/>
    <n v="5"/>
    <s v="May"/>
  </r>
  <r>
    <s v="APT-202605-0158"/>
    <d v="2026-05-31T00:00:00"/>
    <d v="2026-04-23T00:00:00"/>
    <s v="P0183"/>
    <s v="WLG"/>
    <m/>
    <s v="CL033"/>
    <x v="1"/>
    <x v="2"/>
    <d v="1899-12-30T12:00:00"/>
    <d v="1899-12-30T12:08:00"/>
    <d v="1899-12-30T12:12:00"/>
    <n v="60"/>
    <n v="120"/>
    <s v="Yes"/>
    <n v="4"/>
    <s v="Follow-up visit"/>
    <s v="appointment_export_2026_05.csv"/>
    <n v="0"/>
    <n v="1"/>
    <x v="0"/>
    <s v="Central"/>
    <s v="Sophie Martin"/>
    <s v="Urban"/>
    <s v="Mon-Sat 08:00-18:00"/>
    <x v="5"/>
    <m/>
    <m/>
    <m/>
    <m/>
    <s v="Missing Service Code"/>
    <n v="38"/>
    <m/>
    <n v="4"/>
    <n v="1"/>
    <n v="1"/>
    <n v="0"/>
    <n v="1"/>
    <m/>
    <s v="Missing Standard Fee"/>
    <x v="5"/>
    <n v="2026"/>
    <n v="5"/>
    <s v="May"/>
  </r>
  <r>
    <s v="APT-202605-0159"/>
    <d v="2026-05-12T00:00:00"/>
    <d v="2026-04-28T00:00:00"/>
    <s v="P0206"/>
    <s v="AUC"/>
    <s v="MHS"/>
    <s v="CL003"/>
    <x v="1"/>
    <x v="1"/>
    <d v="1899-12-30T09:00:00"/>
    <d v="1899-12-30T09:11:00"/>
    <d v="1899-12-30T09:12:00"/>
    <n v="60"/>
    <n v="120"/>
    <s v="No"/>
    <n v="5"/>
    <s v="New referral"/>
    <s v="appointment_export_2026_05.csv"/>
    <n v="0"/>
    <n v="0"/>
    <x v="2"/>
    <s v="Northern"/>
    <s v="Aroha Rangi"/>
    <s v="Urban"/>
    <s v="Mon-Fri 08:00-18:00"/>
    <x v="2"/>
    <n v="14"/>
    <n v="120"/>
    <s v="Behavioural health"/>
    <s v="Mental Health Clinician"/>
    <s v="Matched"/>
    <n v="14"/>
    <n v="1"/>
    <n v="1"/>
    <n v="1"/>
    <n v="1"/>
    <n v="0"/>
    <n v="1"/>
    <n v="0"/>
    <s v="Matches Standard"/>
    <x v="5"/>
    <n v="2026"/>
    <n v="5"/>
    <s v="May"/>
  </r>
  <r>
    <s v="APT-202605-0160"/>
    <d v="2026-05-07T00:00:00"/>
    <d v="2026-04-06T00:00:00"/>
    <s v="P0091"/>
    <s v="WLG"/>
    <s v="CAR"/>
    <s v="CL039"/>
    <x v="1"/>
    <x v="0"/>
    <d v="1899-12-30T12:30:00"/>
    <d v="1899-12-30T12:27:00"/>
    <d v="1899-12-30T12:42:00"/>
    <n v="30"/>
    <n v="150"/>
    <s v="No"/>
    <n v="5"/>
    <s v="Follow-up visit"/>
    <s v="appointment_export_2026_05.csv"/>
    <n v="0"/>
    <n v="0"/>
    <x v="0"/>
    <s v="Central"/>
    <s v="Sophie Martin"/>
    <s v="Urban"/>
    <s v="Mon-Sat 08:00-18:00"/>
    <x v="4"/>
    <n v="28"/>
    <n v="150"/>
    <s v="Specialist outpatient"/>
    <s v="Cardiology Clinician"/>
    <s v="Matched"/>
    <n v="31"/>
    <n v="0"/>
    <n v="15"/>
    <n v="1"/>
    <n v="1"/>
    <n v="0"/>
    <n v="1"/>
    <n v="0"/>
    <s v="Matches Standard"/>
    <x v="5"/>
    <n v="2026"/>
    <n v="5"/>
    <s v="May"/>
  </r>
  <r>
    <s v="APT-202606-0001"/>
    <d v="2026-06-01T00:00:00"/>
    <d v="2026-05-14T00:00:00"/>
    <s v="P0210"/>
    <s v="PMR"/>
    <s v="CAR"/>
    <s v="CL029"/>
    <x v="0"/>
    <x v="0"/>
    <d v="1899-12-30T14:00:00"/>
    <m/>
    <m/>
    <n v="0"/>
    <n v="150"/>
    <s v="No"/>
    <m/>
    <s v="Routine review"/>
    <s v="appointment_export_2026_06.csv"/>
    <n v="0"/>
    <n v="0"/>
    <x v="3"/>
    <s v="Central"/>
    <s v="Mereana Thompson"/>
    <s v="Regional"/>
    <s v="Mon-Fri 08:30-17:00"/>
    <x v="4"/>
    <n v="28"/>
    <n v="150"/>
    <s v="Specialist outpatient"/>
    <s v="Cardiology Clinician"/>
    <s v="Matched"/>
    <n v="18"/>
    <n v="1"/>
    <m/>
    <m/>
    <n v="0"/>
    <m/>
    <n v="1"/>
    <n v="0"/>
    <s v="Matches Standard"/>
    <x v="6"/>
    <n v="2026"/>
    <n v="6"/>
    <s v="Jun"/>
  </r>
  <r>
    <s v="APT-202606-0002"/>
    <d v="2026-06-18T00:00:00"/>
    <d v="2026-05-15T00:00:00"/>
    <s v="P0186"/>
    <s v="AUC"/>
    <s v="CAR"/>
    <s v="CL010"/>
    <x v="1"/>
    <x v="3"/>
    <d v="1899-12-30T10:00:00"/>
    <d v="1899-12-30T10:16:00"/>
    <d v="1899-12-30T10:39:00"/>
    <n v="20"/>
    <n v="150"/>
    <s v="Yes"/>
    <n v="5"/>
    <s v="Routine review"/>
    <s v="appointment_export_2026_06.csv"/>
    <n v="0"/>
    <n v="0"/>
    <x v="2"/>
    <s v="Northern"/>
    <s v="Aroha Rangi"/>
    <s v="Urban"/>
    <s v="Mon-Fri 08:00-18:00"/>
    <x v="4"/>
    <n v="28"/>
    <n v="150"/>
    <s v="Specialist outpatient"/>
    <s v="Cardiology Clinician"/>
    <s v="Matched"/>
    <n v="34"/>
    <n v="0"/>
    <n v="23"/>
    <n v="1"/>
    <n v="1"/>
    <n v="0"/>
    <n v="1"/>
    <n v="0"/>
    <s v="Matches Standard"/>
    <x v="6"/>
    <n v="2026"/>
    <n v="6"/>
    <s v="Jun"/>
  </r>
  <r>
    <s v="APT-202606-0003"/>
    <d v="2026-06-09T00:00:00"/>
    <d v="2026-05-16T00:00:00"/>
    <s v="P0054"/>
    <s v="WLG"/>
    <s v="PHY"/>
    <s v="CL035"/>
    <x v="0"/>
    <x v="1"/>
    <d v="1899-12-30T08:30:00"/>
    <m/>
    <m/>
    <n v="0"/>
    <n v="95"/>
    <s v="No"/>
    <m/>
    <s v="Care plan review"/>
    <s v="appointment_export_2026_06.csv"/>
    <n v="0"/>
    <n v="0"/>
    <x v="0"/>
    <s v="Central"/>
    <s v="Sophie Martin"/>
    <s v="Urban"/>
    <s v="Mon-Sat 08:00-18:00"/>
    <x v="0"/>
    <n v="21"/>
    <n v="95"/>
    <s v="Rehabilitation"/>
    <s v="Physiotherapist"/>
    <s v="Matched"/>
    <n v="24"/>
    <n v="0"/>
    <m/>
    <m/>
    <n v="0"/>
    <m/>
    <n v="1"/>
    <n v="0"/>
    <s v="Matches Standard"/>
    <x v="6"/>
    <n v="2026"/>
    <n v="6"/>
    <s v="Jun"/>
  </r>
  <r>
    <s v="APT-202606-0004"/>
    <d v="2026-06-02T00:00:00"/>
    <d v="2026-05-19T00:00:00"/>
    <s v="P0121"/>
    <s v="PMR"/>
    <s v="MHS"/>
    <s v="CL023"/>
    <x v="0"/>
    <x v="0"/>
    <d v="1899-12-30T15:30:00"/>
    <m/>
    <m/>
    <n v="0"/>
    <n v="120"/>
    <s v="Yes"/>
    <m/>
    <s v="Routine review"/>
    <s v="appointment_export_2026_06.csv"/>
    <n v="0"/>
    <n v="0"/>
    <x v="3"/>
    <s v="Central"/>
    <s v="Mereana Thompson"/>
    <s v="Regional"/>
    <s v="Mon-Fri 08:30-17:00"/>
    <x v="2"/>
    <n v="14"/>
    <n v="120"/>
    <s v="Behavioural health"/>
    <s v="Mental Health Clinician"/>
    <s v="Matched"/>
    <n v="14"/>
    <n v="1"/>
    <m/>
    <m/>
    <n v="0"/>
    <m/>
    <n v="1"/>
    <n v="0"/>
    <s v="Matches Standard"/>
    <x v="6"/>
    <n v="2026"/>
    <n v="6"/>
    <s v="Jun"/>
  </r>
  <r>
    <s v="APT-202606-0005"/>
    <d v="2026-06-16T00:00:00"/>
    <d v="2026-05-29T00:00:00"/>
    <s v="P0123"/>
    <s v="AUC"/>
    <s v="DIA"/>
    <s v="CL008"/>
    <x v="0"/>
    <x v="2"/>
    <d v="1899-12-30T16:00:00"/>
    <m/>
    <m/>
    <n v="0"/>
    <n v="80"/>
    <s v="No"/>
    <m/>
    <s v="Routine review"/>
    <s v="appointment_export_2026_06.csv"/>
    <n v="0"/>
    <n v="0"/>
    <x v="2"/>
    <s v="Northern"/>
    <s v="Aroha Rangi"/>
    <s v="Urban"/>
    <s v="Mon-Fri 08:00-18:00"/>
    <x v="3"/>
    <n v="10"/>
    <n v="80"/>
    <s v="Long-term conditions"/>
    <s v="Diabetes Nurse"/>
    <s v="Matched"/>
    <n v="18"/>
    <n v="0"/>
    <m/>
    <m/>
    <n v="0"/>
    <m/>
    <n v="1"/>
    <n v="0"/>
    <s v="Matches Standard"/>
    <x v="6"/>
    <n v="2026"/>
    <n v="6"/>
    <s v="Jun"/>
  </r>
  <r>
    <s v="APT-202606-0006"/>
    <d v="2026-06-29T00:00:00"/>
    <d v="2026-05-26T00:00:00"/>
    <s v="P0105"/>
    <s v="HAM"/>
    <s v="DIA"/>
    <s v="CL018"/>
    <x v="1"/>
    <x v="3"/>
    <d v="1899-12-30T10:00:00"/>
    <d v="1899-12-30T10:08:00"/>
    <d v="1899-12-30T10:04:00"/>
    <n v="30"/>
    <n v="80"/>
    <s v="No"/>
    <n v="5"/>
    <s v="New referral"/>
    <s v="appointment_export_2026_06.csv"/>
    <n v="0"/>
    <n v="0"/>
    <x v="1"/>
    <s v="Midland"/>
    <s v="Daniel Wong"/>
    <s v="Urban"/>
    <s v="Mon-Fri 08:00-17:30"/>
    <x v="3"/>
    <n v="10"/>
    <n v="80"/>
    <s v="Long-term conditions"/>
    <s v="Diabetes Nurse"/>
    <s v="Matched"/>
    <n v="34"/>
    <n v="0"/>
    <m/>
    <m/>
    <n v="1"/>
    <n v="0"/>
    <n v="1"/>
    <n v="0"/>
    <s v="Matches Standard"/>
    <x v="6"/>
    <n v="2026"/>
    <n v="6"/>
    <s v="Jun"/>
  </r>
  <r>
    <s v="APT-202606-0007"/>
    <d v="2026-06-24T00:00:00"/>
    <d v="2026-05-05T00:00:00"/>
    <s v="P0020"/>
    <s v="WLG"/>
    <s v="MHS"/>
    <s v="CL033"/>
    <x v="0"/>
    <x v="0"/>
    <d v="1899-12-30T09:30:00"/>
    <m/>
    <m/>
    <n v="0"/>
    <n v="120"/>
    <s v="No"/>
    <m/>
    <s v="Care plan review"/>
    <s v="appointment_export_2026_06.csv"/>
    <n v="0"/>
    <n v="0"/>
    <x v="0"/>
    <s v="Central"/>
    <s v="Sophie Martin"/>
    <s v="Urban"/>
    <s v="Mon-Sat 08:00-18:00"/>
    <x v="2"/>
    <n v="14"/>
    <n v="120"/>
    <s v="Behavioural health"/>
    <s v="Mental Health Clinician"/>
    <s v="Matched"/>
    <n v="50"/>
    <n v="0"/>
    <m/>
    <m/>
    <n v="0"/>
    <m/>
    <n v="1"/>
    <n v="0"/>
    <s v="Matches Standard"/>
    <x v="6"/>
    <n v="2026"/>
    <n v="6"/>
    <s v="Jun"/>
  </r>
  <r>
    <s v="APT-202606-0008"/>
    <d v="2026-06-27T00:00:00"/>
    <d v="2026-06-19T00:00:00"/>
    <s v="P0151"/>
    <s v="PMR"/>
    <s v="PHY"/>
    <s v="CL026"/>
    <x v="3"/>
    <x v="1"/>
    <d v="1899-12-30T15:00:00"/>
    <m/>
    <m/>
    <n v="0"/>
    <n v="95"/>
    <s v="No"/>
    <m/>
    <s v="Follow-up visit"/>
    <s v="appointment_export_2026_06.csv"/>
    <n v="0"/>
    <n v="0"/>
    <x v="3"/>
    <s v="Central"/>
    <s v="Mereana Thompson"/>
    <s v="Regional"/>
    <s v="Mon-Fri 08:30-17:00"/>
    <x v="0"/>
    <n v="21"/>
    <n v="95"/>
    <s v="Rehabilitation"/>
    <s v="Physiotherapist"/>
    <s v="Matched"/>
    <n v="8"/>
    <n v="1"/>
    <m/>
    <m/>
    <n v="0"/>
    <m/>
    <n v="1"/>
    <n v="0"/>
    <s v="Matches Standard"/>
    <x v="6"/>
    <n v="2026"/>
    <n v="6"/>
    <s v="Jun"/>
  </r>
  <r>
    <s v="APT-202606-0009"/>
    <d v="2026-06-01T00:00:00"/>
    <d v="2026-04-15T00:00:00"/>
    <s v="P0198"/>
    <s v="WLG"/>
    <s v="DIA"/>
    <s v="CL037"/>
    <x v="1"/>
    <x v="3"/>
    <d v="1899-12-30T16:00:00"/>
    <d v="1899-12-30T16:05:00"/>
    <d v="1899-12-30T16:31:00"/>
    <n v="30"/>
    <n v="80"/>
    <s v="Yes"/>
    <n v="5"/>
    <s v="Follow-up visit"/>
    <s v="appointment_export_2026_06.csv"/>
    <n v="0"/>
    <n v="0"/>
    <x v="0"/>
    <s v="Central"/>
    <s v="Sophie Martin"/>
    <s v="Urban"/>
    <s v="Mon-Sat 08:00-18:00"/>
    <x v="3"/>
    <n v="10"/>
    <n v="80"/>
    <s v="Long-term conditions"/>
    <s v="Diabetes Nurse"/>
    <s v="Matched"/>
    <n v="47"/>
    <n v="0"/>
    <n v="26"/>
    <n v="1"/>
    <n v="1"/>
    <n v="0"/>
    <n v="1"/>
    <n v="0"/>
    <s v="Matches Standard"/>
    <x v="6"/>
    <n v="2026"/>
    <n v="6"/>
    <s v="Jun"/>
  </r>
  <r>
    <s v="APT-202606-0010"/>
    <d v="2026-06-04T00:00:00"/>
    <d v="2026-05-31T00:00:00"/>
    <s v="P0119"/>
    <s v="WLG"/>
    <s v="PHY"/>
    <s v="CL035"/>
    <x v="1"/>
    <x v="3"/>
    <d v="1899-12-30T13:00:00"/>
    <d v="1899-12-30T12:57:00"/>
    <d v="1899-12-30T13:06:00"/>
    <n v="30"/>
    <n v="95"/>
    <s v="No"/>
    <n v="4"/>
    <s v="Routine review"/>
    <s v="appointment_export_2026_06.csv"/>
    <n v="0"/>
    <n v="0"/>
    <x v="0"/>
    <s v="Central"/>
    <s v="Sophie Martin"/>
    <s v="Urban"/>
    <s v="Mon-Sat 08:00-18:00"/>
    <x v="0"/>
    <n v="21"/>
    <n v="95"/>
    <s v="Rehabilitation"/>
    <s v="Physiotherapist"/>
    <s v="Matched"/>
    <n v="4"/>
    <n v="1"/>
    <n v="9"/>
    <n v="1"/>
    <n v="1"/>
    <n v="0"/>
    <n v="1"/>
    <n v="0"/>
    <s v="Matches Standard"/>
    <x v="6"/>
    <n v="2026"/>
    <n v="6"/>
    <s v="Jun"/>
  </r>
  <r>
    <s v="APT-202606-0011"/>
    <d v="2026-06-07T00:00:00"/>
    <d v="2026-05-09T00:00:00"/>
    <s v="P0187"/>
    <s v="WLG"/>
    <s v="CAR"/>
    <s v="CL040"/>
    <x v="1"/>
    <x v="2"/>
    <d v="1899-12-30T12:00:00"/>
    <d v="1899-12-30T12:07:00"/>
    <d v="1899-12-30T12:25:00"/>
    <n v="20"/>
    <n v="150"/>
    <s v="Yes"/>
    <n v="3"/>
    <s v="Follow-up visit"/>
    <s v="appointment_export_2026_06.csv"/>
    <n v="0"/>
    <n v="0"/>
    <x v="0"/>
    <s v="Central"/>
    <s v="Sophie Martin"/>
    <s v="Urban"/>
    <s v="Mon-Sat 08:00-18:00"/>
    <x v="4"/>
    <n v="28"/>
    <n v="150"/>
    <s v="Specialist outpatient"/>
    <s v="Cardiology Clinician"/>
    <s v="Matched"/>
    <n v="29"/>
    <n v="0"/>
    <n v="18"/>
    <n v="1"/>
    <n v="1"/>
    <n v="0"/>
    <n v="1"/>
    <n v="0"/>
    <s v="Matches Standard"/>
    <x v="6"/>
    <n v="2026"/>
    <n v="6"/>
    <s v="Jun"/>
  </r>
  <r>
    <s v="APT-202606-0012"/>
    <d v="2026-06-18T00:00:00"/>
    <d v="2026-06-13T00:00:00"/>
    <s v="P0073"/>
    <s v="PMR"/>
    <s v="CAR"/>
    <s v="CL030"/>
    <x v="1"/>
    <x v="3"/>
    <d v="1899-12-30T16:00:00"/>
    <d v="1899-12-30T15:58:00"/>
    <d v="1899-12-30T16:32:00"/>
    <n v="60"/>
    <n v="150"/>
    <s v="No"/>
    <n v="4"/>
    <s v="Follow-up visit"/>
    <s v="appointment_export_2026_06.csv"/>
    <n v="0"/>
    <n v="0"/>
    <x v="3"/>
    <s v="Central"/>
    <s v="Mereana Thompson"/>
    <s v="Regional"/>
    <s v="Mon-Fri 08:30-17:00"/>
    <x v="4"/>
    <n v="28"/>
    <n v="150"/>
    <s v="Specialist outpatient"/>
    <s v="Cardiology Clinician"/>
    <s v="Matched"/>
    <n v="5"/>
    <n v="1"/>
    <n v="34"/>
    <n v="0"/>
    <n v="1"/>
    <n v="0"/>
    <n v="1"/>
    <n v="0"/>
    <s v="Matches Standard"/>
    <x v="6"/>
    <n v="2026"/>
    <n v="6"/>
    <s v="Jun"/>
  </r>
  <r>
    <s v="APT-202606-0013"/>
    <d v="2026-06-02T00:00:00"/>
    <d v="2026-05-13T00:00:00"/>
    <s v="P0167"/>
    <s v="WLG"/>
    <s v="MHS"/>
    <s v="CL034"/>
    <x v="1"/>
    <x v="0"/>
    <d v="1899-12-30T13:00:00"/>
    <d v="1899-12-30T12:58:00"/>
    <d v="1899-12-30T13:32:00"/>
    <n v="30"/>
    <n v="120"/>
    <s v="Yes"/>
    <n v="5"/>
    <s v="New referral"/>
    <s v="appointment_export_2026_06.csv"/>
    <n v="0"/>
    <n v="0"/>
    <x v="0"/>
    <s v="Central"/>
    <s v="Sophie Martin"/>
    <s v="Urban"/>
    <s v="Mon-Sat 08:00-18:00"/>
    <x v="2"/>
    <n v="14"/>
    <n v="120"/>
    <s v="Behavioural health"/>
    <s v="Mental Health Clinician"/>
    <s v="Matched"/>
    <n v="20"/>
    <n v="0"/>
    <n v="34"/>
    <n v="0"/>
    <n v="1"/>
    <n v="0"/>
    <n v="1"/>
    <n v="0"/>
    <s v="Matches Standard"/>
    <x v="6"/>
    <n v="2026"/>
    <n v="6"/>
    <s v="Jun"/>
  </r>
  <r>
    <s v="APT-202606-0014"/>
    <d v="2026-06-17T00:00:00"/>
    <d v="2026-05-13T00:00:00"/>
    <s v="P0145"/>
    <s v="WLG"/>
    <s v="CAR"/>
    <s v="CL040"/>
    <x v="1"/>
    <x v="1"/>
    <d v="1899-12-30T10:30:00"/>
    <d v="1899-12-30T10:44:00"/>
    <d v="1899-12-30T10:42:00"/>
    <n v="45"/>
    <n v="150"/>
    <s v="Yes"/>
    <n v="4"/>
    <s v="Follow-up visit"/>
    <s v="appointment_export_2026_06.csv"/>
    <n v="0"/>
    <n v="0"/>
    <x v="0"/>
    <s v="Central"/>
    <s v="Sophie Martin"/>
    <s v="Urban"/>
    <s v="Mon-Sat 08:00-18:00"/>
    <x v="4"/>
    <n v="28"/>
    <n v="150"/>
    <s v="Specialist outpatient"/>
    <s v="Cardiology Clinician"/>
    <s v="Matched"/>
    <n v="35"/>
    <n v="0"/>
    <m/>
    <m/>
    <n v="1"/>
    <n v="0"/>
    <n v="1"/>
    <n v="0"/>
    <s v="Matches Standard"/>
    <x v="6"/>
    <n v="2026"/>
    <n v="6"/>
    <s v="Jun"/>
  </r>
  <r>
    <s v="APT-202606-0015"/>
    <d v="2026-06-21T00:00:00"/>
    <d v="2026-05-06T00:00:00"/>
    <s v="P0226"/>
    <s v="AUC"/>
    <s v="GEN"/>
    <s v="CL002"/>
    <x v="1"/>
    <x v="3"/>
    <d v="1899-12-30T13:30:00"/>
    <d v="1899-12-30T13:31:00"/>
    <d v="1899-12-30T14:10:00"/>
    <n v="30"/>
    <n v="65"/>
    <s v="Yes"/>
    <n v="3"/>
    <s v="Patient requested appointment"/>
    <s v="appointment_export_2026_06.csv"/>
    <n v="0"/>
    <n v="0"/>
    <x v="2"/>
    <s v="Northern"/>
    <s v="Aroha Rangi"/>
    <s v="Urban"/>
    <s v="Mon-Fri 08:00-18:00"/>
    <x v="1"/>
    <n v="7"/>
    <n v="65"/>
    <s v="Primary care"/>
    <s v="Doctor or Nurse Practitioner"/>
    <s v="Matched"/>
    <n v="46"/>
    <n v="0"/>
    <n v="39"/>
    <n v="0"/>
    <n v="1"/>
    <n v="0"/>
    <n v="1"/>
    <n v="0"/>
    <s v="Matches Standard"/>
    <x v="6"/>
    <n v="2026"/>
    <n v="6"/>
    <s v="Jun"/>
  </r>
  <r>
    <s v="APT-202606-0016"/>
    <d v="2026-06-13T00:00:00"/>
    <d v="2026-06-09T00:00:00"/>
    <s v="P0191"/>
    <s v="AUC"/>
    <s v="GEN"/>
    <s v="CL002"/>
    <x v="1"/>
    <x v="0"/>
    <d v="1899-12-30T09:00:00"/>
    <d v="1899-12-30T08:56:00"/>
    <d v="1899-12-30T09:18:00"/>
    <n v="30"/>
    <n v="65"/>
    <s v="Yes"/>
    <n v="4"/>
    <s v="Routine review"/>
    <s v="appointment_export_2026_06.csv"/>
    <n v="0"/>
    <n v="0"/>
    <x v="2"/>
    <s v="Northern"/>
    <s v="Aroha Rangi"/>
    <s v="Urban"/>
    <s v="Mon-Fri 08:00-18:00"/>
    <x v="1"/>
    <n v="7"/>
    <n v="65"/>
    <s v="Primary care"/>
    <s v="Doctor or Nurse Practitioner"/>
    <s v="Matched"/>
    <n v="4"/>
    <n v="1"/>
    <n v="22"/>
    <n v="1"/>
    <n v="1"/>
    <n v="0"/>
    <n v="1"/>
    <n v="0"/>
    <s v="Matches Standard"/>
    <x v="6"/>
    <n v="2026"/>
    <n v="6"/>
    <s v="Jun"/>
  </r>
  <r>
    <s v="APT-202606-0017"/>
    <d v="2026-06-20T00:00:00"/>
    <d v="2026-06-17T00:00:00"/>
    <s v="P0192"/>
    <s v="PMR"/>
    <s v="GEN"/>
    <s v="CL021"/>
    <x v="1"/>
    <x v="2"/>
    <d v="1899-12-30T11:00:00"/>
    <d v="1899-12-30T11:00:00"/>
    <d v="1899-12-30T11:31:00"/>
    <n v="30"/>
    <n v="65"/>
    <s v="Yes"/>
    <n v="5"/>
    <s v="Patient requested appointment"/>
    <s v="appointment_export_2026_06.csv"/>
    <n v="0"/>
    <n v="0"/>
    <x v="3"/>
    <s v="Central"/>
    <s v="Mereana Thompson"/>
    <s v="Regional"/>
    <s v="Mon-Fri 08:30-17:00"/>
    <x v="1"/>
    <n v="7"/>
    <n v="65"/>
    <s v="Primary care"/>
    <s v="Doctor or Nurse Practitioner"/>
    <s v="Matched"/>
    <n v="3"/>
    <n v="1"/>
    <n v="31"/>
    <n v="0"/>
    <n v="1"/>
    <n v="0"/>
    <n v="1"/>
    <n v="0"/>
    <s v="Matches Standard"/>
    <x v="6"/>
    <n v="2026"/>
    <n v="6"/>
    <s v="Jun"/>
  </r>
  <r>
    <s v="APT-202606-0018"/>
    <d v="2026-06-03T00:00:00"/>
    <d v="2026-05-31T00:00:00"/>
    <s v="P0132"/>
    <s v="WLG"/>
    <s v="GEN"/>
    <s v="CL031"/>
    <x v="1"/>
    <x v="0"/>
    <d v="1899-12-30T09:00:00"/>
    <d v="1899-12-30T09:06:00"/>
    <d v="1899-12-30T09:18:00"/>
    <n v="30"/>
    <n v="65"/>
    <s v="No"/>
    <n v="5"/>
    <s v="Routine review"/>
    <s v="appointment_export_2026_06.csv"/>
    <n v="0"/>
    <n v="0"/>
    <x v="0"/>
    <s v="Central"/>
    <s v="Sophie Martin"/>
    <s v="Urban"/>
    <s v="Mon-Sat 08:00-18:00"/>
    <x v="1"/>
    <n v="7"/>
    <n v="65"/>
    <s v="Primary care"/>
    <s v="Doctor or Nurse Practitioner"/>
    <s v="Matched"/>
    <n v="3"/>
    <n v="1"/>
    <n v="12"/>
    <n v="1"/>
    <n v="1"/>
    <n v="0"/>
    <n v="1"/>
    <n v="0"/>
    <s v="Matches Standard"/>
    <x v="6"/>
    <n v="2026"/>
    <n v="6"/>
    <s v="Jun"/>
  </r>
  <r>
    <s v="APT-202606-0019"/>
    <d v="2026-06-07T00:00:00"/>
    <d v="2026-05-25T00:00:00"/>
    <s v="P0110"/>
    <s v="WLG"/>
    <s v="PHY"/>
    <s v="CL036"/>
    <x v="1"/>
    <x v="0"/>
    <d v="1899-12-30T09:00:00"/>
    <d v="1899-12-30T09:16:00"/>
    <d v="1899-12-30T09:07:00"/>
    <n v="45"/>
    <n v="95"/>
    <s v="No"/>
    <n v="4"/>
    <s v="Routine review"/>
    <s v="appointment_export_2026_06.csv"/>
    <n v="0"/>
    <n v="0"/>
    <x v="0"/>
    <s v="Central"/>
    <s v="Sophie Martin"/>
    <s v="Urban"/>
    <s v="Mon-Sat 08:00-18:00"/>
    <x v="0"/>
    <n v="21"/>
    <n v="95"/>
    <s v="Rehabilitation"/>
    <s v="Physiotherapist"/>
    <s v="Matched"/>
    <n v="13"/>
    <n v="1"/>
    <m/>
    <m/>
    <n v="1"/>
    <n v="0"/>
    <n v="1"/>
    <n v="0"/>
    <s v="Matches Standard"/>
    <x v="6"/>
    <n v="2026"/>
    <n v="6"/>
    <s v="Jun"/>
  </r>
  <r>
    <s v="APT-202606-0020"/>
    <d v="2026-06-29T00:00:00"/>
    <d v="2026-05-09T00:00:00"/>
    <s v="P0170"/>
    <s v="WLG"/>
    <s v="DIA"/>
    <s v="CL038"/>
    <x v="1"/>
    <x v="2"/>
    <d v="1899-12-30T09:30:00"/>
    <d v="1899-12-30T09:24:00"/>
    <d v="1899-12-30T09:44:00"/>
    <n v="60"/>
    <n v="80"/>
    <s v="No"/>
    <n v="5"/>
    <s v="Follow-up visit"/>
    <s v="appointment_export_2026_06.csv"/>
    <n v="0"/>
    <n v="0"/>
    <x v="0"/>
    <s v="Central"/>
    <s v="Sophie Martin"/>
    <s v="Urban"/>
    <s v="Mon-Sat 08:00-18:00"/>
    <x v="3"/>
    <n v="10"/>
    <n v="80"/>
    <s v="Long-term conditions"/>
    <s v="Diabetes Nurse"/>
    <s v="Matched"/>
    <n v="51"/>
    <n v="0"/>
    <n v="20"/>
    <n v="1"/>
    <n v="1"/>
    <n v="0"/>
    <n v="1"/>
    <n v="0"/>
    <s v="Matches Standard"/>
    <x v="6"/>
    <n v="2026"/>
    <n v="6"/>
    <s v="Jun"/>
  </r>
  <r>
    <s v="APT-202606-0021"/>
    <d v="2026-06-19T00:00:00"/>
    <d v="2026-05-11T00:00:00"/>
    <s v="P0204"/>
    <s v="WLG"/>
    <s v="DIA"/>
    <s v="CL038"/>
    <x v="3"/>
    <x v="1"/>
    <d v="1899-12-30T14:00:00"/>
    <m/>
    <m/>
    <n v="0"/>
    <n v="80"/>
    <s v="No"/>
    <m/>
    <s v="Care plan review"/>
    <s v="appointment_export_2026_06.csv"/>
    <n v="0"/>
    <n v="0"/>
    <x v="0"/>
    <s v="Central"/>
    <s v="Sophie Martin"/>
    <s v="Urban"/>
    <s v="Mon-Sat 08:00-18:00"/>
    <x v="3"/>
    <n v="10"/>
    <n v="80"/>
    <s v="Long-term conditions"/>
    <s v="Diabetes Nurse"/>
    <s v="Matched"/>
    <n v="39"/>
    <n v="0"/>
    <m/>
    <m/>
    <n v="0"/>
    <m/>
    <n v="1"/>
    <n v="0"/>
    <s v="Matches Standard"/>
    <x v="6"/>
    <n v="2026"/>
    <n v="6"/>
    <s v="Jun"/>
  </r>
  <r>
    <s v="APT-202606-0022"/>
    <d v="2026-06-30T00:00:00"/>
    <d v="2026-05-07T00:00:00"/>
    <s v="P0115"/>
    <s v="AUC"/>
    <s v="CAR"/>
    <s v="CL009"/>
    <x v="2"/>
    <x v="1"/>
    <d v="1899-12-30T08:00:00"/>
    <m/>
    <m/>
    <n v="0"/>
    <n v="150"/>
    <s v="No"/>
    <m/>
    <s v="Routine review"/>
    <s v="appointment_export_2026_06.csv"/>
    <n v="0"/>
    <n v="0"/>
    <x v="2"/>
    <s v="Northern"/>
    <s v="Aroha Rangi"/>
    <s v="Urban"/>
    <s v="Mon-Fri 08:00-18:00"/>
    <x v="4"/>
    <n v="28"/>
    <n v="150"/>
    <s v="Specialist outpatient"/>
    <s v="Cardiology Clinician"/>
    <s v="Matched"/>
    <n v="54"/>
    <n v="0"/>
    <m/>
    <m/>
    <n v="1"/>
    <n v="1"/>
    <n v="1"/>
    <n v="0"/>
    <s v="Matches Standard"/>
    <x v="6"/>
    <n v="2026"/>
    <n v="6"/>
    <s v="Jun"/>
  </r>
  <r>
    <s v="APT-202606-0023"/>
    <d v="2026-06-17T00:00:00"/>
    <d v="2026-05-10T00:00:00"/>
    <s v="P0072"/>
    <s v="PMR"/>
    <s v="PHY"/>
    <s v="CL026"/>
    <x v="2"/>
    <x v="3"/>
    <d v="1899-12-30T14:00:00"/>
    <m/>
    <m/>
    <n v="0"/>
    <n v="95"/>
    <s v="No"/>
    <m/>
    <s v="Patient requested appointment"/>
    <s v="appointment_export_2026_06.csv"/>
    <n v="0"/>
    <n v="0"/>
    <x v="3"/>
    <s v="Central"/>
    <s v="Mereana Thompson"/>
    <s v="Regional"/>
    <s v="Mon-Fri 08:30-17:00"/>
    <x v="0"/>
    <n v="21"/>
    <n v="95"/>
    <s v="Rehabilitation"/>
    <s v="Physiotherapist"/>
    <s v="Matched"/>
    <n v="38"/>
    <n v="0"/>
    <m/>
    <m/>
    <n v="1"/>
    <n v="1"/>
    <n v="1"/>
    <n v="0"/>
    <s v="Matches Standard"/>
    <x v="6"/>
    <n v="2026"/>
    <n v="6"/>
    <s v="Jun"/>
  </r>
  <r>
    <s v="APT-202606-0024"/>
    <d v="2026-06-07T00:00:00"/>
    <d v="2026-05-11T00:00:00"/>
    <s v="P0010"/>
    <s v="AUC"/>
    <s v="PHY"/>
    <s v="CL005"/>
    <x v="2"/>
    <x v="1"/>
    <d v="1899-12-30T13:00:00"/>
    <m/>
    <m/>
    <n v="0"/>
    <n v="95"/>
    <s v="No"/>
    <m/>
    <s v="Care plan review"/>
    <s v="appointment_export_2026_06.csv"/>
    <n v="0"/>
    <n v="0"/>
    <x v="2"/>
    <s v="Northern"/>
    <s v="Aroha Rangi"/>
    <s v="Urban"/>
    <s v="Mon-Fri 08:00-18:00"/>
    <x v="0"/>
    <n v="21"/>
    <n v="95"/>
    <s v="Rehabilitation"/>
    <s v="Physiotherapist"/>
    <s v="Matched"/>
    <n v="27"/>
    <n v="0"/>
    <m/>
    <m/>
    <n v="1"/>
    <n v="1"/>
    <n v="1"/>
    <n v="0"/>
    <s v="Matches Standard"/>
    <x v="6"/>
    <n v="2026"/>
    <n v="6"/>
    <s v="Jun"/>
  </r>
  <r>
    <s v="APT-202606-0025"/>
    <d v="2026-06-29T00:00:00"/>
    <d v="2026-05-15T00:00:00"/>
    <s v="P0170"/>
    <s v="PMR"/>
    <s v="GEN"/>
    <s v="CL022"/>
    <x v="1"/>
    <x v="0"/>
    <d v="1899-12-30T15:30:00"/>
    <d v="1899-12-30T15:35:00"/>
    <d v="1899-12-30T15:43:00"/>
    <n v="30"/>
    <n v="65"/>
    <s v="No"/>
    <n v="5"/>
    <s v="Patient requested appointment"/>
    <s v="appointment_export_2026_06.csv"/>
    <n v="0"/>
    <n v="0"/>
    <x v="3"/>
    <s v="Central"/>
    <s v="Mereana Thompson"/>
    <s v="Regional"/>
    <s v="Mon-Fri 08:30-17:00"/>
    <x v="1"/>
    <n v="7"/>
    <n v="65"/>
    <s v="Primary care"/>
    <s v="Doctor or Nurse Practitioner"/>
    <s v="Matched"/>
    <n v="45"/>
    <n v="0"/>
    <n v="8"/>
    <n v="1"/>
    <n v="1"/>
    <n v="0"/>
    <n v="1"/>
    <n v="0"/>
    <s v="Matches Standard"/>
    <x v="6"/>
    <n v="2026"/>
    <n v="6"/>
    <s v="Jun"/>
  </r>
  <r>
    <s v="APT-202606-0026"/>
    <d v="2026-06-13T00:00:00"/>
    <d v="2026-04-25T00:00:00"/>
    <s v="P0011"/>
    <s v="WLG"/>
    <s v="DIA"/>
    <s v="CL038"/>
    <x v="1"/>
    <x v="3"/>
    <d v="1899-12-30T12:00:00"/>
    <d v="1899-12-30T11:54:00"/>
    <d v="1899-12-30T12:07:00"/>
    <n v="60"/>
    <n v="80"/>
    <s v="Yes"/>
    <n v="4"/>
    <s v="Care plan review"/>
    <s v="appointment_export_2026_06.csv"/>
    <n v="0"/>
    <n v="0"/>
    <x v="0"/>
    <s v="Central"/>
    <s v="Sophie Martin"/>
    <s v="Urban"/>
    <s v="Mon-Sat 08:00-18:00"/>
    <x v="3"/>
    <n v="10"/>
    <n v="80"/>
    <s v="Long-term conditions"/>
    <s v="Diabetes Nurse"/>
    <s v="Matched"/>
    <n v="49"/>
    <n v="0"/>
    <n v="13"/>
    <n v="1"/>
    <n v="1"/>
    <n v="0"/>
    <n v="1"/>
    <n v="0"/>
    <s v="Matches Standard"/>
    <x v="6"/>
    <n v="2026"/>
    <n v="6"/>
    <s v="Jun"/>
  </r>
  <r>
    <s v="APT-202606-0027"/>
    <d v="2026-06-18T00:00:00"/>
    <d v="2026-05-14T00:00:00"/>
    <s v="P0130"/>
    <s v="PMR"/>
    <s v="DIA"/>
    <s v="CL028"/>
    <x v="1"/>
    <x v="0"/>
    <d v="1899-12-30T16:00:00"/>
    <d v="1899-12-30T16:06:00"/>
    <d v="1899-12-30T16:01:00"/>
    <n v="20"/>
    <n v="80"/>
    <s v="No"/>
    <n v="2"/>
    <s v="Routine review"/>
    <s v="appointment_export_2026_06.csv"/>
    <n v="0"/>
    <n v="0"/>
    <x v="3"/>
    <s v="Central"/>
    <s v="Mereana Thompson"/>
    <s v="Regional"/>
    <s v="Mon-Fri 08:30-17:00"/>
    <x v="3"/>
    <n v="10"/>
    <n v="80"/>
    <s v="Long-term conditions"/>
    <s v="Diabetes Nurse"/>
    <s v="Matched"/>
    <n v="35"/>
    <n v="0"/>
    <m/>
    <m/>
    <n v="1"/>
    <n v="0"/>
    <n v="1"/>
    <n v="0"/>
    <s v="Matches Standard"/>
    <x v="6"/>
    <n v="2026"/>
    <n v="6"/>
    <s v="Jun"/>
  </r>
  <r>
    <s v="APT-202606-0028"/>
    <d v="2026-06-21T00:00:00"/>
    <d v="2026-05-02T00:00:00"/>
    <s v="P0003"/>
    <s v="HAM"/>
    <s v="DIA"/>
    <s v="CL017"/>
    <x v="1"/>
    <x v="2"/>
    <d v="1899-12-30T11:00:00"/>
    <d v="1899-12-30T11:10:00"/>
    <d v="1899-12-30T11:31:00"/>
    <n v="60"/>
    <n v="80"/>
    <s v="No"/>
    <n v="4"/>
    <s v="Routine review"/>
    <s v="appointment_export_2026_06.csv"/>
    <n v="0"/>
    <n v="0"/>
    <x v="1"/>
    <s v="Midland"/>
    <s v="Daniel Wong"/>
    <s v="Urban"/>
    <s v="Mon-Fri 08:00-17:30"/>
    <x v="3"/>
    <n v="10"/>
    <n v="80"/>
    <s v="Long-term conditions"/>
    <s v="Diabetes Nurse"/>
    <s v="Matched"/>
    <n v="50"/>
    <n v="0"/>
    <n v="21"/>
    <n v="1"/>
    <n v="1"/>
    <n v="0"/>
    <n v="1"/>
    <n v="0"/>
    <s v="Matches Standard"/>
    <x v="6"/>
    <n v="2026"/>
    <n v="6"/>
    <s v="Jun"/>
  </r>
  <r>
    <s v="APT-202606-0029"/>
    <d v="2026-06-20T00:00:00"/>
    <d v="2026-06-17T00:00:00"/>
    <s v="P0024"/>
    <s v="WLG"/>
    <s v="DIA"/>
    <s v="CL037"/>
    <x v="0"/>
    <x v="2"/>
    <d v="1899-12-30T14:30:00"/>
    <m/>
    <m/>
    <n v="0"/>
    <n v="80"/>
    <s v="No"/>
    <m/>
    <s v="Care plan review"/>
    <s v="appointment_export_2026_06.csv"/>
    <n v="0"/>
    <n v="0"/>
    <x v="0"/>
    <s v="Central"/>
    <s v="Sophie Martin"/>
    <s v="Urban"/>
    <s v="Mon-Sat 08:00-18:00"/>
    <x v="3"/>
    <n v="10"/>
    <n v="80"/>
    <s v="Long-term conditions"/>
    <s v="Diabetes Nurse"/>
    <s v="Matched"/>
    <n v="3"/>
    <n v="1"/>
    <m/>
    <m/>
    <n v="0"/>
    <m/>
    <n v="1"/>
    <n v="0"/>
    <s v="Matches Standard"/>
    <x v="6"/>
    <n v="2026"/>
    <n v="6"/>
    <s v="Jun"/>
  </r>
  <r>
    <s v="APT-202606-0030"/>
    <d v="2026-06-12T00:00:00"/>
    <d v="2026-04-27T00:00:00"/>
    <s v="P0079"/>
    <s v="HAM"/>
    <s v="CAR"/>
    <s v="CL019"/>
    <x v="1"/>
    <x v="1"/>
    <d v="1899-12-30T08:00:00"/>
    <d v="1899-12-30T08:02:00"/>
    <d v="1899-12-30T08:11:00"/>
    <n v="20"/>
    <n v="150"/>
    <s v="Yes"/>
    <n v="3"/>
    <s v="Follow-up visit"/>
    <s v="appointment_export_2026_06.csv"/>
    <n v="0"/>
    <n v="0"/>
    <x v="1"/>
    <s v="Midland"/>
    <s v="Daniel Wong"/>
    <s v="Urban"/>
    <s v="Mon-Fri 08:00-17:30"/>
    <x v="4"/>
    <n v="28"/>
    <n v="150"/>
    <s v="Specialist outpatient"/>
    <s v="Cardiology Clinician"/>
    <s v="Matched"/>
    <n v="46"/>
    <n v="0"/>
    <n v="9"/>
    <n v="1"/>
    <n v="1"/>
    <n v="0"/>
    <n v="1"/>
    <n v="0"/>
    <s v="Matches Standard"/>
    <x v="6"/>
    <n v="2026"/>
    <n v="6"/>
    <s v="Jun"/>
  </r>
  <r>
    <s v="APT-202606-0031"/>
    <d v="2026-06-15T00:00:00"/>
    <d v="2026-06-03T00:00:00"/>
    <s v="P0202"/>
    <s v="PMR"/>
    <s v="MHS"/>
    <s v="CL024"/>
    <x v="2"/>
    <x v="0"/>
    <d v="1899-12-30T10:30:00"/>
    <d v="1899-12-30T10:33:00"/>
    <d v="1899-12-30T10:33:00"/>
    <n v="20"/>
    <n v="120"/>
    <s v="No"/>
    <n v="3"/>
    <s v="Routine review"/>
    <s v="appointment_export_2026_06.csv"/>
    <n v="0"/>
    <n v="0"/>
    <x v="3"/>
    <s v="Central"/>
    <s v="Mereana Thompson"/>
    <s v="Regional"/>
    <s v="Mon-Fri 08:30-17:00"/>
    <x v="2"/>
    <n v="14"/>
    <n v="120"/>
    <s v="Behavioural health"/>
    <s v="Mental Health Clinician"/>
    <s v="Matched"/>
    <n v="12"/>
    <n v="1"/>
    <m/>
    <m/>
    <n v="1"/>
    <n v="1"/>
    <n v="1"/>
    <n v="0"/>
    <s v="Matches Standard"/>
    <x v="6"/>
    <n v="2026"/>
    <n v="6"/>
    <s v="Jun"/>
  </r>
  <r>
    <s v="APT-202606-0032"/>
    <d v="2026-06-08T00:00:00"/>
    <d v="2026-04-28T00:00:00"/>
    <s v="P0147"/>
    <s v="PMR"/>
    <s v="GEN"/>
    <s v="CL022"/>
    <x v="0"/>
    <x v="2"/>
    <d v="1899-12-30T09:00:00"/>
    <m/>
    <m/>
    <n v="0"/>
    <n v="65"/>
    <s v="Yes"/>
    <m/>
    <s v="Care plan review"/>
    <s v="appointment_export_2026_06.csv"/>
    <n v="0"/>
    <n v="0"/>
    <x v="3"/>
    <s v="Central"/>
    <s v="Mereana Thompson"/>
    <s v="Regional"/>
    <s v="Mon-Fri 08:30-17:00"/>
    <x v="1"/>
    <n v="7"/>
    <n v="65"/>
    <s v="Primary care"/>
    <s v="Doctor or Nurse Practitioner"/>
    <s v="Matched"/>
    <n v="41"/>
    <n v="0"/>
    <m/>
    <m/>
    <n v="0"/>
    <m/>
    <n v="1"/>
    <n v="0"/>
    <s v="Matches Standard"/>
    <x v="6"/>
    <n v="2026"/>
    <n v="6"/>
    <s v="Jun"/>
  </r>
  <r>
    <s v="APT-202606-0033"/>
    <d v="2026-06-17T00:00:00"/>
    <d v="2026-05-21T00:00:00"/>
    <s v="P0137"/>
    <s v="AUC"/>
    <s v="GEN"/>
    <s v="CL001"/>
    <x v="1"/>
    <x v="2"/>
    <d v="1899-12-30T13:30:00"/>
    <d v="1899-12-30T13:40:00"/>
    <d v="1899-12-30T13:45:00"/>
    <n v="30"/>
    <n v="65"/>
    <s v="Yes"/>
    <n v="5"/>
    <s v="Follow-up visit"/>
    <s v="appointment_export_2026_06.csv"/>
    <n v="0"/>
    <n v="0"/>
    <x v="2"/>
    <s v="Northern"/>
    <s v="Aroha Rangi"/>
    <s v="Urban"/>
    <s v="Mon-Fri 08:00-18:00"/>
    <x v="1"/>
    <n v="7"/>
    <n v="65"/>
    <s v="Primary care"/>
    <s v="Doctor or Nurse Practitioner"/>
    <s v="Matched"/>
    <n v="27"/>
    <n v="0"/>
    <n v="5"/>
    <n v="1"/>
    <n v="1"/>
    <n v="0"/>
    <n v="1"/>
    <n v="0"/>
    <s v="Matches Standard"/>
    <x v="6"/>
    <n v="2026"/>
    <n v="6"/>
    <s v="Jun"/>
  </r>
  <r>
    <s v="APT-202606-0034"/>
    <d v="2026-06-29T00:00:00"/>
    <d v="2026-06-04T00:00:00"/>
    <s v="P0178"/>
    <s v="PMR"/>
    <s v="GEN"/>
    <s v="CL021"/>
    <x v="1"/>
    <x v="3"/>
    <d v="1899-12-30T10:00:00"/>
    <d v="1899-12-30T10:16:00"/>
    <d v="1899-12-30T10:04:00"/>
    <n v="30"/>
    <n v="65"/>
    <s v="Yes"/>
    <n v="4"/>
    <s v="Patient requested appointment"/>
    <s v="appointment_export_2026_06.csv"/>
    <n v="0"/>
    <n v="0"/>
    <x v="3"/>
    <s v="Central"/>
    <s v="Mereana Thompson"/>
    <s v="Regional"/>
    <s v="Mon-Fri 08:30-17:00"/>
    <x v="1"/>
    <n v="7"/>
    <n v="65"/>
    <s v="Primary care"/>
    <s v="Doctor or Nurse Practitioner"/>
    <s v="Matched"/>
    <n v="25"/>
    <n v="0"/>
    <m/>
    <m/>
    <n v="1"/>
    <n v="0"/>
    <n v="1"/>
    <n v="0"/>
    <s v="Matches Standard"/>
    <x v="6"/>
    <n v="2026"/>
    <n v="6"/>
    <s v="Jun"/>
  </r>
  <r>
    <s v="APT-202606-0035"/>
    <d v="2026-06-18T00:00:00"/>
    <d v="2026-06-01T00:00:00"/>
    <s v="P0111"/>
    <s v="HAM"/>
    <s v="MHS"/>
    <s v="CL013"/>
    <x v="1"/>
    <x v="1"/>
    <d v="1899-12-30T13:30:00"/>
    <d v="1899-12-30T13:43:00"/>
    <d v="1899-12-30T13:35:00"/>
    <n v="60"/>
    <n v="120"/>
    <s v="No"/>
    <n v="5"/>
    <s v="Patient requested appointment"/>
    <s v="appointment_export_2026_06.csv"/>
    <n v="0"/>
    <n v="0"/>
    <x v="1"/>
    <s v="Midland"/>
    <s v="Daniel Wong"/>
    <s v="Urban"/>
    <s v="Mon-Fri 08:00-17:30"/>
    <x v="2"/>
    <n v="14"/>
    <n v="120"/>
    <s v="Behavioural health"/>
    <s v="Mental Health Clinician"/>
    <s v="Matched"/>
    <n v="17"/>
    <n v="0"/>
    <m/>
    <m/>
    <n v="1"/>
    <n v="0"/>
    <n v="1"/>
    <n v="0"/>
    <s v="Matches Standard"/>
    <x v="6"/>
    <n v="2026"/>
    <n v="6"/>
    <s v="Jun"/>
  </r>
  <r>
    <s v="APT-202606-0036"/>
    <d v="2026-06-27T00:00:00"/>
    <d v="2026-06-20T00:00:00"/>
    <s v="P0098"/>
    <s v="PMR"/>
    <s v="DIA"/>
    <s v="CL027"/>
    <x v="1"/>
    <x v="0"/>
    <d v="1899-12-30T16:00:00"/>
    <d v="1899-12-30T16:14:00"/>
    <d v="1899-12-30T16:33:00"/>
    <n v="60"/>
    <n v="80"/>
    <s v="No"/>
    <n v="2"/>
    <s v="Follow-up visit"/>
    <s v="appointment_export_2026_06.csv"/>
    <n v="0"/>
    <n v="0"/>
    <x v="3"/>
    <s v="Central"/>
    <s v="Mereana Thompson"/>
    <s v="Regional"/>
    <s v="Mon-Fri 08:30-17:00"/>
    <x v="3"/>
    <n v="10"/>
    <n v="80"/>
    <s v="Long-term conditions"/>
    <s v="Diabetes Nurse"/>
    <s v="Matched"/>
    <n v="7"/>
    <n v="1"/>
    <n v="19"/>
    <n v="1"/>
    <n v="1"/>
    <n v="0"/>
    <n v="1"/>
    <n v="0"/>
    <s v="Matches Standard"/>
    <x v="6"/>
    <n v="2026"/>
    <n v="6"/>
    <s v="Jun"/>
  </r>
  <r>
    <s v="APT-202606-0037"/>
    <d v="2026-06-17T00:00:00"/>
    <d v="2026-05-21T00:00:00"/>
    <s v="P0033"/>
    <s v="PMR"/>
    <s v="MHS"/>
    <s v="CL023"/>
    <x v="1"/>
    <x v="0"/>
    <d v="1899-12-30T12:30:00"/>
    <d v="1899-12-30T12:23:00"/>
    <d v="1899-12-30T12:59:00"/>
    <n v="45"/>
    <n v="120"/>
    <s v="Yes"/>
    <n v="3"/>
    <s v="Care plan review"/>
    <s v="appointment_export_2026_06.csv"/>
    <n v="0"/>
    <n v="0"/>
    <x v="3"/>
    <s v="Central"/>
    <s v="Mereana Thompson"/>
    <s v="Regional"/>
    <s v="Mon-Fri 08:30-17:00"/>
    <x v="2"/>
    <n v="14"/>
    <n v="120"/>
    <s v="Behavioural health"/>
    <s v="Mental Health Clinician"/>
    <s v="Matched"/>
    <n v="27"/>
    <n v="0"/>
    <n v="36"/>
    <n v="0"/>
    <n v="1"/>
    <n v="0"/>
    <n v="1"/>
    <n v="0"/>
    <s v="Matches Standard"/>
    <x v="6"/>
    <n v="2026"/>
    <n v="6"/>
    <s v="Jun"/>
  </r>
  <r>
    <s v="APT-202606-0038"/>
    <d v="2026-06-01T00:00:00"/>
    <d v="2026-05-28T00:00:00"/>
    <s v="P0009"/>
    <s v="HAM"/>
    <s v="DIA"/>
    <s v="CL018"/>
    <x v="3"/>
    <x v="3"/>
    <d v="1899-12-30T08:00:00"/>
    <m/>
    <m/>
    <n v="0"/>
    <n v="80"/>
    <s v="No"/>
    <m/>
    <s v="Routine review"/>
    <s v="appointment_export_2026_06.csv"/>
    <n v="0"/>
    <n v="0"/>
    <x v="1"/>
    <s v="Midland"/>
    <s v="Daniel Wong"/>
    <s v="Urban"/>
    <s v="Mon-Fri 08:00-17:30"/>
    <x v="3"/>
    <n v="10"/>
    <n v="80"/>
    <s v="Long-term conditions"/>
    <s v="Diabetes Nurse"/>
    <s v="Matched"/>
    <n v="4"/>
    <n v="1"/>
    <m/>
    <m/>
    <n v="0"/>
    <m/>
    <n v="1"/>
    <n v="0"/>
    <s v="Matches Standard"/>
    <x v="6"/>
    <n v="2026"/>
    <n v="6"/>
    <s v="Jun"/>
  </r>
  <r>
    <s v="APT-202606-0039"/>
    <d v="2026-06-19T00:00:00"/>
    <d v="2026-06-06T00:00:00"/>
    <s v="P0103"/>
    <s v="HAM"/>
    <s v="CAR"/>
    <s v="CL019"/>
    <x v="1"/>
    <x v="3"/>
    <d v="1899-12-30T11:30:00"/>
    <d v="1899-12-30T11:28:00"/>
    <d v="1899-12-30T12:03:00"/>
    <n v="30"/>
    <n v="150"/>
    <s v="No"/>
    <n v="5"/>
    <s v="Care plan review"/>
    <s v="appointment_export_2026_06.csv"/>
    <n v="0"/>
    <n v="0"/>
    <x v="1"/>
    <s v="Midland"/>
    <s v="Daniel Wong"/>
    <s v="Urban"/>
    <s v="Mon-Fri 08:00-17:30"/>
    <x v="4"/>
    <n v="28"/>
    <n v="150"/>
    <s v="Specialist outpatient"/>
    <s v="Cardiology Clinician"/>
    <s v="Matched"/>
    <n v="13"/>
    <n v="1"/>
    <n v="35"/>
    <n v="0"/>
    <n v="1"/>
    <n v="0"/>
    <n v="1"/>
    <n v="0"/>
    <s v="Matches Standard"/>
    <x v="6"/>
    <n v="2026"/>
    <n v="6"/>
    <s v="Jun"/>
  </r>
  <r>
    <s v="APT-202606-0040"/>
    <d v="2026-06-14T00:00:00"/>
    <d v="2026-05-08T00:00:00"/>
    <s v="P0027"/>
    <s v="HAM"/>
    <s v="PHY"/>
    <s v="CL016"/>
    <x v="1"/>
    <x v="2"/>
    <d v="1899-12-30T15:30:00"/>
    <d v="1899-12-30T15:34:00"/>
    <d v="1899-12-30T15:48:00"/>
    <n v="20"/>
    <n v="95"/>
    <s v="Yes"/>
    <n v="2"/>
    <s v="Care plan review"/>
    <s v="appointment_export_2026_06.csv"/>
    <n v="0"/>
    <n v="0"/>
    <x v="1"/>
    <s v="Midland"/>
    <s v="Daniel Wong"/>
    <s v="Urban"/>
    <s v="Mon-Fri 08:00-17:30"/>
    <x v="0"/>
    <n v="21"/>
    <n v="95"/>
    <s v="Rehabilitation"/>
    <s v="Physiotherapist"/>
    <s v="Matched"/>
    <n v="37"/>
    <n v="0"/>
    <n v="14"/>
    <n v="1"/>
    <n v="1"/>
    <n v="0"/>
    <n v="1"/>
    <n v="0"/>
    <s v="Matches Standard"/>
    <x v="6"/>
    <n v="2026"/>
    <n v="6"/>
    <s v="Jun"/>
  </r>
  <r>
    <s v="APT-202606-0041"/>
    <d v="2026-06-14T00:00:00"/>
    <d v="2026-06-06T00:00:00"/>
    <s v="P0124"/>
    <s v="WLG"/>
    <s v="DIA"/>
    <s v="CL038"/>
    <x v="1"/>
    <x v="2"/>
    <d v="1899-12-30T13:00:00"/>
    <d v="1899-12-30T12:59:00"/>
    <d v="1899-12-30T13:26:00"/>
    <n v="20"/>
    <n v="80"/>
    <s v="No"/>
    <n v="4"/>
    <s v="Follow-up visit"/>
    <s v="appointment_export_2026_06.csv"/>
    <n v="0"/>
    <n v="0"/>
    <x v="0"/>
    <s v="Central"/>
    <s v="Sophie Martin"/>
    <s v="Urban"/>
    <s v="Mon-Sat 08:00-18:00"/>
    <x v="3"/>
    <n v="10"/>
    <n v="80"/>
    <s v="Long-term conditions"/>
    <s v="Diabetes Nurse"/>
    <s v="Matched"/>
    <n v="8"/>
    <n v="1"/>
    <n v="27"/>
    <n v="1"/>
    <n v="1"/>
    <n v="0"/>
    <n v="1"/>
    <n v="0"/>
    <s v="Matches Standard"/>
    <x v="6"/>
    <n v="2026"/>
    <n v="6"/>
    <s v="Jun"/>
  </r>
  <r>
    <s v="APT-202606-0042"/>
    <d v="2026-06-10T00:00:00"/>
    <d v="2026-04-18T00:00:00"/>
    <s v="P0133"/>
    <s v="PMR"/>
    <s v="MHS"/>
    <s v="CL023"/>
    <x v="1"/>
    <x v="3"/>
    <d v="1899-12-30T12:30:00"/>
    <d v="1899-12-30T12:33:00"/>
    <d v="1899-12-30T12:43:00"/>
    <n v="30"/>
    <n v="120"/>
    <s v="Yes"/>
    <n v="4"/>
    <s v="New referral"/>
    <s v="appointment_export_2026_06.csv"/>
    <n v="0"/>
    <n v="0"/>
    <x v="3"/>
    <s v="Central"/>
    <s v="Mereana Thompson"/>
    <s v="Regional"/>
    <s v="Mon-Fri 08:30-17:00"/>
    <x v="2"/>
    <n v="14"/>
    <n v="120"/>
    <s v="Behavioural health"/>
    <s v="Mental Health Clinician"/>
    <s v="Matched"/>
    <n v="53"/>
    <n v="0"/>
    <n v="10"/>
    <n v="1"/>
    <n v="1"/>
    <n v="0"/>
    <n v="1"/>
    <n v="0"/>
    <s v="Matches Standard"/>
    <x v="6"/>
    <n v="2026"/>
    <n v="6"/>
    <s v="Jun"/>
  </r>
  <r>
    <s v="APT-202606-0043"/>
    <d v="2026-06-12T00:00:00"/>
    <d v="2026-04-26T00:00:00"/>
    <s v="P0004"/>
    <s v="HAM"/>
    <s v="DIA"/>
    <s v="CL018"/>
    <x v="1"/>
    <x v="0"/>
    <d v="1899-12-30T13:30:00"/>
    <d v="1899-12-30T13:25:00"/>
    <d v="1899-12-30T13:47:00"/>
    <n v="30"/>
    <n v="80"/>
    <s v="No"/>
    <n v="4"/>
    <s v="Care plan review"/>
    <s v="appointment_export_2026_06.csv"/>
    <n v="0"/>
    <n v="0"/>
    <x v="1"/>
    <s v="Midland"/>
    <s v="Daniel Wong"/>
    <s v="Urban"/>
    <s v="Mon-Fri 08:00-17:30"/>
    <x v="3"/>
    <n v="10"/>
    <n v="80"/>
    <s v="Long-term conditions"/>
    <s v="Diabetes Nurse"/>
    <s v="Matched"/>
    <n v="47"/>
    <n v="0"/>
    <n v="22"/>
    <n v="1"/>
    <n v="1"/>
    <n v="0"/>
    <n v="1"/>
    <n v="0"/>
    <s v="Matches Standard"/>
    <x v="6"/>
    <n v="2026"/>
    <n v="6"/>
    <s v="Jun"/>
  </r>
  <r>
    <s v="APT-202606-0044"/>
    <d v="2026-06-05T00:00:00"/>
    <d v="2026-04-12T00:00:00"/>
    <s v="P0016"/>
    <s v="HAM"/>
    <s v="DIA"/>
    <s v="CL017"/>
    <x v="0"/>
    <x v="3"/>
    <d v="1899-12-30T11:30:00"/>
    <m/>
    <m/>
    <n v="0"/>
    <n v="80"/>
    <s v="Yes"/>
    <m/>
    <s v="Care plan review"/>
    <s v="appointment_export_2026_06.csv"/>
    <n v="0"/>
    <n v="0"/>
    <x v="1"/>
    <s v="Midland"/>
    <s v="Daniel Wong"/>
    <s v="Urban"/>
    <s v="Mon-Fri 08:00-17:30"/>
    <x v="3"/>
    <n v="10"/>
    <n v="80"/>
    <s v="Long-term conditions"/>
    <s v="Diabetes Nurse"/>
    <s v="Matched"/>
    <n v="54"/>
    <n v="0"/>
    <m/>
    <m/>
    <n v="0"/>
    <m/>
    <n v="1"/>
    <n v="0"/>
    <s v="Matches Standard"/>
    <x v="6"/>
    <n v="2026"/>
    <n v="6"/>
    <s v="Jun"/>
  </r>
  <r>
    <s v="APT-202606-0045"/>
    <d v="2026-06-14T00:00:00"/>
    <d v="2026-06-02T00:00:00"/>
    <s v="P0009"/>
    <s v="PMR"/>
    <s v="MHS"/>
    <s v="CL023"/>
    <x v="0"/>
    <x v="2"/>
    <d v="1899-12-30T10:30:00"/>
    <m/>
    <m/>
    <n v="0"/>
    <n v="120"/>
    <s v="No"/>
    <m/>
    <s v="Follow-up visit"/>
    <s v="appointment_export_2026_06.csv"/>
    <n v="0"/>
    <n v="0"/>
    <x v="3"/>
    <s v="Central"/>
    <s v="Mereana Thompson"/>
    <s v="Regional"/>
    <s v="Mon-Fri 08:30-17:00"/>
    <x v="2"/>
    <n v="14"/>
    <n v="120"/>
    <s v="Behavioural health"/>
    <s v="Mental Health Clinician"/>
    <s v="Matched"/>
    <n v="12"/>
    <n v="1"/>
    <m/>
    <m/>
    <n v="0"/>
    <m/>
    <n v="1"/>
    <n v="0"/>
    <s v="Matches Standard"/>
    <x v="6"/>
    <n v="2026"/>
    <n v="6"/>
    <s v="Jun"/>
  </r>
  <r>
    <s v="APT-202606-0046"/>
    <d v="2026-06-08T00:00:00"/>
    <d v="2026-04-15T00:00:00"/>
    <s v="P0207"/>
    <s v="WLG"/>
    <s v="GEN"/>
    <s v="CL031"/>
    <x v="1"/>
    <x v="3"/>
    <d v="1899-12-30T08:30:00"/>
    <d v="1899-12-30T08:30:00"/>
    <d v="1899-12-30T08:52:00"/>
    <n v="20"/>
    <n v="65"/>
    <s v="No"/>
    <n v="4"/>
    <s v="Follow-up visit"/>
    <s v="appointment_export_2026_06.csv"/>
    <n v="0"/>
    <n v="0"/>
    <x v="0"/>
    <s v="Central"/>
    <s v="Sophie Martin"/>
    <s v="Urban"/>
    <s v="Mon-Sat 08:00-18:00"/>
    <x v="1"/>
    <n v="7"/>
    <n v="65"/>
    <s v="Primary care"/>
    <s v="Doctor or Nurse Practitioner"/>
    <s v="Matched"/>
    <n v="54"/>
    <n v="0"/>
    <n v="22"/>
    <n v="1"/>
    <n v="1"/>
    <n v="0"/>
    <n v="1"/>
    <n v="0"/>
    <s v="Matches Standard"/>
    <x v="6"/>
    <n v="2026"/>
    <n v="6"/>
    <s v="Jun"/>
  </r>
  <r>
    <s v="APT-202606-0047"/>
    <d v="2026-06-01T00:00:00"/>
    <d v="2026-05-11T00:00:00"/>
    <s v="P0089"/>
    <s v="WLG"/>
    <s v="DIA"/>
    <s v="CL037"/>
    <x v="0"/>
    <x v="2"/>
    <d v="1899-12-30T15:00:00"/>
    <m/>
    <m/>
    <n v="0"/>
    <n v="80"/>
    <s v="No"/>
    <m/>
    <s v="New referral"/>
    <s v="appointment_export_2026_06.csv"/>
    <n v="0"/>
    <n v="0"/>
    <x v="0"/>
    <s v="Central"/>
    <s v="Sophie Martin"/>
    <s v="Urban"/>
    <s v="Mon-Sat 08:00-18:00"/>
    <x v="3"/>
    <n v="10"/>
    <n v="80"/>
    <s v="Long-term conditions"/>
    <s v="Diabetes Nurse"/>
    <s v="Matched"/>
    <n v="21"/>
    <n v="0"/>
    <m/>
    <m/>
    <n v="0"/>
    <m/>
    <n v="1"/>
    <n v="0"/>
    <s v="Matches Standard"/>
    <x v="6"/>
    <n v="2026"/>
    <n v="6"/>
    <s v="Jun"/>
  </r>
  <r>
    <s v="APT-202606-0048"/>
    <d v="2026-06-01T00:00:00"/>
    <d v="2026-04-11T00:00:00"/>
    <s v="P0045"/>
    <s v="HAM"/>
    <s v="GEN"/>
    <s v="CL012"/>
    <x v="3"/>
    <x v="2"/>
    <d v="1899-12-30T15:00:00"/>
    <m/>
    <m/>
    <n v="0"/>
    <n v="65"/>
    <s v="No"/>
    <m/>
    <s v="Patient requested appointment"/>
    <s v="appointment_export_2026_06.csv"/>
    <n v="0"/>
    <n v="0"/>
    <x v="1"/>
    <s v="Midland"/>
    <s v="Daniel Wong"/>
    <s v="Urban"/>
    <s v="Mon-Fri 08:00-17:30"/>
    <x v="1"/>
    <n v="7"/>
    <n v="65"/>
    <s v="Primary care"/>
    <s v="Doctor or Nurse Practitioner"/>
    <s v="Matched"/>
    <n v="51"/>
    <n v="0"/>
    <m/>
    <m/>
    <n v="0"/>
    <m/>
    <n v="1"/>
    <n v="0"/>
    <s v="Matches Standard"/>
    <x v="6"/>
    <n v="2026"/>
    <n v="6"/>
    <s v="Jun"/>
  </r>
  <r>
    <s v="APT-202606-0049"/>
    <d v="2026-06-27T00:00:00"/>
    <d v="2026-05-08T00:00:00"/>
    <s v="P0028"/>
    <s v="AUC"/>
    <s v="DIA"/>
    <s v="CL007"/>
    <x v="3"/>
    <x v="2"/>
    <d v="1899-12-30T16:00:00"/>
    <m/>
    <m/>
    <n v="0"/>
    <n v="80"/>
    <s v="No"/>
    <m/>
    <s v="Care plan review"/>
    <s v="appointment_export_2026_06.csv"/>
    <n v="0"/>
    <n v="0"/>
    <x v="2"/>
    <s v="Northern"/>
    <s v="Aroha Rangi"/>
    <s v="Urban"/>
    <s v="Mon-Fri 08:00-18:00"/>
    <x v="3"/>
    <n v="10"/>
    <n v="80"/>
    <s v="Long-term conditions"/>
    <s v="Diabetes Nurse"/>
    <s v="Matched"/>
    <n v="50"/>
    <n v="0"/>
    <m/>
    <m/>
    <n v="0"/>
    <m/>
    <n v="1"/>
    <n v="0"/>
    <s v="Matches Standard"/>
    <x v="6"/>
    <n v="2026"/>
    <n v="6"/>
    <s v="Jun"/>
  </r>
  <r>
    <s v="APT-202606-0050"/>
    <d v="2026-06-28T00:00:00"/>
    <d v="2026-05-07T00:00:00"/>
    <s v="P0007"/>
    <s v="PMR"/>
    <s v="CAR"/>
    <s v="CL029"/>
    <x v="3"/>
    <x v="1"/>
    <d v="1899-12-30T14:30:00"/>
    <m/>
    <m/>
    <n v="0"/>
    <n v="150"/>
    <s v="Yes"/>
    <m/>
    <s v="Routine review"/>
    <s v="appointment_export_2026_06.csv"/>
    <n v="0"/>
    <n v="0"/>
    <x v="3"/>
    <s v="Central"/>
    <s v="Mereana Thompson"/>
    <s v="Regional"/>
    <s v="Mon-Fri 08:30-17:00"/>
    <x v="4"/>
    <n v="28"/>
    <n v="150"/>
    <s v="Specialist outpatient"/>
    <s v="Cardiology Clinician"/>
    <s v="Matched"/>
    <n v="52"/>
    <n v="0"/>
    <m/>
    <m/>
    <n v="0"/>
    <m/>
    <n v="1"/>
    <n v="0"/>
    <s v="Matches Standard"/>
    <x v="6"/>
    <n v="2026"/>
    <n v="6"/>
    <s v="Jun"/>
  </r>
  <r>
    <s v="APT-202606-0051"/>
    <d v="2026-06-29T00:00:00"/>
    <d v="2026-05-24T00:00:00"/>
    <s v="P0231"/>
    <s v="HAM"/>
    <s v="MHS"/>
    <s v="CL014"/>
    <x v="1"/>
    <x v="3"/>
    <d v="1899-12-30T09:30:00"/>
    <d v="1899-12-30T09:40:00"/>
    <d v="1899-12-30T10:04:00"/>
    <n v="60"/>
    <n v="120"/>
    <s v="No"/>
    <n v="2"/>
    <s v="Patient requested appointment"/>
    <s v="appointment_export_2026_06.csv"/>
    <n v="0"/>
    <n v="0"/>
    <x v="1"/>
    <s v="Midland"/>
    <s v="Daniel Wong"/>
    <s v="Urban"/>
    <s v="Mon-Fri 08:00-17:30"/>
    <x v="2"/>
    <n v="14"/>
    <n v="120"/>
    <s v="Behavioural health"/>
    <s v="Mental Health Clinician"/>
    <s v="Matched"/>
    <n v="36"/>
    <n v="0"/>
    <n v="24"/>
    <n v="1"/>
    <n v="1"/>
    <n v="0"/>
    <n v="1"/>
    <n v="0"/>
    <s v="Matches Standard"/>
    <x v="6"/>
    <n v="2026"/>
    <n v="6"/>
    <s v="Jun"/>
  </r>
  <r>
    <s v="APT-202606-0052"/>
    <d v="2026-06-08T00:00:00"/>
    <d v="2026-05-21T00:00:00"/>
    <s v="P0136"/>
    <s v="AUC"/>
    <s v="GEN"/>
    <s v="CL001"/>
    <x v="1"/>
    <x v="1"/>
    <d v="1899-12-30T08:30:00"/>
    <d v="1899-12-30T08:33:00"/>
    <d v="1899-12-30T09:07:00"/>
    <n v="60"/>
    <n v="65"/>
    <s v="No"/>
    <n v="4"/>
    <s v="Patient requested appointment"/>
    <s v="appointment_export_2026_06.csv"/>
    <n v="0"/>
    <n v="0"/>
    <x v="2"/>
    <s v="Northern"/>
    <s v="Aroha Rangi"/>
    <s v="Urban"/>
    <s v="Mon-Fri 08:00-18:00"/>
    <x v="1"/>
    <n v="7"/>
    <n v="65"/>
    <s v="Primary care"/>
    <s v="Doctor or Nurse Practitioner"/>
    <s v="Matched"/>
    <n v="18"/>
    <n v="0"/>
    <n v="34"/>
    <n v="0"/>
    <n v="1"/>
    <n v="0"/>
    <n v="1"/>
    <n v="0"/>
    <s v="Matches Standard"/>
    <x v="6"/>
    <n v="2026"/>
    <n v="6"/>
    <s v="Jun"/>
  </r>
  <r>
    <s v="APT-202606-0053"/>
    <d v="2026-06-08T00:00:00"/>
    <d v="2026-04-23T00:00:00"/>
    <s v="P0132"/>
    <s v="PMR"/>
    <s v="MHS"/>
    <s v="CL024"/>
    <x v="0"/>
    <x v="0"/>
    <d v="1899-12-30T08:30:00"/>
    <m/>
    <m/>
    <n v="0"/>
    <n v="120"/>
    <s v="No"/>
    <m/>
    <s v="Follow-up visit"/>
    <s v="appointment_export_2026_06.csv"/>
    <n v="0"/>
    <n v="0"/>
    <x v="3"/>
    <s v="Central"/>
    <s v="Mereana Thompson"/>
    <s v="Regional"/>
    <s v="Mon-Fri 08:30-17:00"/>
    <x v="2"/>
    <n v="14"/>
    <n v="120"/>
    <s v="Behavioural health"/>
    <s v="Mental Health Clinician"/>
    <s v="Matched"/>
    <n v="46"/>
    <n v="0"/>
    <m/>
    <m/>
    <n v="0"/>
    <m/>
    <n v="1"/>
    <n v="0"/>
    <s v="Matches Standard"/>
    <x v="6"/>
    <n v="2026"/>
    <n v="6"/>
    <s v="Jun"/>
  </r>
  <r>
    <s v="APT-202606-0054"/>
    <d v="2026-06-26T00:00:00"/>
    <d v="2026-05-03T00:00:00"/>
    <s v="P0126"/>
    <s v="AUC"/>
    <s v="PHY"/>
    <s v="CL005"/>
    <x v="1"/>
    <x v="2"/>
    <d v="1899-12-30T14:30:00"/>
    <d v="1899-12-30T14:39:00"/>
    <d v="1899-12-30T14:57:00"/>
    <n v="30"/>
    <n v="95"/>
    <s v="No"/>
    <n v="4"/>
    <s v="Follow-up visit"/>
    <s v="appointment_export_2026_06.csv"/>
    <n v="0"/>
    <n v="0"/>
    <x v="2"/>
    <s v="Northern"/>
    <s v="Aroha Rangi"/>
    <s v="Urban"/>
    <s v="Mon-Fri 08:00-18:00"/>
    <x v="0"/>
    <n v="21"/>
    <n v="95"/>
    <s v="Rehabilitation"/>
    <s v="Physiotherapist"/>
    <s v="Matched"/>
    <n v="54"/>
    <n v="0"/>
    <n v="18"/>
    <n v="1"/>
    <n v="1"/>
    <n v="0"/>
    <n v="1"/>
    <n v="0"/>
    <s v="Matches Standard"/>
    <x v="6"/>
    <n v="2026"/>
    <n v="6"/>
    <s v="Jun"/>
  </r>
  <r>
    <s v="APT-202606-0055"/>
    <d v="2026-06-12T00:00:00"/>
    <d v="2026-06-03T00:00:00"/>
    <s v="P0058"/>
    <s v="AUC"/>
    <s v="CAR"/>
    <s v="CL010"/>
    <x v="0"/>
    <x v="3"/>
    <d v="1899-12-30T12:30:00"/>
    <m/>
    <m/>
    <n v="0"/>
    <n v="150"/>
    <s v="Yes"/>
    <m/>
    <s v="Care plan review"/>
    <s v="appointment_export_2026_06.csv"/>
    <n v="0"/>
    <n v="0"/>
    <x v="2"/>
    <s v="Northern"/>
    <s v="Aroha Rangi"/>
    <s v="Urban"/>
    <s v="Mon-Fri 08:00-18:00"/>
    <x v="4"/>
    <n v="28"/>
    <n v="150"/>
    <s v="Specialist outpatient"/>
    <s v="Cardiology Clinician"/>
    <s v="Matched"/>
    <n v="9"/>
    <n v="1"/>
    <m/>
    <m/>
    <n v="0"/>
    <m/>
    <n v="1"/>
    <n v="0"/>
    <s v="Matches Standard"/>
    <x v="6"/>
    <n v="2026"/>
    <n v="6"/>
    <s v="Jun"/>
  </r>
  <r>
    <s v="APT-202606-0056"/>
    <d v="2026-06-17T00:00:00"/>
    <d v="2026-04-26T00:00:00"/>
    <s v="P0109"/>
    <s v="PMR"/>
    <s v="MHS"/>
    <s v="CL024"/>
    <x v="1"/>
    <x v="1"/>
    <d v="1899-12-30T09:30:00"/>
    <d v="1899-12-30T09:38:00"/>
    <d v="1899-12-30T09:49:00"/>
    <n v="45"/>
    <n v="120"/>
    <s v="No"/>
    <n v="3"/>
    <s v="New referral"/>
    <s v="appointment_export_2026_06.csv"/>
    <n v="0"/>
    <n v="0"/>
    <x v="3"/>
    <s v="Central"/>
    <s v="Mereana Thompson"/>
    <s v="Regional"/>
    <s v="Mon-Fri 08:30-17:00"/>
    <x v="2"/>
    <n v="14"/>
    <n v="120"/>
    <s v="Behavioural health"/>
    <s v="Mental Health Clinician"/>
    <s v="Matched"/>
    <n v="52"/>
    <n v="0"/>
    <n v="11"/>
    <n v="1"/>
    <n v="1"/>
    <n v="0"/>
    <n v="1"/>
    <n v="0"/>
    <s v="Matches Standard"/>
    <x v="6"/>
    <n v="2026"/>
    <n v="6"/>
    <s v="Jun"/>
  </r>
  <r>
    <s v="APT-202606-0057"/>
    <d v="2026-06-09T00:00:00"/>
    <d v="2026-05-20T00:00:00"/>
    <s v="P0175"/>
    <s v="AUC"/>
    <s v="GEN"/>
    <s v="CL001"/>
    <x v="0"/>
    <x v="1"/>
    <d v="1899-12-30T12:30:00"/>
    <m/>
    <m/>
    <n v="0"/>
    <n v="65"/>
    <s v="No"/>
    <m/>
    <s v="Patient requested appointment"/>
    <s v="appointment_export_2026_06.csv"/>
    <n v="0"/>
    <n v="0"/>
    <x v="2"/>
    <s v="Northern"/>
    <s v="Aroha Rangi"/>
    <s v="Urban"/>
    <s v="Mon-Fri 08:00-18:00"/>
    <x v="1"/>
    <n v="7"/>
    <n v="65"/>
    <s v="Primary care"/>
    <s v="Doctor or Nurse Practitioner"/>
    <s v="Matched"/>
    <n v="20"/>
    <n v="0"/>
    <m/>
    <m/>
    <n v="0"/>
    <m/>
    <n v="1"/>
    <n v="0"/>
    <s v="Matches Standard"/>
    <x v="6"/>
    <n v="2026"/>
    <n v="6"/>
    <s v="Jun"/>
  </r>
  <r>
    <s v="APT-202606-0058"/>
    <d v="2026-06-18T00:00:00"/>
    <d v="2026-06-05T00:00:00"/>
    <s v="P0131"/>
    <s v="HAM"/>
    <s v="GEN"/>
    <s v="CL012"/>
    <x v="3"/>
    <x v="0"/>
    <d v="1899-12-30T15:00:00"/>
    <m/>
    <m/>
    <n v="0"/>
    <n v="65"/>
    <s v="No"/>
    <m/>
    <s v="New referral"/>
    <s v="appointment_export_2026_06.csv"/>
    <n v="0"/>
    <n v="0"/>
    <x v="1"/>
    <s v="Midland"/>
    <s v="Daniel Wong"/>
    <s v="Urban"/>
    <s v="Mon-Fri 08:00-17:30"/>
    <x v="1"/>
    <n v="7"/>
    <n v="65"/>
    <s v="Primary care"/>
    <s v="Doctor or Nurse Practitioner"/>
    <s v="Matched"/>
    <n v="13"/>
    <n v="0"/>
    <m/>
    <m/>
    <n v="0"/>
    <m/>
    <n v="1"/>
    <n v="0"/>
    <s v="Matches Standard"/>
    <x v="6"/>
    <n v="2026"/>
    <n v="6"/>
    <s v="Jun"/>
  </r>
  <r>
    <s v="APT-202606-0059"/>
    <d v="2026-06-20T00:00:00"/>
    <d v="2026-05-02T00:00:00"/>
    <s v="P0105"/>
    <s v="AUC"/>
    <s v="DIA"/>
    <s v="CL008"/>
    <x v="1"/>
    <x v="0"/>
    <d v="1899-12-30T12:30:00"/>
    <d v="1899-12-30T12:45:00"/>
    <d v="1899-12-30T12:40:00"/>
    <n v="30"/>
    <n v="80"/>
    <s v="No"/>
    <n v="2"/>
    <s v="New referral"/>
    <s v="appointment_export_2026_06.csv"/>
    <n v="0"/>
    <n v="0"/>
    <x v="2"/>
    <s v="Northern"/>
    <s v="Aroha Rangi"/>
    <s v="Urban"/>
    <s v="Mon-Fri 08:00-18:00"/>
    <x v="3"/>
    <n v="10"/>
    <n v="80"/>
    <s v="Long-term conditions"/>
    <s v="Diabetes Nurse"/>
    <s v="Matched"/>
    <n v="49"/>
    <n v="0"/>
    <m/>
    <m/>
    <n v="1"/>
    <n v="0"/>
    <n v="1"/>
    <n v="0"/>
    <s v="Matches Standard"/>
    <x v="6"/>
    <n v="2026"/>
    <n v="6"/>
    <s v="Jun"/>
  </r>
  <r>
    <s v="APT-202606-0060"/>
    <d v="2026-06-25T00:00:00"/>
    <d v="2026-05-02T00:00:00"/>
    <s v="P0037"/>
    <s v="PMR"/>
    <s v="PHY"/>
    <s v="CL026"/>
    <x v="1"/>
    <x v="2"/>
    <d v="1899-12-30T10:00:00"/>
    <d v="1899-12-30T10:14:00"/>
    <d v="1899-12-30T10:30:00"/>
    <n v="20"/>
    <n v="95"/>
    <s v="Yes"/>
    <n v="4"/>
    <s v="New referral"/>
    <s v="appointment_export_2026_06.csv"/>
    <n v="0"/>
    <n v="0"/>
    <x v="3"/>
    <s v="Central"/>
    <s v="Mereana Thompson"/>
    <s v="Regional"/>
    <s v="Mon-Fri 08:30-17:00"/>
    <x v="0"/>
    <n v="21"/>
    <n v="95"/>
    <s v="Rehabilitation"/>
    <s v="Physiotherapist"/>
    <s v="Matched"/>
    <n v="54"/>
    <n v="0"/>
    <n v="16"/>
    <n v="1"/>
    <n v="1"/>
    <n v="0"/>
    <n v="1"/>
    <n v="0"/>
    <s v="Matches Standard"/>
    <x v="6"/>
    <n v="2026"/>
    <n v="6"/>
    <s v="Jun"/>
  </r>
  <r>
    <s v="APT-202606-0061"/>
    <d v="2026-06-30T00:00:00"/>
    <d v="2026-06-11T00:00:00"/>
    <s v="P0181"/>
    <s v="PMR"/>
    <s v="DIA"/>
    <s v="CL027"/>
    <x v="1"/>
    <x v="2"/>
    <d v="1899-12-30T12:00:00"/>
    <d v="1899-12-30T12:15:00"/>
    <d v="1899-12-30T12:30:00"/>
    <n v="30"/>
    <n v="80"/>
    <s v="No"/>
    <n v="5"/>
    <s v="Follow-up visit"/>
    <s v="appointment_export_2026_06.csv"/>
    <n v="0"/>
    <n v="0"/>
    <x v="3"/>
    <s v="Central"/>
    <s v="Mereana Thompson"/>
    <s v="Regional"/>
    <s v="Mon-Fri 08:30-17:00"/>
    <x v="3"/>
    <n v="10"/>
    <n v="80"/>
    <s v="Long-term conditions"/>
    <s v="Diabetes Nurse"/>
    <s v="Matched"/>
    <n v="19"/>
    <n v="0"/>
    <n v="15"/>
    <n v="1"/>
    <n v="1"/>
    <n v="0"/>
    <n v="1"/>
    <n v="0"/>
    <s v="Matches Standard"/>
    <x v="6"/>
    <n v="2026"/>
    <n v="6"/>
    <s v="Jun"/>
  </r>
  <r>
    <s v="APT-202606-0062"/>
    <d v="2026-06-09T00:00:00"/>
    <d v="2026-04-30T00:00:00"/>
    <s v="P0059"/>
    <s v="AUC"/>
    <s v="PHY"/>
    <s v="CL006"/>
    <x v="1"/>
    <x v="2"/>
    <d v="1899-12-30T16:00:00"/>
    <d v="1899-12-30T15:56:00"/>
    <d v="1899-12-30T16:05:00"/>
    <n v="30"/>
    <n v="95"/>
    <s v="No"/>
    <n v="2"/>
    <s v="Patient requested appointment"/>
    <s v="appointment_export_2026_06.csv"/>
    <n v="0"/>
    <n v="0"/>
    <x v="2"/>
    <s v="Northern"/>
    <s v="Aroha Rangi"/>
    <s v="Urban"/>
    <s v="Mon-Fri 08:00-18:00"/>
    <x v="0"/>
    <n v="21"/>
    <n v="95"/>
    <s v="Rehabilitation"/>
    <s v="Physiotherapist"/>
    <s v="Matched"/>
    <n v="40"/>
    <n v="0"/>
    <n v="9"/>
    <n v="1"/>
    <n v="1"/>
    <n v="0"/>
    <n v="1"/>
    <n v="0"/>
    <s v="Matches Standard"/>
    <x v="6"/>
    <n v="2026"/>
    <n v="6"/>
    <s v="Jun"/>
  </r>
  <r>
    <s v="APT-202606-0063"/>
    <d v="2026-06-12T00:00:00"/>
    <d v="2026-05-05T00:00:00"/>
    <s v="P0120"/>
    <s v="AUC"/>
    <s v="MHS"/>
    <s v="CL003"/>
    <x v="1"/>
    <x v="3"/>
    <d v="1899-12-30T08:30:00"/>
    <d v="1899-12-30T08:22:00"/>
    <d v="1899-12-30T09:04:00"/>
    <n v="45"/>
    <n v="120"/>
    <s v="Yes"/>
    <n v="2"/>
    <s v="Patient requested appointment"/>
    <s v="appointment_export_2026_06.csv"/>
    <n v="0"/>
    <n v="0"/>
    <x v="2"/>
    <s v="Northern"/>
    <s v="Aroha Rangi"/>
    <s v="Urban"/>
    <s v="Mon-Fri 08:00-18:00"/>
    <x v="2"/>
    <n v="14"/>
    <n v="120"/>
    <s v="Behavioural health"/>
    <s v="Mental Health Clinician"/>
    <s v="Matched"/>
    <n v="38"/>
    <n v="0"/>
    <n v="42"/>
    <n v="0"/>
    <n v="1"/>
    <n v="0"/>
    <n v="1"/>
    <n v="0"/>
    <s v="Matches Standard"/>
    <x v="6"/>
    <n v="2026"/>
    <n v="6"/>
    <s v="Jun"/>
  </r>
  <r>
    <s v="APT-202606-0064"/>
    <d v="2026-06-08T00:00:00"/>
    <d v="2026-04-18T00:00:00"/>
    <s v="P0055"/>
    <s v="AUC"/>
    <s v="GEN"/>
    <s v="CL001"/>
    <x v="1"/>
    <x v="1"/>
    <d v="1899-12-30T10:00:00"/>
    <d v="1899-12-30T10:13:00"/>
    <d v="1899-12-30T10:26:00"/>
    <n v="45"/>
    <n v="65"/>
    <s v="No"/>
    <n v="2"/>
    <s v="Patient requested appointment"/>
    <s v="appointment_export_2026_06.csv"/>
    <n v="0"/>
    <n v="0"/>
    <x v="2"/>
    <s v="Northern"/>
    <s v="Aroha Rangi"/>
    <s v="Urban"/>
    <s v="Mon-Fri 08:00-18:00"/>
    <x v="1"/>
    <n v="7"/>
    <n v="65"/>
    <s v="Primary care"/>
    <s v="Doctor or Nurse Practitioner"/>
    <s v="Matched"/>
    <n v="51"/>
    <n v="0"/>
    <n v="13"/>
    <n v="1"/>
    <n v="1"/>
    <n v="0"/>
    <n v="1"/>
    <n v="0"/>
    <s v="Matches Standard"/>
    <x v="6"/>
    <n v="2026"/>
    <n v="6"/>
    <s v="Jun"/>
  </r>
  <r>
    <s v="APT-202606-0065"/>
    <d v="2026-06-10T00:00:00"/>
    <d v="2026-05-08T00:00:00"/>
    <s v="P0079"/>
    <s v="PMR"/>
    <s v="GEN"/>
    <s v="CL021"/>
    <x v="1"/>
    <x v="1"/>
    <d v="1899-12-30T12:00:00"/>
    <d v="1899-12-30T12:16:00"/>
    <d v="1899-12-30T12:27:00"/>
    <n v="45"/>
    <n v="65"/>
    <s v="No"/>
    <n v="4"/>
    <s v="Routine review"/>
    <s v="appointment_export_2026_06.csv"/>
    <n v="0"/>
    <n v="0"/>
    <x v="3"/>
    <s v="Central"/>
    <s v="Mereana Thompson"/>
    <s v="Regional"/>
    <s v="Mon-Fri 08:30-17:00"/>
    <x v="1"/>
    <n v="7"/>
    <n v="65"/>
    <s v="Primary care"/>
    <s v="Doctor or Nurse Practitioner"/>
    <s v="Matched"/>
    <n v="33"/>
    <n v="0"/>
    <n v="11"/>
    <n v="1"/>
    <n v="1"/>
    <n v="0"/>
    <n v="1"/>
    <n v="0"/>
    <s v="Matches Standard"/>
    <x v="6"/>
    <n v="2026"/>
    <n v="6"/>
    <s v="Jun"/>
  </r>
  <r>
    <s v="APT-202606-0066"/>
    <d v="2026-06-17T00:00:00"/>
    <d v="2026-05-11T00:00:00"/>
    <s v="P0074"/>
    <s v="PMR"/>
    <s v="MHS"/>
    <s v="CL024"/>
    <x v="1"/>
    <x v="2"/>
    <d v="1899-12-30T10:30:00"/>
    <d v="1899-12-30T10:26:00"/>
    <d v="1899-12-30T10:47:00"/>
    <n v="45"/>
    <n v="120"/>
    <s v="No"/>
    <n v="5"/>
    <s v="Patient requested appointment"/>
    <s v="appointment_export_2026_06.csv"/>
    <n v="0"/>
    <n v="0"/>
    <x v="3"/>
    <s v="Central"/>
    <s v="Mereana Thompson"/>
    <s v="Regional"/>
    <s v="Mon-Fri 08:30-17:00"/>
    <x v="2"/>
    <n v="14"/>
    <n v="120"/>
    <s v="Behavioural health"/>
    <s v="Mental Health Clinician"/>
    <s v="Matched"/>
    <n v="37"/>
    <n v="0"/>
    <n v="21"/>
    <n v="1"/>
    <n v="1"/>
    <n v="0"/>
    <n v="1"/>
    <n v="0"/>
    <s v="Matches Standard"/>
    <x v="6"/>
    <n v="2026"/>
    <n v="6"/>
    <s v="Jun"/>
  </r>
  <r>
    <s v="APT-202606-0067"/>
    <d v="2026-06-28T00:00:00"/>
    <d v="2026-05-22T00:00:00"/>
    <s v="P0215"/>
    <s v="WLG"/>
    <s v="DIA"/>
    <s v="CL037"/>
    <x v="1"/>
    <x v="1"/>
    <d v="1899-12-30T13:00:00"/>
    <d v="1899-12-30T13:08:00"/>
    <d v="1899-12-30T13:03:00"/>
    <n v="45"/>
    <n v="80"/>
    <s v="No"/>
    <n v="4"/>
    <s v="New referral"/>
    <s v="appointment_export_2026_06.csv"/>
    <n v="0"/>
    <n v="0"/>
    <x v="0"/>
    <s v="Central"/>
    <s v="Sophie Martin"/>
    <s v="Urban"/>
    <s v="Mon-Sat 08:00-18:00"/>
    <x v="3"/>
    <n v="10"/>
    <n v="80"/>
    <s v="Long-term conditions"/>
    <s v="Diabetes Nurse"/>
    <s v="Matched"/>
    <n v="37"/>
    <n v="0"/>
    <m/>
    <m/>
    <n v="1"/>
    <n v="0"/>
    <n v="1"/>
    <n v="0"/>
    <s v="Matches Standard"/>
    <x v="6"/>
    <n v="2026"/>
    <n v="6"/>
    <s v="Jun"/>
  </r>
  <r>
    <s v="APT-202606-0068"/>
    <d v="2026-06-24T00:00:00"/>
    <d v="2026-05-26T00:00:00"/>
    <s v="P0048"/>
    <s v="AUC"/>
    <s v="CAR"/>
    <s v="CL009"/>
    <x v="1"/>
    <x v="3"/>
    <d v="1899-12-30T12:30:00"/>
    <d v="1899-12-30T12:36:00"/>
    <d v="1899-12-30T13:08:00"/>
    <n v="30"/>
    <n v="150"/>
    <s v="No"/>
    <n v="4"/>
    <s v="New referral"/>
    <s v="appointment_export_2026_06.csv"/>
    <n v="0"/>
    <n v="0"/>
    <x v="2"/>
    <s v="Northern"/>
    <s v="Aroha Rangi"/>
    <s v="Urban"/>
    <s v="Mon-Fri 08:00-18:00"/>
    <x v="4"/>
    <n v="28"/>
    <n v="150"/>
    <s v="Specialist outpatient"/>
    <s v="Cardiology Clinician"/>
    <s v="Matched"/>
    <n v="29"/>
    <n v="0"/>
    <n v="32"/>
    <n v="0"/>
    <n v="1"/>
    <n v="0"/>
    <n v="1"/>
    <n v="0"/>
    <s v="Matches Standard"/>
    <x v="6"/>
    <n v="2026"/>
    <n v="6"/>
    <s v="Jun"/>
  </r>
  <r>
    <s v="APT-202606-0069"/>
    <d v="2026-06-15T00:00:00"/>
    <d v="2026-06-08T00:00:00"/>
    <s v="P0196"/>
    <s v="AUC"/>
    <s v="PHY"/>
    <s v="CL006"/>
    <x v="1"/>
    <x v="1"/>
    <d v="1899-12-30T12:00:00"/>
    <d v="1899-12-30T12:05:00"/>
    <d v="1899-12-30T12:15:00"/>
    <n v="30"/>
    <n v="95"/>
    <s v="No"/>
    <n v="5"/>
    <s v="New referral"/>
    <s v="appointment_export_2026_06.csv"/>
    <n v="0"/>
    <n v="0"/>
    <x v="2"/>
    <s v="Northern"/>
    <s v="Aroha Rangi"/>
    <s v="Urban"/>
    <s v="Mon-Fri 08:00-18:00"/>
    <x v="0"/>
    <n v="21"/>
    <n v="95"/>
    <s v="Rehabilitation"/>
    <s v="Physiotherapist"/>
    <s v="Matched"/>
    <n v="7"/>
    <n v="1"/>
    <n v="10"/>
    <n v="1"/>
    <n v="1"/>
    <n v="0"/>
    <n v="1"/>
    <n v="0"/>
    <s v="Matches Standard"/>
    <x v="6"/>
    <n v="2026"/>
    <n v="6"/>
    <s v="Jun"/>
  </r>
  <r>
    <s v="APT-202606-0070"/>
    <d v="2026-06-24T00:00:00"/>
    <d v="2026-05-05T00:00:00"/>
    <s v="P0195"/>
    <s v="WLG"/>
    <s v="CAR"/>
    <s v="CL040"/>
    <x v="0"/>
    <x v="2"/>
    <d v="1899-12-30T15:30:00"/>
    <m/>
    <m/>
    <n v="0"/>
    <n v="150"/>
    <s v="No"/>
    <m/>
    <s v="Routine review"/>
    <s v="appointment_export_2026_06.csv"/>
    <n v="0"/>
    <n v="0"/>
    <x v="0"/>
    <s v="Central"/>
    <s v="Sophie Martin"/>
    <s v="Urban"/>
    <s v="Mon-Sat 08:00-18:00"/>
    <x v="4"/>
    <n v="28"/>
    <n v="150"/>
    <s v="Specialist outpatient"/>
    <s v="Cardiology Clinician"/>
    <s v="Matched"/>
    <n v="50"/>
    <n v="0"/>
    <m/>
    <m/>
    <n v="0"/>
    <m/>
    <n v="1"/>
    <n v="0"/>
    <s v="Matches Standard"/>
    <x v="6"/>
    <n v="2026"/>
    <n v="6"/>
    <s v="Jun"/>
  </r>
  <r>
    <s v="APT-202606-0071"/>
    <d v="2026-06-20T00:00:00"/>
    <d v="2026-05-25T00:00:00"/>
    <s v="P0021"/>
    <s v="WLG"/>
    <s v="DIA"/>
    <s v="CL038"/>
    <x v="0"/>
    <x v="1"/>
    <d v="1899-12-30T12:30:00"/>
    <m/>
    <m/>
    <n v="0"/>
    <n v="80"/>
    <s v="No"/>
    <m/>
    <s v="Follow-up visit"/>
    <s v="appointment_export_2026_06.csv"/>
    <n v="0"/>
    <n v="0"/>
    <x v="0"/>
    <s v="Central"/>
    <s v="Sophie Martin"/>
    <s v="Urban"/>
    <s v="Mon-Sat 08:00-18:00"/>
    <x v="3"/>
    <n v="10"/>
    <n v="80"/>
    <s v="Long-term conditions"/>
    <s v="Diabetes Nurse"/>
    <s v="Matched"/>
    <n v="26"/>
    <n v="0"/>
    <m/>
    <m/>
    <n v="0"/>
    <m/>
    <n v="1"/>
    <n v="0"/>
    <s v="Matches Standard"/>
    <x v="6"/>
    <n v="2026"/>
    <n v="6"/>
    <s v="Jun"/>
  </r>
  <r>
    <s v="APT-202606-0072"/>
    <d v="2026-06-24T00:00:00"/>
    <d v="2026-06-22T00:00:00"/>
    <s v="P0091"/>
    <s v="AUC"/>
    <s v="PHY"/>
    <s v="CL005"/>
    <x v="1"/>
    <x v="2"/>
    <d v="1899-12-30T10:00:00"/>
    <d v="1899-12-30T10:13:00"/>
    <d v="1899-12-30T10:22:00"/>
    <n v="60"/>
    <n v="95"/>
    <s v="No"/>
    <n v="2"/>
    <s v="New referral"/>
    <s v="appointment_export_2026_06.csv"/>
    <n v="0"/>
    <n v="0"/>
    <x v="2"/>
    <s v="Northern"/>
    <s v="Aroha Rangi"/>
    <s v="Urban"/>
    <s v="Mon-Fri 08:00-18:00"/>
    <x v="0"/>
    <n v="21"/>
    <n v="95"/>
    <s v="Rehabilitation"/>
    <s v="Physiotherapist"/>
    <s v="Matched"/>
    <n v="2"/>
    <n v="1"/>
    <n v="9"/>
    <n v="1"/>
    <n v="1"/>
    <n v="0"/>
    <n v="1"/>
    <n v="0"/>
    <s v="Matches Standard"/>
    <x v="6"/>
    <n v="2026"/>
    <n v="6"/>
    <s v="Jun"/>
  </r>
  <r>
    <s v="APT-202606-0073"/>
    <d v="2026-06-01T00:00:00"/>
    <d v="2026-05-27T00:00:00"/>
    <s v="P0233"/>
    <s v="WLG"/>
    <s v="MHS"/>
    <s v="CL033"/>
    <x v="1"/>
    <x v="1"/>
    <d v="1899-12-30T15:30:00"/>
    <d v="1899-12-30T15:22:00"/>
    <d v="1899-12-30T15:31:00"/>
    <n v="45"/>
    <n v="120"/>
    <s v="Yes"/>
    <n v="5"/>
    <s v="Care plan review"/>
    <s v="appointment_export_2026_06.csv"/>
    <n v="0"/>
    <n v="0"/>
    <x v="0"/>
    <s v="Central"/>
    <s v="Sophie Martin"/>
    <s v="Urban"/>
    <s v="Mon-Sat 08:00-18:00"/>
    <x v="2"/>
    <n v="14"/>
    <n v="120"/>
    <s v="Behavioural health"/>
    <s v="Mental Health Clinician"/>
    <s v="Matched"/>
    <n v="5"/>
    <n v="1"/>
    <n v="9"/>
    <n v="1"/>
    <n v="1"/>
    <n v="0"/>
    <n v="1"/>
    <n v="0"/>
    <s v="Matches Standard"/>
    <x v="6"/>
    <n v="2026"/>
    <n v="6"/>
    <s v="Jun"/>
  </r>
  <r>
    <s v="APT-202606-0074"/>
    <d v="2026-06-23T00:00:00"/>
    <d v="2026-05-08T00:00:00"/>
    <s v="P0065"/>
    <s v="AUC"/>
    <s v="PHY"/>
    <s v="CL005"/>
    <x v="1"/>
    <x v="3"/>
    <d v="1899-12-30T10:30:00"/>
    <d v="1899-12-30T10:33:00"/>
    <d v="1899-12-30T11:01:00"/>
    <n v="20"/>
    <n v="95"/>
    <s v="No"/>
    <n v="3"/>
    <s v="Patient requested appointment"/>
    <s v="appointment_export_2026_06.csv"/>
    <n v="0"/>
    <n v="0"/>
    <x v="2"/>
    <s v="Northern"/>
    <s v="Aroha Rangi"/>
    <s v="Urban"/>
    <s v="Mon-Fri 08:00-18:00"/>
    <x v="0"/>
    <n v="21"/>
    <n v="95"/>
    <s v="Rehabilitation"/>
    <s v="Physiotherapist"/>
    <s v="Matched"/>
    <n v="46"/>
    <n v="0"/>
    <n v="28"/>
    <n v="1"/>
    <n v="1"/>
    <n v="0"/>
    <n v="1"/>
    <n v="0"/>
    <s v="Matches Standard"/>
    <x v="6"/>
    <n v="2026"/>
    <n v="6"/>
    <s v="Jun"/>
  </r>
  <r>
    <s v="APT-202606-0075"/>
    <d v="2026-06-11T00:00:00"/>
    <d v="2026-06-06T00:00:00"/>
    <s v="P0100"/>
    <s v="HAM"/>
    <s v="GEN"/>
    <s v="CL011"/>
    <x v="1"/>
    <x v="2"/>
    <d v="1899-12-30T09:00:00"/>
    <d v="1899-12-30T08:57:00"/>
    <d v="1899-12-30T09:40:00"/>
    <n v="30"/>
    <n v="65"/>
    <s v="Yes"/>
    <n v="3"/>
    <s v="Routine review"/>
    <s v="appointment_export_2026_06.csv"/>
    <n v="0"/>
    <n v="0"/>
    <x v="1"/>
    <s v="Midland"/>
    <s v="Daniel Wong"/>
    <s v="Urban"/>
    <s v="Mon-Fri 08:00-17:30"/>
    <x v="1"/>
    <n v="7"/>
    <n v="65"/>
    <s v="Primary care"/>
    <s v="Doctor or Nurse Practitioner"/>
    <s v="Matched"/>
    <n v="5"/>
    <n v="1"/>
    <n v="43"/>
    <n v="0"/>
    <n v="1"/>
    <n v="0"/>
    <n v="1"/>
    <n v="0"/>
    <s v="Matches Standard"/>
    <x v="6"/>
    <n v="2026"/>
    <n v="6"/>
    <s v="Jun"/>
  </r>
  <r>
    <s v="APT-202606-0076"/>
    <d v="2026-06-28T00:00:00"/>
    <d v="2026-05-15T00:00:00"/>
    <s v="P0068"/>
    <s v="HAM"/>
    <s v="MHS"/>
    <s v="CL013"/>
    <x v="2"/>
    <x v="1"/>
    <d v="1899-12-30T11:30:00"/>
    <m/>
    <m/>
    <n v="0"/>
    <n v="120"/>
    <s v="No"/>
    <m/>
    <s v="Routine review"/>
    <s v="appointment_export_2026_06.csv"/>
    <n v="0"/>
    <n v="0"/>
    <x v="1"/>
    <s v="Midland"/>
    <s v="Daniel Wong"/>
    <s v="Urban"/>
    <s v="Mon-Fri 08:00-17:30"/>
    <x v="2"/>
    <n v="14"/>
    <n v="120"/>
    <s v="Behavioural health"/>
    <s v="Mental Health Clinician"/>
    <s v="Matched"/>
    <n v="44"/>
    <n v="0"/>
    <m/>
    <m/>
    <n v="1"/>
    <n v="1"/>
    <n v="1"/>
    <n v="0"/>
    <s v="Matches Standard"/>
    <x v="6"/>
    <n v="2026"/>
    <n v="6"/>
    <s v="Jun"/>
  </r>
  <r>
    <s v="APT-202606-0077"/>
    <d v="2026-06-30T00:00:00"/>
    <d v="2026-06-24T00:00:00"/>
    <s v="P0055"/>
    <s v="WLG"/>
    <s v="MHS"/>
    <s v="CL034"/>
    <x v="0"/>
    <x v="3"/>
    <d v="1899-12-30T15:30:00"/>
    <m/>
    <m/>
    <n v="0"/>
    <n v="120"/>
    <s v="Yes"/>
    <m/>
    <s v="Care plan review"/>
    <s v="appointment_export_2026_06.csv"/>
    <n v="0"/>
    <n v="0"/>
    <x v="0"/>
    <s v="Central"/>
    <s v="Sophie Martin"/>
    <s v="Urban"/>
    <s v="Mon-Sat 08:00-18:00"/>
    <x v="2"/>
    <n v="14"/>
    <n v="120"/>
    <s v="Behavioural health"/>
    <s v="Mental Health Clinician"/>
    <s v="Matched"/>
    <n v="6"/>
    <n v="1"/>
    <m/>
    <m/>
    <n v="0"/>
    <m/>
    <n v="1"/>
    <n v="0"/>
    <s v="Matches Standard"/>
    <x v="6"/>
    <n v="2026"/>
    <n v="6"/>
    <s v="Jun"/>
  </r>
  <r>
    <s v="APT-202606-0078"/>
    <d v="2026-06-17T00:00:00"/>
    <d v="2026-05-11T00:00:00"/>
    <s v="P0024"/>
    <s v="AUC"/>
    <s v="DIA"/>
    <s v="CL007"/>
    <x v="1"/>
    <x v="2"/>
    <d v="1899-12-30T14:30:00"/>
    <d v="1899-12-30T14:31:00"/>
    <d v="1899-12-30T14:57:00"/>
    <n v="30"/>
    <n v="80"/>
    <s v="No"/>
    <n v="4"/>
    <s v="Routine review"/>
    <s v="appointment_export_2026_06.csv"/>
    <n v="0"/>
    <n v="0"/>
    <x v="2"/>
    <s v="Northern"/>
    <s v="Aroha Rangi"/>
    <s v="Urban"/>
    <s v="Mon-Fri 08:00-18:00"/>
    <x v="3"/>
    <n v="10"/>
    <n v="80"/>
    <s v="Long-term conditions"/>
    <s v="Diabetes Nurse"/>
    <s v="Matched"/>
    <n v="37"/>
    <n v="0"/>
    <n v="26"/>
    <n v="1"/>
    <n v="1"/>
    <n v="0"/>
    <n v="1"/>
    <n v="0"/>
    <s v="Matches Standard"/>
    <x v="6"/>
    <n v="2026"/>
    <n v="6"/>
    <s v="Jun"/>
  </r>
  <r>
    <s v="APT-202606-0079"/>
    <d v="2026-06-04T00:00:00"/>
    <d v="2026-04-26T00:00:00"/>
    <s v="P0126"/>
    <s v="PMR"/>
    <m/>
    <s v="CL030"/>
    <x v="2"/>
    <x v="2"/>
    <d v="1899-12-30T11:00:00"/>
    <m/>
    <m/>
    <n v="0"/>
    <n v="150"/>
    <s v="No"/>
    <m/>
    <s v="Routine review"/>
    <s v="appointment_export_2026_06.csv"/>
    <n v="0"/>
    <n v="1"/>
    <x v="3"/>
    <s v="Central"/>
    <s v="Mereana Thompson"/>
    <s v="Regional"/>
    <s v="Mon-Fri 08:30-17:00"/>
    <x v="5"/>
    <m/>
    <m/>
    <m/>
    <m/>
    <s v="Missing Service Code"/>
    <n v="39"/>
    <m/>
    <m/>
    <m/>
    <n v="1"/>
    <n v="1"/>
    <n v="1"/>
    <m/>
    <s v="Missing Standard Fee"/>
    <x v="6"/>
    <n v="2026"/>
    <n v="6"/>
    <s v="Jun"/>
  </r>
  <r>
    <s v="APT-202606-0080"/>
    <d v="2026-06-02T00:00:00"/>
    <d v="2026-04-12T00:00:00"/>
    <s v="P0053"/>
    <s v="WLG"/>
    <s v="GEN"/>
    <s v="CL032"/>
    <x v="1"/>
    <x v="3"/>
    <d v="1899-12-30T09:30:00"/>
    <d v="1899-12-30T09:35:00"/>
    <d v="1899-12-30T09:59:00"/>
    <n v="30"/>
    <n v="65"/>
    <s v="No"/>
    <n v="5"/>
    <s v="Care plan review"/>
    <s v="appointment_export_2026_06.csv"/>
    <n v="0"/>
    <n v="0"/>
    <x v="0"/>
    <s v="Central"/>
    <s v="Sophie Martin"/>
    <s v="Urban"/>
    <s v="Mon-Sat 08:00-18:00"/>
    <x v="1"/>
    <n v="7"/>
    <n v="65"/>
    <s v="Primary care"/>
    <s v="Doctor or Nurse Practitioner"/>
    <s v="Matched"/>
    <n v="51"/>
    <n v="0"/>
    <n v="24"/>
    <n v="1"/>
    <n v="1"/>
    <n v="0"/>
    <n v="1"/>
    <n v="0"/>
    <s v="Matches Standard"/>
    <x v="6"/>
    <n v="2026"/>
    <n v="6"/>
    <s v="Jun"/>
  </r>
  <r>
    <s v="APT-202606-0081"/>
    <d v="2026-06-29T00:00:00"/>
    <d v="2026-06-24T00:00:00"/>
    <s v="P0013"/>
    <s v="WLG"/>
    <s v="MHS"/>
    <s v="CL033"/>
    <x v="1"/>
    <x v="0"/>
    <d v="1899-12-30T12:00:00"/>
    <d v="1899-12-30T11:51:00"/>
    <d v="1899-12-30T12:16:00"/>
    <n v="20"/>
    <n v="120"/>
    <s v="No"/>
    <n v="4"/>
    <s v="Routine review"/>
    <s v="appointment_export_2026_06.csv"/>
    <n v="0"/>
    <n v="0"/>
    <x v="0"/>
    <s v="Central"/>
    <s v="Sophie Martin"/>
    <s v="Urban"/>
    <s v="Mon-Sat 08:00-18:00"/>
    <x v="2"/>
    <n v="14"/>
    <n v="120"/>
    <s v="Behavioural health"/>
    <s v="Mental Health Clinician"/>
    <s v="Matched"/>
    <n v="5"/>
    <n v="1"/>
    <n v="25"/>
    <n v="1"/>
    <n v="1"/>
    <n v="0"/>
    <n v="1"/>
    <n v="0"/>
    <s v="Matches Standard"/>
    <x v="6"/>
    <n v="2026"/>
    <n v="6"/>
    <s v="Jun"/>
  </r>
  <r>
    <s v="APT-202606-0082"/>
    <d v="2026-06-06T00:00:00"/>
    <d v="2026-05-28T00:00:00"/>
    <s v="P0185"/>
    <s v="HAM"/>
    <s v="DIA"/>
    <s v="CL017"/>
    <x v="1"/>
    <x v="1"/>
    <d v="1899-12-30T11:00:00"/>
    <d v="1899-12-30T11:02:00"/>
    <d v="1899-12-30T11:02:00"/>
    <n v="60"/>
    <n v="80"/>
    <s v="No"/>
    <n v="2"/>
    <s v="Routine review"/>
    <s v="appointment_export_2026_06.csv"/>
    <n v="0"/>
    <n v="0"/>
    <x v="1"/>
    <s v="Midland"/>
    <s v="Daniel Wong"/>
    <s v="Urban"/>
    <s v="Mon-Fri 08:00-17:30"/>
    <x v="3"/>
    <n v="10"/>
    <n v="80"/>
    <s v="Long-term conditions"/>
    <s v="Diabetes Nurse"/>
    <s v="Matched"/>
    <n v="9"/>
    <n v="1"/>
    <n v="0"/>
    <n v="1"/>
    <n v="1"/>
    <n v="0"/>
    <n v="1"/>
    <n v="0"/>
    <s v="Matches Standard"/>
    <x v="6"/>
    <n v="2026"/>
    <n v="6"/>
    <s v="Jun"/>
  </r>
  <r>
    <s v="APT-202606-0083"/>
    <d v="2026-06-18T00:00:00"/>
    <d v="2026-05-08T00:00:00"/>
    <s v="P0134"/>
    <s v="PMR"/>
    <s v="CAR"/>
    <s v="CL030"/>
    <x v="1"/>
    <x v="3"/>
    <d v="1899-12-30T11:00:00"/>
    <d v="1899-12-30T11:10:00"/>
    <d v="1899-12-30T11:24:00"/>
    <n v="60"/>
    <n v="150"/>
    <s v="Yes"/>
    <m/>
    <s v="Patient requested appointment"/>
    <s v="appointment_export_2026_06.csv"/>
    <n v="0"/>
    <n v="0"/>
    <x v="3"/>
    <s v="Central"/>
    <s v="Mereana Thompson"/>
    <s v="Regional"/>
    <s v="Mon-Fri 08:30-17:00"/>
    <x v="4"/>
    <n v="28"/>
    <n v="150"/>
    <s v="Specialist outpatient"/>
    <s v="Cardiology Clinician"/>
    <s v="Matched"/>
    <n v="41"/>
    <n v="0"/>
    <n v="14"/>
    <n v="1"/>
    <n v="1"/>
    <n v="0"/>
    <n v="1"/>
    <n v="0"/>
    <s v="Matches Standard"/>
    <x v="6"/>
    <n v="2026"/>
    <n v="6"/>
    <s v="Jun"/>
  </r>
  <r>
    <s v="APT-202606-0084"/>
    <d v="2026-06-05T00:00:00"/>
    <d v="2026-04-28T00:00:00"/>
    <s v="P0083"/>
    <s v="PMR"/>
    <s v="DIA"/>
    <s v="CL027"/>
    <x v="2"/>
    <x v="1"/>
    <d v="1899-12-30T11:00:00"/>
    <m/>
    <m/>
    <n v="0"/>
    <n v="80"/>
    <s v="No"/>
    <m/>
    <s v="Patient requested appointment"/>
    <s v="appointment_export_2026_06.csv"/>
    <n v="0"/>
    <n v="0"/>
    <x v="3"/>
    <s v="Central"/>
    <s v="Mereana Thompson"/>
    <s v="Regional"/>
    <s v="Mon-Fri 08:30-17:00"/>
    <x v="3"/>
    <n v="10"/>
    <n v="80"/>
    <s v="Long-term conditions"/>
    <s v="Diabetes Nurse"/>
    <s v="Matched"/>
    <n v="38"/>
    <n v="0"/>
    <m/>
    <m/>
    <n v="1"/>
    <n v="1"/>
    <n v="1"/>
    <n v="0"/>
    <s v="Matches Standard"/>
    <x v="6"/>
    <n v="2026"/>
    <n v="6"/>
    <s v="Jun"/>
  </r>
  <r>
    <s v="APT-202606-0085"/>
    <d v="2026-06-01T00:00:00"/>
    <d v="2026-05-19T00:00:00"/>
    <s v="P0059"/>
    <s v="AUC"/>
    <s v="GEN"/>
    <s v="CL002"/>
    <x v="1"/>
    <x v="3"/>
    <d v="1899-12-30T09:30:00"/>
    <d v="1899-12-30T09:33:00"/>
    <d v="1899-12-30T09:53:00"/>
    <n v="30"/>
    <n v="65"/>
    <s v="No"/>
    <n v="2"/>
    <s v="Care plan review"/>
    <s v="appointment_export_2026_06.csv"/>
    <n v="0"/>
    <n v="0"/>
    <x v="2"/>
    <s v="Northern"/>
    <s v="Aroha Rangi"/>
    <s v="Urban"/>
    <s v="Mon-Fri 08:00-18:00"/>
    <x v="1"/>
    <n v="7"/>
    <n v="65"/>
    <s v="Primary care"/>
    <s v="Doctor or Nurse Practitioner"/>
    <s v="Matched"/>
    <n v="13"/>
    <n v="0"/>
    <n v="20"/>
    <n v="1"/>
    <n v="1"/>
    <n v="0"/>
    <n v="1"/>
    <n v="0"/>
    <s v="Matches Standard"/>
    <x v="6"/>
    <n v="2026"/>
    <n v="6"/>
    <s v="Jun"/>
  </r>
  <r>
    <s v="APT-202606-0086"/>
    <d v="2026-06-09T00:00:00"/>
    <d v="2026-05-15T00:00:00"/>
    <s v="P0093"/>
    <s v="AUC"/>
    <s v="GEN"/>
    <s v="CL001"/>
    <x v="1"/>
    <x v="2"/>
    <d v="1899-12-30T12:30:00"/>
    <d v="1899-12-30T12:42:00"/>
    <d v="1899-12-30T13:09:00"/>
    <n v="30"/>
    <n v="65"/>
    <s v="Yes"/>
    <n v="3"/>
    <s v="Care plan review"/>
    <s v="appointment_export_2026_06.csv"/>
    <n v="0"/>
    <n v="0"/>
    <x v="2"/>
    <s v="Northern"/>
    <s v="Aroha Rangi"/>
    <s v="Urban"/>
    <s v="Mon-Fri 08:00-18:00"/>
    <x v="1"/>
    <n v="7"/>
    <n v="65"/>
    <s v="Primary care"/>
    <s v="Doctor or Nurse Practitioner"/>
    <s v="Matched"/>
    <n v="25"/>
    <n v="0"/>
    <n v="27"/>
    <n v="1"/>
    <n v="1"/>
    <n v="0"/>
    <n v="1"/>
    <n v="0"/>
    <s v="Matches Standard"/>
    <x v="6"/>
    <n v="2026"/>
    <n v="6"/>
    <s v="Jun"/>
  </r>
  <r>
    <s v="APT-202606-0087"/>
    <d v="2026-06-28T00:00:00"/>
    <d v="2026-05-18T00:00:00"/>
    <s v="P0097"/>
    <s v="PMR"/>
    <s v="DIA"/>
    <s v="CL027"/>
    <x v="1"/>
    <x v="2"/>
    <d v="1899-12-30T16:00:00"/>
    <d v="1899-12-30T15:59:00"/>
    <d v="1899-12-30T16:23:00"/>
    <n v="20"/>
    <n v="80"/>
    <s v="No"/>
    <n v="3"/>
    <s v="Care plan review"/>
    <s v="appointment_export_2026_06.csv"/>
    <n v="0"/>
    <n v="0"/>
    <x v="3"/>
    <s v="Central"/>
    <s v="Mereana Thompson"/>
    <s v="Regional"/>
    <s v="Mon-Fri 08:30-17:00"/>
    <x v="3"/>
    <n v="10"/>
    <n v="80"/>
    <s v="Long-term conditions"/>
    <s v="Diabetes Nurse"/>
    <s v="Matched"/>
    <n v="41"/>
    <n v="0"/>
    <n v="24"/>
    <n v="1"/>
    <n v="1"/>
    <n v="0"/>
    <n v="1"/>
    <n v="0"/>
    <s v="Matches Standard"/>
    <x v="6"/>
    <n v="2026"/>
    <n v="6"/>
    <s v="Jun"/>
  </r>
  <r>
    <s v="APT-202606-0088"/>
    <d v="2026-06-22T00:00:00"/>
    <d v="2026-06-11T00:00:00"/>
    <s v="P0037"/>
    <s v="WLG"/>
    <s v="PHY"/>
    <s v="CL036"/>
    <x v="1"/>
    <x v="3"/>
    <d v="1899-12-30T08:00:00"/>
    <d v="1899-12-30T07:53:00"/>
    <d v="1899-12-30T08:20:00"/>
    <n v="30"/>
    <n v="95"/>
    <s v="Yes"/>
    <n v="3"/>
    <s v="Care plan review"/>
    <s v="appointment_export_2026_06.csv"/>
    <n v="0"/>
    <n v="0"/>
    <x v="0"/>
    <s v="Central"/>
    <s v="Sophie Martin"/>
    <s v="Urban"/>
    <s v="Mon-Sat 08:00-18:00"/>
    <x v="0"/>
    <n v="21"/>
    <n v="95"/>
    <s v="Rehabilitation"/>
    <s v="Physiotherapist"/>
    <s v="Matched"/>
    <n v="11"/>
    <n v="1"/>
    <n v="27"/>
    <n v="1"/>
    <n v="1"/>
    <n v="0"/>
    <n v="1"/>
    <n v="0"/>
    <s v="Matches Standard"/>
    <x v="6"/>
    <n v="2026"/>
    <n v="6"/>
    <s v="Jun"/>
  </r>
  <r>
    <s v="APT-202606-0089"/>
    <d v="2026-06-19T00:00:00"/>
    <d v="2026-06-12T00:00:00"/>
    <s v="P0094"/>
    <s v="WLG"/>
    <s v="DIA"/>
    <s v="CL038"/>
    <x v="1"/>
    <x v="0"/>
    <d v="1899-12-30T10:30:00"/>
    <d v="1899-12-30T10:38:00"/>
    <d v="1899-12-30T10:50:00"/>
    <n v="45"/>
    <n v="80"/>
    <s v="Yes"/>
    <n v="4"/>
    <s v="Follow-up visit"/>
    <s v="appointment_export_2026_06.csv"/>
    <n v="0"/>
    <n v="0"/>
    <x v="0"/>
    <s v="Central"/>
    <s v="Sophie Martin"/>
    <s v="Urban"/>
    <s v="Mon-Sat 08:00-18:00"/>
    <x v="3"/>
    <n v="10"/>
    <n v="80"/>
    <s v="Long-term conditions"/>
    <s v="Diabetes Nurse"/>
    <s v="Matched"/>
    <n v="7"/>
    <n v="1"/>
    <n v="12"/>
    <n v="1"/>
    <n v="1"/>
    <n v="0"/>
    <n v="1"/>
    <n v="0"/>
    <s v="Matches Standard"/>
    <x v="6"/>
    <n v="2026"/>
    <n v="6"/>
    <s v="Jun"/>
  </r>
  <r>
    <s v="APT-202606-0090"/>
    <d v="2026-06-28T00:00:00"/>
    <d v="2026-06-04T00:00:00"/>
    <s v="P0143"/>
    <s v="WLG"/>
    <s v="CAR"/>
    <s v="CL040"/>
    <x v="1"/>
    <x v="0"/>
    <d v="1899-12-30T11:30:00"/>
    <d v="1899-12-30T11:20:00"/>
    <d v="1899-12-30T11:44:00"/>
    <n v="20"/>
    <n v="150"/>
    <s v="No"/>
    <n v="5"/>
    <s v="Follow-up visit"/>
    <s v="appointment_export_2026_06.csv"/>
    <n v="0"/>
    <n v="0"/>
    <x v="0"/>
    <s v="Central"/>
    <s v="Sophie Martin"/>
    <s v="Urban"/>
    <s v="Mon-Sat 08:00-18:00"/>
    <x v="4"/>
    <n v="28"/>
    <n v="150"/>
    <s v="Specialist outpatient"/>
    <s v="Cardiology Clinician"/>
    <s v="Matched"/>
    <n v="24"/>
    <n v="1"/>
    <n v="24"/>
    <n v="1"/>
    <n v="1"/>
    <n v="0"/>
    <n v="1"/>
    <n v="0"/>
    <s v="Matches Standard"/>
    <x v="6"/>
    <n v="2026"/>
    <n v="6"/>
    <s v="Jun"/>
  </r>
  <r>
    <s v="APT-202606-0091"/>
    <d v="2026-06-15T00:00:00"/>
    <d v="2026-06-12T00:00:00"/>
    <s v="P0126"/>
    <s v="PMR"/>
    <s v="DIA"/>
    <s v="CL027"/>
    <x v="1"/>
    <x v="1"/>
    <d v="1899-12-30T12:00:00"/>
    <d v="1899-12-30T12:13:00"/>
    <d v="1899-12-30T12:14:00"/>
    <n v="60"/>
    <n v="80"/>
    <s v="No"/>
    <n v="5"/>
    <s v="New referral"/>
    <s v="appointment_export_2026_06.csv"/>
    <n v="0"/>
    <n v="0"/>
    <x v="3"/>
    <s v="Central"/>
    <s v="Mereana Thompson"/>
    <s v="Regional"/>
    <s v="Mon-Fri 08:30-17:00"/>
    <x v="3"/>
    <n v="10"/>
    <n v="80"/>
    <s v="Long-term conditions"/>
    <s v="Diabetes Nurse"/>
    <s v="Matched"/>
    <n v="3"/>
    <n v="1"/>
    <n v="1"/>
    <n v="1"/>
    <n v="1"/>
    <n v="0"/>
    <n v="1"/>
    <n v="0"/>
    <s v="Matches Standard"/>
    <x v="6"/>
    <n v="2026"/>
    <n v="6"/>
    <s v="Jun"/>
  </r>
  <r>
    <s v="APT-202606-0092"/>
    <d v="2026-06-26T00:00:00"/>
    <d v="2026-05-26T00:00:00"/>
    <s v="P0146"/>
    <s v="AUC"/>
    <s v="DIA"/>
    <s v="CL008"/>
    <x v="1"/>
    <x v="0"/>
    <d v="1899-12-30T13:00:00"/>
    <d v="1899-12-30T13:00:00"/>
    <d v="1899-12-30T13:30:00"/>
    <n v="30"/>
    <n v="80"/>
    <s v="No"/>
    <n v="4"/>
    <s v="Patient requested appointment"/>
    <s v="appointment_export_2026_06.csv"/>
    <n v="0"/>
    <n v="0"/>
    <x v="2"/>
    <s v="Northern"/>
    <s v="Aroha Rangi"/>
    <s v="Urban"/>
    <s v="Mon-Fri 08:00-18:00"/>
    <x v="3"/>
    <n v="10"/>
    <n v="80"/>
    <s v="Long-term conditions"/>
    <s v="Diabetes Nurse"/>
    <s v="Matched"/>
    <n v="31"/>
    <n v="0"/>
    <n v="30"/>
    <n v="1"/>
    <n v="1"/>
    <n v="0"/>
    <n v="1"/>
    <n v="0"/>
    <s v="Matches Standard"/>
    <x v="6"/>
    <n v="2026"/>
    <n v="6"/>
    <s v="Jun"/>
  </r>
  <r>
    <s v="APT-202606-0093"/>
    <d v="2026-06-15T00:00:00"/>
    <d v="2026-06-03T00:00:00"/>
    <s v="P0036"/>
    <s v="AUC"/>
    <s v="GEN"/>
    <s v="CL001"/>
    <x v="0"/>
    <x v="1"/>
    <d v="1899-12-30T10:30:00"/>
    <d v="1899-12-30T10:20:00"/>
    <d v="1899-12-30T10:45:00"/>
    <n v="60"/>
    <n v="65"/>
    <s v="Yes"/>
    <n v="3"/>
    <s v="Follow-up visit"/>
    <s v="appointment_export_2026_06.csv"/>
    <n v="0"/>
    <n v="0"/>
    <x v="2"/>
    <s v="Northern"/>
    <s v="Aroha Rangi"/>
    <s v="Urban"/>
    <s v="Mon-Fri 08:00-18:00"/>
    <x v="1"/>
    <n v="7"/>
    <n v="65"/>
    <s v="Primary care"/>
    <s v="Doctor or Nurse Practitioner"/>
    <s v="Matched"/>
    <n v="12"/>
    <n v="0"/>
    <m/>
    <m/>
    <n v="0"/>
    <m/>
    <n v="1"/>
    <n v="0"/>
    <s v="Matches Standard"/>
    <x v="6"/>
    <n v="2026"/>
    <n v="6"/>
    <s v="Jun"/>
  </r>
  <r>
    <s v="APT-202606-0094"/>
    <d v="2026-06-05T00:00:00"/>
    <d v="2026-05-26T00:00:00"/>
    <s v="P0210"/>
    <s v="AUC"/>
    <s v="MHS"/>
    <s v="CL004"/>
    <x v="1"/>
    <x v="3"/>
    <d v="1899-12-30T13:30:00"/>
    <d v="1899-12-30T13:43:00"/>
    <d v="1899-12-30T13:45:00"/>
    <n v="30"/>
    <n v="120"/>
    <s v="No"/>
    <n v="3"/>
    <s v="Patient requested appointment"/>
    <s v="appointment_export_2026_06.csv"/>
    <n v="0"/>
    <n v="0"/>
    <x v="2"/>
    <s v="Northern"/>
    <s v="Aroha Rangi"/>
    <s v="Urban"/>
    <s v="Mon-Fri 08:00-18:00"/>
    <x v="2"/>
    <n v="14"/>
    <n v="120"/>
    <s v="Behavioural health"/>
    <s v="Mental Health Clinician"/>
    <s v="Matched"/>
    <n v="10"/>
    <n v="1"/>
    <n v="2"/>
    <n v="1"/>
    <n v="1"/>
    <n v="0"/>
    <n v="1"/>
    <n v="0"/>
    <s v="Matches Standard"/>
    <x v="6"/>
    <n v="2026"/>
    <n v="6"/>
    <s v="Jun"/>
  </r>
  <r>
    <s v="APT-202606-0095"/>
    <d v="2026-06-13T00:00:00"/>
    <d v="2026-05-13T00:00:00"/>
    <s v="P0061"/>
    <s v="PMR"/>
    <s v="CAR"/>
    <s v="CL030"/>
    <x v="1"/>
    <x v="0"/>
    <d v="1899-12-30T14:00:00"/>
    <d v="1899-12-30T14:08:00"/>
    <d v="1899-12-30T14:28:00"/>
    <n v="20"/>
    <n v="150"/>
    <s v="No"/>
    <n v="4"/>
    <s v="New referral"/>
    <s v="appointment_export_2026_06.csv"/>
    <n v="0"/>
    <n v="0"/>
    <x v="3"/>
    <s v="Central"/>
    <s v="Mereana Thompson"/>
    <s v="Regional"/>
    <s v="Mon-Fri 08:30-17:00"/>
    <x v="4"/>
    <n v="28"/>
    <n v="150"/>
    <s v="Specialist outpatient"/>
    <s v="Cardiology Clinician"/>
    <s v="Matched"/>
    <n v="31"/>
    <n v="0"/>
    <n v="20"/>
    <n v="1"/>
    <n v="1"/>
    <n v="0"/>
    <n v="1"/>
    <n v="0"/>
    <s v="Matches Standard"/>
    <x v="6"/>
    <n v="2026"/>
    <n v="6"/>
    <s v="Jun"/>
  </r>
  <r>
    <s v="APT-202606-0096"/>
    <d v="2026-06-15T00:00:00"/>
    <d v="2026-06-03T00:00:00"/>
    <s v="P0007"/>
    <s v="HAM"/>
    <s v="GEN"/>
    <s v="CL012"/>
    <x v="0"/>
    <x v="3"/>
    <d v="1899-12-30T11:30:00"/>
    <m/>
    <m/>
    <n v="0"/>
    <n v="65"/>
    <s v="No"/>
    <m/>
    <s v="New referral"/>
    <s v="appointment_export_2026_06.csv"/>
    <n v="0"/>
    <n v="0"/>
    <x v="1"/>
    <s v="Midland"/>
    <s v="Daniel Wong"/>
    <s v="Urban"/>
    <s v="Mon-Fri 08:00-17:30"/>
    <x v="1"/>
    <n v="7"/>
    <n v="65"/>
    <s v="Primary care"/>
    <s v="Doctor or Nurse Practitioner"/>
    <s v="Matched"/>
    <n v="12"/>
    <n v="0"/>
    <m/>
    <m/>
    <n v="0"/>
    <m/>
    <n v="1"/>
    <n v="0"/>
    <s v="Matches Standard"/>
    <x v="6"/>
    <n v="2026"/>
    <n v="6"/>
    <s v="Jun"/>
  </r>
  <r>
    <s v="APT-202606-0097"/>
    <m/>
    <d v="2026-04-27T00:00:00"/>
    <s v="P0170"/>
    <s v="AUC"/>
    <s v="DIA"/>
    <s v="CL008"/>
    <x v="1"/>
    <x v="3"/>
    <d v="1899-12-30T08:00:00"/>
    <d v="1899-12-30T08:09:00"/>
    <d v="1899-12-30T08:04:00"/>
    <n v="30"/>
    <n v="80"/>
    <s v="No"/>
    <n v="5"/>
    <s v="Follow-up visit"/>
    <s v="appointment_export_2026_06.csv"/>
    <n v="0"/>
    <n v="0"/>
    <x v="2"/>
    <s v="Northern"/>
    <s v="Aroha Rangi"/>
    <s v="Urban"/>
    <s v="Mon-Fri 08:00-18:00"/>
    <x v="3"/>
    <n v="10"/>
    <n v="80"/>
    <s v="Long-term conditions"/>
    <s v="Diabetes Nurse"/>
    <s v="Matched"/>
    <m/>
    <m/>
    <m/>
    <m/>
    <n v="1"/>
    <n v="0"/>
    <n v="1"/>
    <n v="0"/>
    <s v="Matches Standard"/>
    <x v="1"/>
    <m/>
    <m/>
    <m/>
  </r>
  <r>
    <s v="APT-202606-0098"/>
    <d v="2026-06-12T00:00:00"/>
    <d v="2026-06-04T00:00:00"/>
    <s v="P0117"/>
    <s v="AUC"/>
    <s v="PHY"/>
    <s v="CL005"/>
    <x v="1"/>
    <x v="0"/>
    <d v="1899-12-30T14:30:00"/>
    <d v="1899-12-30T14:21:00"/>
    <d v="1899-12-30T14:57:00"/>
    <n v="60"/>
    <n v="95"/>
    <s v="Yes"/>
    <n v="5"/>
    <s v="Routine review"/>
    <s v="appointment_export_2026_06.csv"/>
    <n v="0"/>
    <n v="0"/>
    <x v="2"/>
    <s v="Northern"/>
    <s v="Aroha Rangi"/>
    <s v="Urban"/>
    <s v="Mon-Fri 08:00-18:00"/>
    <x v="0"/>
    <n v="21"/>
    <n v="95"/>
    <s v="Rehabilitation"/>
    <s v="Physiotherapist"/>
    <s v="Matched"/>
    <n v="8"/>
    <n v="1"/>
    <n v="36"/>
    <n v="0"/>
    <n v="1"/>
    <n v="0"/>
    <n v="1"/>
    <n v="0"/>
    <s v="Matches Standard"/>
    <x v="6"/>
    <n v="2026"/>
    <n v="6"/>
    <s v="Jun"/>
  </r>
  <r>
    <s v="APT-202606-0099"/>
    <d v="2026-06-20T00:00:00"/>
    <d v="2026-05-23T00:00:00"/>
    <s v="P0224"/>
    <s v="AUC"/>
    <s v="GEN"/>
    <s v="CL002"/>
    <x v="3"/>
    <x v="2"/>
    <d v="1899-12-30T08:00:00"/>
    <m/>
    <m/>
    <n v="0"/>
    <n v="65"/>
    <s v="No"/>
    <m/>
    <s v="Routine review"/>
    <s v="appointment_export_2026_06.csv"/>
    <n v="0"/>
    <n v="0"/>
    <x v="2"/>
    <s v="Northern"/>
    <s v="Aroha Rangi"/>
    <s v="Urban"/>
    <s v="Mon-Fri 08:00-18:00"/>
    <x v="1"/>
    <n v="7"/>
    <n v="65"/>
    <s v="Primary care"/>
    <s v="Doctor or Nurse Practitioner"/>
    <s v="Matched"/>
    <n v="28"/>
    <n v="0"/>
    <m/>
    <m/>
    <n v="0"/>
    <m/>
    <n v="1"/>
    <n v="0"/>
    <s v="Matches Standard"/>
    <x v="6"/>
    <n v="2026"/>
    <n v="6"/>
    <s v="Jun"/>
  </r>
  <r>
    <s v="APT-202606-0100"/>
    <d v="2026-06-19T00:00:00"/>
    <d v="2026-05-12T00:00:00"/>
    <s v="P0093"/>
    <s v="WLG"/>
    <s v="GEN"/>
    <s v="CL032"/>
    <x v="2"/>
    <x v="0"/>
    <d v="1899-12-30T11:30:00"/>
    <m/>
    <m/>
    <n v="0"/>
    <n v="65"/>
    <s v="No"/>
    <m/>
    <s v="Follow-up visit"/>
    <s v="appointment_export_2026_06.csv"/>
    <n v="0"/>
    <n v="0"/>
    <x v="0"/>
    <s v="Central"/>
    <s v="Sophie Martin"/>
    <s v="Urban"/>
    <s v="Mon-Sat 08:00-18:00"/>
    <x v="1"/>
    <n v="7"/>
    <n v="65"/>
    <s v="Primary care"/>
    <s v="Doctor or Nurse Practitioner"/>
    <s v="Matched"/>
    <n v="38"/>
    <n v="0"/>
    <m/>
    <m/>
    <n v="1"/>
    <n v="1"/>
    <n v="1"/>
    <n v="0"/>
    <s v="Matches Standard"/>
    <x v="6"/>
    <n v="2026"/>
    <n v="6"/>
    <s v="Jun"/>
  </r>
  <r>
    <s v="APT-202606-0101"/>
    <d v="2026-06-04T00:00:00"/>
    <d v="2026-05-15T00:00:00"/>
    <s v="P0226"/>
    <s v="HAM"/>
    <s v="MHS"/>
    <s v="CL999"/>
    <x v="1"/>
    <x v="3"/>
    <d v="1899-12-30T08:00:00"/>
    <d v="1899-12-30T07:51:00"/>
    <d v="1899-12-30T08:06:00"/>
    <n v="45"/>
    <n v="120"/>
    <s v="No"/>
    <n v="5"/>
    <s v="Follow-up visit"/>
    <s v="appointment_export_2026_06.csv"/>
    <n v="0"/>
    <n v="0"/>
    <x v="1"/>
    <s v="Midland"/>
    <s v="Daniel Wong"/>
    <s v="Urban"/>
    <s v="Mon-Fri 08:00-17:30"/>
    <x v="2"/>
    <n v="14"/>
    <n v="120"/>
    <s v="Behavioural health"/>
    <s v="Mental Health Clinician"/>
    <s v="Matched"/>
    <n v="20"/>
    <n v="0"/>
    <n v="15"/>
    <n v="1"/>
    <n v="1"/>
    <n v="0"/>
    <n v="1"/>
    <n v="0"/>
    <s v="Matches Standard"/>
    <x v="6"/>
    <n v="2026"/>
    <n v="6"/>
    <s v="Jun"/>
  </r>
  <r>
    <s v="APT-202606-0102"/>
    <d v="2026-06-04T00:00:00"/>
    <d v="2026-05-13T00:00:00"/>
    <s v="P0039"/>
    <s v="WLG"/>
    <s v="GEN"/>
    <s v="CL032"/>
    <x v="2"/>
    <x v="2"/>
    <d v="1899-12-30T12:30:00"/>
    <m/>
    <m/>
    <n v="0"/>
    <n v="65"/>
    <s v="No"/>
    <m/>
    <s v="Routine review"/>
    <s v="appointment_export_2026_06.csv"/>
    <n v="0"/>
    <n v="0"/>
    <x v="0"/>
    <s v="Central"/>
    <s v="Sophie Martin"/>
    <s v="Urban"/>
    <s v="Mon-Sat 08:00-18:00"/>
    <x v="1"/>
    <n v="7"/>
    <n v="65"/>
    <s v="Primary care"/>
    <s v="Doctor or Nurse Practitioner"/>
    <s v="Matched"/>
    <n v="22"/>
    <n v="0"/>
    <m/>
    <m/>
    <n v="1"/>
    <n v="1"/>
    <n v="1"/>
    <n v="0"/>
    <s v="Matches Standard"/>
    <x v="6"/>
    <n v="2026"/>
    <n v="6"/>
    <s v="Jun"/>
  </r>
  <r>
    <s v="APT-202606-0103"/>
    <d v="2026-06-13T00:00:00"/>
    <d v="2026-05-24T00:00:00"/>
    <s v="P0207"/>
    <s v="HAM"/>
    <s v="DIA"/>
    <s v="CL018"/>
    <x v="0"/>
    <x v="1"/>
    <d v="1899-12-30T09:00:00"/>
    <m/>
    <m/>
    <n v="0"/>
    <n v="80"/>
    <s v="No"/>
    <m/>
    <s v="New referral"/>
    <s v="appointment_export_2026_06.csv"/>
    <n v="0"/>
    <n v="0"/>
    <x v="1"/>
    <s v="Midland"/>
    <s v="Daniel Wong"/>
    <s v="Urban"/>
    <s v="Mon-Fri 08:00-17:30"/>
    <x v="3"/>
    <n v="10"/>
    <n v="80"/>
    <s v="Long-term conditions"/>
    <s v="Diabetes Nurse"/>
    <s v="Matched"/>
    <n v="20"/>
    <n v="0"/>
    <m/>
    <m/>
    <n v="0"/>
    <m/>
    <n v="1"/>
    <n v="0"/>
    <s v="Matches Standard"/>
    <x v="6"/>
    <n v="2026"/>
    <n v="6"/>
    <s v="Jun"/>
  </r>
  <r>
    <s v="APT-202606-0104"/>
    <d v="2026-06-15T00:00:00"/>
    <d v="2026-04-23T00:00:00"/>
    <s v="P0215"/>
    <s v="HAM"/>
    <s v="CAR"/>
    <s v="CL020"/>
    <x v="1"/>
    <x v="0"/>
    <d v="1899-12-30T16:00:00"/>
    <d v="1899-12-30T16:03:00"/>
    <d v="1899-12-30T16:25:00"/>
    <n v="30"/>
    <n v="150"/>
    <s v="Yes"/>
    <n v="5"/>
    <s v="Routine review"/>
    <s v="appointment_export_2026_06.csv"/>
    <n v="0"/>
    <n v="0"/>
    <x v="1"/>
    <s v="Midland"/>
    <s v="Daniel Wong"/>
    <s v="Urban"/>
    <s v="Mon-Fri 08:00-17:30"/>
    <x v="4"/>
    <n v="28"/>
    <n v="150"/>
    <s v="Specialist outpatient"/>
    <s v="Cardiology Clinician"/>
    <s v="Matched"/>
    <n v="53"/>
    <n v="0"/>
    <n v="22"/>
    <n v="1"/>
    <n v="1"/>
    <n v="0"/>
    <n v="1"/>
    <n v="0"/>
    <s v="Matches Standard"/>
    <x v="6"/>
    <n v="2026"/>
    <n v="6"/>
    <s v="Jun"/>
  </r>
  <r>
    <s v="APT-202606-0105"/>
    <d v="2026-06-17T00:00:00"/>
    <d v="2026-06-01T00:00:00"/>
    <s v="P0004"/>
    <s v="AUC"/>
    <s v="DIA"/>
    <s v="CL007"/>
    <x v="2"/>
    <x v="1"/>
    <d v="1899-12-30T08:30:00"/>
    <m/>
    <m/>
    <n v="0"/>
    <n v="80"/>
    <s v="No"/>
    <m/>
    <s v="Routine review"/>
    <s v="appointment_export_2026_06.csv"/>
    <n v="0"/>
    <n v="0"/>
    <x v="2"/>
    <s v="Northern"/>
    <s v="Aroha Rangi"/>
    <s v="Urban"/>
    <s v="Mon-Fri 08:00-18:00"/>
    <x v="3"/>
    <n v="10"/>
    <n v="80"/>
    <s v="Long-term conditions"/>
    <s v="Diabetes Nurse"/>
    <s v="Matched"/>
    <n v="16"/>
    <n v="0"/>
    <m/>
    <m/>
    <n v="1"/>
    <n v="1"/>
    <n v="1"/>
    <n v="0"/>
    <s v="Matches Standard"/>
    <x v="6"/>
    <n v="2026"/>
    <n v="6"/>
    <s v="Jun"/>
  </r>
  <r>
    <s v="APT-202606-0106"/>
    <d v="2026-06-27T00:00:00"/>
    <d v="2026-06-06T00:00:00"/>
    <s v="P0178"/>
    <s v="PMR"/>
    <s v="GEN"/>
    <s v="CL021"/>
    <x v="1"/>
    <x v="0"/>
    <d v="1899-12-30T08:30:00"/>
    <d v="1899-12-30T08:37:00"/>
    <d v="1899-12-30T08:45:00"/>
    <n v="45"/>
    <n v="65"/>
    <s v="No"/>
    <n v="4"/>
    <s v="Follow-up visit"/>
    <s v="appointment_export_2026_06.csv"/>
    <n v="0"/>
    <n v="0"/>
    <x v="3"/>
    <s v="Central"/>
    <s v="Mereana Thompson"/>
    <s v="Regional"/>
    <s v="Mon-Fri 08:30-17:00"/>
    <x v="1"/>
    <n v="7"/>
    <n v="65"/>
    <s v="Primary care"/>
    <s v="Doctor or Nurse Practitioner"/>
    <s v="Matched"/>
    <n v="21"/>
    <n v="0"/>
    <n v="8"/>
    <n v="1"/>
    <n v="1"/>
    <n v="0"/>
    <n v="1"/>
    <n v="0"/>
    <s v="Matches Standard"/>
    <x v="6"/>
    <n v="2026"/>
    <n v="6"/>
    <s v="Jun"/>
  </r>
  <r>
    <s v="APT-202606-0107"/>
    <d v="2026-06-24T00:00:00"/>
    <d v="2026-06-13T00:00:00"/>
    <s v="P0208"/>
    <s v="HAM"/>
    <s v="MHS"/>
    <s v="CL014"/>
    <x v="1"/>
    <x v="3"/>
    <d v="1899-12-30T16:00:00"/>
    <d v="1899-12-30T15:56:00"/>
    <d v="1899-12-30T16:32:00"/>
    <n v="60"/>
    <m/>
    <s v="No"/>
    <n v="4"/>
    <s v="Care plan review"/>
    <s v="appointment_export_2026_06.csv"/>
    <n v="0"/>
    <n v="0"/>
    <x v="1"/>
    <s v="Midland"/>
    <s v="Daniel Wong"/>
    <s v="Urban"/>
    <s v="Mon-Fri 08:00-17:30"/>
    <x v="2"/>
    <n v="14"/>
    <n v="120"/>
    <s v="Behavioural health"/>
    <s v="Mental Health Clinician"/>
    <s v="Matched"/>
    <n v="11"/>
    <n v="1"/>
    <n v="36"/>
    <n v="0"/>
    <n v="1"/>
    <n v="0"/>
    <n v="0"/>
    <m/>
    <s v="Missing Actual Fee"/>
    <x v="6"/>
    <n v="2026"/>
    <n v="6"/>
    <s v="Jun"/>
  </r>
  <r>
    <s v="APT-202606-0108"/>
    <d v="2026-06-12T00:00:00"/>
    <d v="2026-05-06T00:00:00"/>
    <s v="P0034"/>
    <s v="WLG"/>
    <s v="CAR"/>
    <s v="CL039"/>
    <x v="1"/>
    <x v="3"/>
    <d v="1899-12-30T15:00:00"/>
    <d v="1899-12-30T15:07:00"/>
    <d v="1899-12-30T15:14:00"/>
    <n v="30"/>
    <n v="150"/>
    <s v="Yes"/>
    <n v="5"/>
    <s v="Patient requested appointment"/>
    <s v="appointment_export_2026_06.csv"/>
    <n v="0"/>
    <n v="0"/>
    <x v="0"/>
    <s v="Central"/>
    <s v="Sophie Martin"/>
    <s v="Urban"/>
    <s v="Mon-Sat 08:00-18:00"/>
    <x v="4"/>
    <n v="28"/>
    <n v="150"/>
    <s v="Specialist outpatient"/>
    <s v="Cardiology Clinician"/>
    <s v="Matched"/>
    <n v="37"/>
    <n v="0"/>
    <n v="7"/>
    <n v="1"/>
    <n v="1"/>
    <n v="0"/>
    <n v="1"/>
    <n v="0"/>
    <s v="Matches Standard"/>
    <x v="6"/>
    <n v="2026"/>
    <n v="6"/>
    <s v="Jun"/>
  </r>
  <r>
    <s v="APT-202606-0109"/>
    <d v="2026-06-02T00:00:00"/>
    <d v="2026-04-13T00:00:00"/>
    <m/>
    <s v="HAM"/>
    <s v="CAR"/>
    <s v="CL019"/>
    <x v="1"/>
    <x v="2"/>
    <d v="1899-12-30T16:00:00"/>
    <d v="1899-12-30T15:55:00"/>
    <d v="1899-12-30T16:18:00"/>
    <n v="30"/>
    <n v="150"/>
    <s v="Yes"/>
    <n v="3"/>
    <s v="Patient requested appointment"/>
    <s v="appointment_export_2026_06.csv"/>
    <n v="1"/>
    <n v="0"/>
    <x v="1"/>
    <s v="Midland"/>
    <s v="Daniel Wong"/>
    <s v="Urban"/>
    <s v="Mon-Fri 08:00-17:30"/>
    <x v="4"/>
    <n v="28"/>
    <n v="150"/>
    <s v="Specialist outpatient"/>
    <s v="Cardiology Clinician"/>
    <s v="Matched"/>
    <n v="50"/>
    <n v="0"/>
    <n v="23"/>
    <n v="1"/>
    <n v="1"/>
    <n v="0"/>
    <n v="1"/>
    <n v="0"/>
    <s v="Matches Standard"/>
    <x v="6"/>
    <n v="2026"/>
    <n v="6"/>
    <s v="Jun"/>
  </r>
  <r>
    <s v="APT-202606-0110"/>
    <d v="2026-06-21T00:00:00"/>
    <d v="2026-05-10T00:00:00"/>
    <s v="P0152"/>
    <s v="AUC"/>
    <s v="GEN"/>
    <s v="CL001"/>
    <x v="1"/>
    <x v="3"/>
    <d v="1899-12-30T15:00:00"/>
    <d v="1899-12-30T14:59:00"/>
    <d v="1899-12-30T15:36:00"/>
    <n v="30"/>
    <n v="65"/>
    <s v="No"/>
    <n v="2"/>
    <s v="Patient requested appointment"/>
    <s v="appointment_export_2026_06.csv"/>
    <n v="0"/>
    <n v="0"/>
    <x v="2"/>
    <s v="Northern"/>
    <s v="Aroha Rangi"/>
    <s v="Urban"/>
    <s v="Mon-Fri 08:00-18:00"/>
    <x v="1"/>
    <n v="7"/>
    <n v="65"/>
    <s v="Primary care"/>
    <s v="Doctor or Nurse Practitioner"/>
    <s v="Matched"/>
    <n v="42"/>
    <n v="0"/>
    <n v="37"/>
    <n v="0"/>
    <n v="1"/>
    <n v="0"/>
    <n v="1"/>
    <n v="0"/>
    <s v="Matches Standard"/>
    <x v="6"/>
    <n v="2026"/>
    <n v="6"/>
    <s v="Jun"/>
  </r>
  <r>
    <s v="APT-202606-0111"/>
    <d v="2026-06-03T00:00:00"/>
    <d v="2026-04-19T00:00:00"/>
    <s v="P0082"/>
    <s v="HAM"/>
    <s v="DIA"/>
    <s v="CL017"/>
    <x v="1"/>
    <x v="1"/>
    <d v="1899-12-30T11:00:00"/>
    <d v="1899-12-30T10:59:00"/>
    <d v="1899-12-30T11:17:00"/>
    <n v="45"/>
    <n v="80"/>
    <s v="No"/>
    <n v="4"/>
    <s v="Routine review"/>
    <s v="appointment_export_2026_06.csv"/>
    <n v="0"/>
    <n v="0"/>
    <x v="1"/>
    <s v="Midland"/>
    <s v="Daniel Wong"/>
    <s v="Urban"/>
    <s v="Mon-Fri 08:00-17:30"/>
    <x v="3"/>
    <n v="10"/>
    <n v="80"/>
    <s v="Long-term conditions"/>
    <s v="Diabetes Nurse"/>
    <s v="Matched"/>
    <n v="45"/>
    <n v="0"/>
    <n v="18"/>
    <n v="1"/>
    <n v="1"/>
    <n v="0"/>
    <n v="1"/>
    <n v="0"/>
    <s v="Matches Standard"/>
    <x v="6"/>
    <n v="2026"/>
    <n v="6"/>
    <s v="Jun"/>
  </r>
  <r>
    <s v="APT-202606-0112"/>
    <d v="2026-06-04T00:00:00"/>
    <d v="2026-05-19T00:00:00"/>
    <s v="P0095"/>
    <s v="PMR"/>
    <s v="PHY"/>
    <s v="CL025"/>
    <x v="1"/>
    <x v="3"/>
    <d v="1899-12-30T16:00:00"/>
    <d v="1899-12-30T15:50:00"/>
    <d v="1899-12-30T16:26:00"/>
    <n v="60"/>
    <n v="95"/>
    <s v="No"/>
    <n v="2"/>
    <s v="Patient requested appointment"/>
    <s v="appointment_export_2026_06.csv"/>
    <n v="0"/>
    <n v="0"/>
    <x v="3"/>
    <s v="Central"/>
    <s v="Mereana Thompson"/>
    <s v="Regional"/>
    <s v="Mon-Fri 08:30-17:00"/>
    <x v="0"/>
    <n v="21"/>
    <n v="95"/>
    <s v="Rehabilitation"/>
    <s v="Physiotherapist"/>
    <s v="Matched"/>
    <n v="16"/>
    <n v="1"/>
    <n v="36"/>
    <n v="0"/>
    <n v="1"/>
    <n v="0"/>
    <n v="1"/>
    <n v="0"/>
    <s v="Matches Standard"/>
    <x v="6"/>
    <n v="2026"/>
    <n v="6"/>
    <s v="Jun"/>
  </r>
  <r>
    <s v="APT-202606-0113"/>
    <d v="2026-06-17T00:00:00"/>
    <m/>
    <s v="P0074"/>
    <s v="WLG"/>
    <s v="CAR"/>
    <s v="CL039"/>
    <x v="1"/>
    <x v="3"/>
    <d v="1899-12-30T09:00:00"/>
    <d v="1899-12-30T09:13:00"/>
    <d v="1899-12-30T09:23:00"/>
    <n v="30"/>
    <n v="150"/>
    <s v="No"/>
    <n v="5"/>
    <s v="Patient requested appointment"/>
    <s v="appointment_export_2026_06.csv"/>
    <n v="0"/>
    <n v="0"/>
    <x v="0"/>
    <s v="Central"/>
    <s v="Sophie Martin"/>
    <s v="Urban"/>
    <s v="Mon-Sat 08:00-18:00"/>
    <x v="4"/>
    <n v="28"/>
    <n v="150"/>
    <s v="Specialist outpatient"/>
    <s v="Cardiology Clinician"/>
    <s v="Matched"/>
    <m/>
    <m/>
    <n v="10"/>
    <n v="1"/>
    <n v="1"/>
    <n v="0"/>
    <n v="1"/>
    <n v="0"/>
    <s v="Matches Standard"/>
    <x v="6"/>
    <n v="2026"/>
    <n v="6"/>
    <s v="Jun"/>
  </r>
  <r>
    <s v="APT-202606-0114"/>
    <d v="2026-06-11T00:00:00"/>
    <d v="2026-06-09T00:00:00"/>
    <s v="P0032"/>
    <s v="AUC"/>
    <s v="MHS"/>
    <s v="CL004"/>
    <x v="1"/>
    <x v="2"/>
    <d v="1899-12-30T14:00:00"/>
    <d v="1899-12-30T14:01:00"/>
    <d v="1899-12-30T14:16:00"/>
    <n v="60"/>
    <n v="120"/>
    <s v="No"/>
    <n v="5"/>
    <s v="Follow-up visit"/>
    <s v="appointment_export_2026_06.csv"/>
    <n v="0"/>
    <n v="0"/>
    <x v="2"/>
    <s v="Northern"/>
    <s v="Aroha Rangi"/>
    <s v="Urban"/>
    <s v="Mon-Fri 08:00-18:00"/>
    <x v="2"/>
    <n v="14"/>
    <n v="120"/>
    <s v="Behavioural health"/>
    <s v="Mental Health Clinician"/>
    <s v="Matched"/>
    <n v="2"/>
    <n v="1"/>
    <n v="15"/>
    <n v="1"/>
    <n v="1"/>
    <n v="0"/>
    <n v="1"/>
    <n v="0"/>
    <s v="Matches Standard"/>
    <x v="6"/>
    <n v="2026"/>
    <n v="6"/>
    <s v="Jun"/>
  </r>
  <r>
    <s v="APT-202606-0115"/>
    <d v="2026-06-04T00:00:00"/>
    <d v="2026-06-02T00:00:00"/>
    <s v="P0085"/>
    <s v="HAM"/>
    <s v="PHY"/>
    <s v="CL016"/>
    <x v="1"/>
    <x v="0"/>
    <d v="1899-12-30T14:30:00"/>
    <d v="1899-12-30T14:22:00"/>
    <d v="1899-12-30T14:55:00"/>
    <n v="60"/>
    <n v="95"/>
    <s v="Yes"/>
    <n v="2"/>
    <s v="Care plan review"/>
    <s v="appointment_export_2026_06.csv"/>
    <n v="0"/>
    <n v="0"/>
    <x v="1"/>
    <s v="Midland"/>
    <s v="Daniel Wong"/>
    <s v="Urban"/>
    <s v="Mon-Fri 08:00-17:30"/>
    <x v="0"/>
    <n v="21"/>
    <n v="95"/>
    <s v="Rehabilitation"/>
    <s v="Physiotherapist"/>
    <s v="Matched"/>
    <n v="2"/>
    <n v="1"/>
    <n v="33"/>
    <n v="0"/>
    <n v="1"/>
    <n v="0"/>
    <n v="1"/>
    <n v="0"/>
    <s v="Matches Standard"/>
    <x v="6"/>
    <n v="2026"/>
    <n v="6"/>
    <s v="Jun"/>
  </r>
  <r>
    <s v="APT-202606-0116"/>
    <d v="2026-06-03T00:00:00"/>
    <d v="2026-05-26T00:00:00"/>
    <s v="P0124"/>
    <s v="PMR"/>
    <s v="MHS"/>
    <s v="CL023"/>
    <x v="1"/>
    <x v="3"/>
    <d v="1899-12-30T10:00:00"/>
    <d v="1899-12-30T10:00:00"/>
    <d v="1899-12-30T10:37:00"/>
    <n v="30"/>
    <n v="120"/>
    <s v="No"/>
    <n v="4"/>
    <s v="Care plan review"/>
    <s v="appointment_export_2026_06.csv"/>
    <n v="0"/>
    <n v="0"/>
    <x v="3"/>
    <s v="Central"/>
    <s v="Mereana Thompson"/>
    <s v="Regional"/>
    <s v="Mon-Fri 08:30-17:00"/>
    <x v="2"/>
    <n v="14"/>
    <n v="120"/>
    <s v="Behavioural health"/>
    <s v="Mental Health Clinician"/>
    <s v="Matched"/>
    <n v="8"/>
    <n v="1"/>
    <n v="37"/>
    <n v="0"/>
    <n v="1"/>
    <n v="0"/>
    <n v="1"/>
    <n v="0"/>
    <s v="Matches Standard"/>
    <x v="6"/>
    <n v="2026"/>
    <n v="6"/>
    <s v="Jun"/>
  </r>
  <r>
    <s v="APT-202606-0117"/>
    <d v="2026-06-17T00:00:00"/>
    <d v="2026-04-23T00:00:00"/>
    <s v="P0177"/>
    <s v="AUC"/>
    <s v="GEN"/>
    <s v="CL002"/>
    <x v="0"/>
    <x v="0"/>
    <d v="1899-12-30T08:30:00"/>
    <m/>
    <m/>
    <n v="0"/>
    <n v="65"/>
    <s v="No"/>
    <m/>
    <s v="New referral"/>
    <s v="appointment_export_2026_06.csv"/>
    <n v="0"/>
    <n v="0"/>
    <x v="2"/>
    <s v="Northern"/>
    <s v="Aroha Rangi"/>
    <s v="Urban"/>
    <s v="Mon-Fri 08:00-18:00"/>
    <x v="1"/>
    <n v="7"/>
    <n v="65"/>
    <s v="Primary care"/>
    <s v="Doctor or Nurse Practitioner"/>
    <s v="Matched"/>
    <n v="55"/>
    <n v="0"/>
    <m/>
    <m/>
    <n v="0"/>
    <m/>
    <n v="1"/>
    <n v="0"/>
    <s v="Matches Standard"/>
    <x v="6"/>
    <n v="2026"/>
    <n v="6"/>
    <s v="Jun"/>
  </r>
  <r>
    <s v="APT-202606-0118"/>
    <d v="2026-06-03T00:00:00"/>
    <d v="2026-05-14T00:00:00"/>
    <s v="P0238"/>
    <s v="AUC"/>
    <s v="DIA"/>
    <s v="CL008"/>
    <x v="2"/>
    <x v="3"/>
    <d v="1899-12-30T09:30:00"/>
    <m/>
    <m/>
    <n v="0"/>
    <n v="80"/>
    <s v="No"/>
    <m/>
    <s v="Follow-up visit"/>
    <s v="appointment_export_2026_06.csv"/>
    <n v="0"/>
    <n v="0"/>
    <x v="2"/>
    <s v="Northern"/>
    <s v="Aroha Rangi"/>
    <s v="Urban"/>
    <s v="Mon-Fri 08:00-18:00"/>
    <x v="3"/>
    <n v="10"/>
    <n v="80"/>
    <s v="Long-term conditions"/>
    <s v="Diabetes Nurse"/>
    <s v="Matched"/>
    <n v="20"/>
    <n v="0"/>
    <m/>
    <m/>
    <n v="1"/>
    <n v="1"/>
    <n v="1"/>
    <n v="0"/>
    <s v="Matches Standard"/>
    <x v="6"/>
    <n v="2026"/>
    <n v="6"/>
    <s v="Jun"/>
  </r>
  <r>
    <s v="APT-202606-0119"/>
    <d v="2026-06-02T00:00:00"/>
    <d v="2026-05-13T00:00:00"/>
    <s v="P0017"/>
    <s v="AUC"/>
    <s v="DIA"/>
    <s v="CL008"/>
    <x v="1"/>
    <x v="2"/>
    <d v="1899-12-30T15:30:00"/>
    <d v="1899-12-30T15:45:00"/>
    <d v="1899-12-30T15:38:00"/>
    <n v="60"/>
    <n v="80"/>
    <s v="No"/>
    <n v="2"/>
    <s v="Follow-up visit"/>
    <s v="appointment_export_2026_06.csv"/>
    <n v="0"/>
    <n v="0"/>
    <x v="2"/>
    <s v="Northern"/>
    <s v="Aroha Rangi"/>
    <s v="Urban"/>
    <s v="Mon-Fri 08:00-18:00"/>
    <x v="3"/>
    <n v="10"/>
    <n v="80"/>
    <s v="Long-term conditions"/>
    <s v="Diabetes Nurse"/>
    <s v="Matched"/>
    <n v="20"/>
    <n v="0"/>
    <m/>
    <m/>
    <n v="1"/>
    <n v="0"/>
    <n v="1"/>
    <n v="0"/>
    <s v="Matches Standard"/>
    <x v="6"/>
    <n v="2026"/>
    <n v="6"/>
    <s v="Jun"/>
  </r>
  <r>
    <s v="APT-202606-0120"/>
    <d v="2026-06-06T00:00:00"/>
    <d v="2026-04-15T00:00:00"/>
    <s v="P0001"/>
    <s v="WLG"/>
    <s v="GEN"/>
    <s v="CL032"/>
    <x v="1"/>
    <x v="3"/>
    <d v="1899-12-30T08:00:00"/>
    <d v="1899-12-30T07:57:00"/>
    <d v="1899-12-30T08:12:00"/>
    <n v="20"/>
    <n v="65"/>
    <s v="Yes"/>
    <n v="2"/>
    <s v="Routine review"/>
    <s v="appointment_export_2026_06.csv"/>
    <n v="0"/>
    <n v="0"/>
    <x v="0"/>
    <s v="Central"/>
    <s v="Sophie Martin"/>
    <s v="Urban"/>
    <s v="Mon-Sat 08:00-18:00"/>
    <x v="1"/>
    <n v="7"/>
    <n v="65"/>
    <s v="Primary care"/>
    <s v="Doctor or Nurse Practitioner"/>
    <s v="Matched"/>
    <n v="52"/>
    <n v="0"/>
    <n v="15"/>
    <n v="1"/>
    <n v="1"/>
    <n v="0"/>
    <n v="1"/>
    <n v="0"/>
    <s v="Matches Standard"/>
    <x v="6"/>
    <n v="2026"/>
    <n v="6"/>
    <s v="Jun"/>
  </r>
  <r>
    <s v="APT-202606-0121"/>
    <d v="2026-06-24T00:00:00"/>
    <d v="2026-05-02T00:00:00"/>
    <s v="P0111"/>
    <s v="WLG"/>
    <s v="DIA"/>
    <s v="CL037"/>
    <x v="1"/>
    <x v="2"/>
    <d v="1899-12-30T12:30:00"/>
    <d v="1899-12-30T12:31:00"/>
    <d v="1899-12-30T12:41:00"/>
    <n v="30"/>
    <n v="80"/>
    <s v="Yes"/>
    <n v="3"/>
    <s v="New referral"/>
    <s v="appointment_export_2026_06.csv"/>
    <n v="0"/>
    <n v="0"/>
    <x v="0"/>
    <s v="Central"/>
    <s v="Sophie Martin"/>
    <s v="Urban"/>
    <s v="Mon-Sat 08:00-18:00"/>
    <x v="3"/>
    <n v="10"/>
    <n v="80"/>
    <s v="Long-term conditions"/>
    <s v="Diabetes Nurse"/>
    <s v="Matched"/>
    <n v="53"/>
    <n v="0"/>
    <n v="10"/>
    <n v="1"/>
    <n v="1"/>
    <n v="0"/>
    <n v="1"/>
    <n v="0"/>
    <s v="Matches Standard"/>
    <x v="6"/>
    <n v="2026"/>
    <n v="6"/>
    <s v="Jun"/>
  </r>
  <r>
    <s v="APT-202606-0122"/>
    <d v="2026-06-20T00:00:00"/>
    <d v="2026-05-04T00:00:00"/>
    <s v="P0162"/>
    <s v="WLG"/>
    <s v="CAR"/>
    <s v="CL040"/>
    <x v="1"/>
    <x v="2"/>
    <d v="1899-12-30T12:00:00"/>
    <d v="1899-12-30T11:55:00"/>
    <d v="1899-12-30T12:34:00"/>
    <n v="45"/>
    <n v="150"/>
    <s v="No"/>
    <n v="4"/>
    <s v="New referral"/>
    <s v="appointment_export_2026_06.csv"/>
    <n v="0"/>
    <n v="0"/>
    <x v="0"/>
    <s v="Central"/>
    <s v="Sophie Martin"/>
    <s v="Urban"/>
    <s v="Mon-Sat 08:00-18:00"/>
    <x v="4"/>
    <n v="28"/>
    <n v="150"/>
    <s v="Specialist outpatient"/>
    <s v="Cardiology Clinician"/>
    <s v="Matched"/>
    <n v="47"/>
    <n v="0"/>
    <n v="39"/>
    <n v="0"/>
    <n v="1"/>
    <n v="0"/>
    <n v="1"/>
    <n v="0"/>
    <s v="Matches Standard"/>
    <x v="6"/>
    <n v="2026"/>
    <n v="6"/>
    <s v="Jun"/>
  </r>
  <r>
    <s v="APT-202606-0123"/>
    <d v="2026-06-29T00:00:00"/>
    <d v="2026-05-18T00:00:00"/>
    <s v="P0111"/>
    <s v="HAM"/>
    <s v="PHY"/>
    <s v="CL015"/>
    <x v="1"/>
    <x v="1"/>
    <d v="1899-12-30T09:30:00"/>
    <d v="1899-12-30T09:29:00"/>
    <d v="1899-12-30T09:48:00"/>
    <n v="45"/>
    <n v="95"/>
    <s v="No"/>
    <n v="3"/>
    <s v="Patient requested appointment"/>
    <s v="appointment_export_2026_06.csv"/>
    <n v="0"/>
    <n v="0"/>
    <x v="1"/>
    <s v="Midland"/>
    <s v="Daniel Wong"/>
    <s v="Urban"/>
    <s v="Mon-Fri 08:00-17:30"/>
    <x v="0"/>
    <n v="21"/>
    <n v="95"/>
    <s v="Rehabilitation"/>
    <s v="Physiotherapist"/>
    <s v="Matched"/>
    <n v="42"/>
    <n v="0"/>
    <n v="19"/>
    <n v="1"/>
    <n v="1"/>
    <n v="0"/>
    <n v="1"/>
    <n v="0"/>
    <s v="Matches Standard"/>
    <x v="6"/>
    <n v="2026"/>
    <n v="6"/>
    <s v="Jun"/>
  </r>
  <r>
    <s v="APT-202606-0124"/>
    <d v="2026-06-11T00:00:00"/>
    <d v="2026-04-30T00:00:00"/>
    <s v="P0114"/>
    <s v="HAM"/>
    <s v="MHS"/>
    <s v="CL013"/>
    <x v="1"/>
    <x v="2"/>
    <d v="1899-12-30T14:30:00"/>
    <d v="1899-12-30T14:21:00"/>
    <d v="1899-12-30T15:07:00"/>
    <n v="30"/>
    <n v="120"/>
    <s v="No"/>
    <n v="4"/>
    <s v="Patient requested appointment"/>
    <s v="appointment_export_2026_06.csv"/>
    <n v="0"/>
    <n v="0"/>
    <x v="1"/>
    <s v="Midland"/>
    <s v="Daniel Wong"/>
    <s v="Urban"/>
    <s v="Mon-Fri 08:00-17:30"/>
    <x v="2"/>
    <n v="14"/>
    <n v="120"/>
    <s v="Behavioural health"/>
    <s v="Mental Health Clinician"/>
    <s v="Matched"/>
    <n v="42"/>
    <n v="0"/>
    <n v="46"/>
    <n v="0"/>
    <n v="1"/>
    <n v="0"/>
    <n v="1"/>
    <n v="0"/>
    <s v="Matches Standard"/>
    <x v="6"/>
    <n v="2026"/>
    <n v="6"/>
    <s v="Jun"/>
  </r>
  <r>
    <s v="APT-202606-0125"/>
    <d v="2026-06-15T00:00:00"/>
    <d v="2026-05-17T00:00:00"/>
    <s v="P0227"/>
    <s v="WLG"/>
    <s v="CAR"/>
    <s v="CL040"/>
    <x v="3"/>
    <x v="3"/>
    <d v="1899-12-30T08:00:00"/>
    <m/>
    <m/>
    <n v="0"/>
    <n v="150"/>
    <s v="No"/>
    <m/>
    <s v="New referral"/>
    <s v="appointment_export_2026_06.csv"/>
    <n v="0"/>
    <n v="0"/>
    <x v="0"/>
    <s v="Central"/>
    <s v="Sophie Martin"/>
    <s v="Urban"/>
    <s v="Mon-Sat 08:00-18:00"/>
    <x v="4"/>
    <n v="28"/>
    <n v="150"/>
    <s v="Specialist outpatient"/>
    <s v="Cardiology Clinician"/>
    <s v="Matched"/>
    <n v="29"/>
    <n v="0"/>
    <m/>
    <m/>
    <n v="0"/>
    <m/>
    <n v="1"/>
    <n v="0"/>
    <s v="Matches Standard"/>
    <x v="6"/>
    <n v="2026"/>
    <n v="6"/>
    <s v="Jun"/>
  </r>
  <r>
    <s v="APT-202606-0126"/>
    <d v="2026-06-26T00:00:00"/>
    <d v="2026-05-07T00:00:00"/>
    <s v="P0234"/>
    <s v="AUC"/>
    <s v="CAR"/>
    <s v="CL009"/>
    <x v="1"/>
    <x v="0"/>
    <d v="1899-12-30T16:00:00"/>
    <d v="1899-12-30T15:54:00"/>
    <d v="1899-12-30T16:37:00"/>
    <n v="45"/>
    <n v="150"/>
    <s v="No"/>
    <n v="4"/>
    <s v="Follow-up visit"/>
    <s v="appointment_export_2026_06.csv"/>
    <n v="0"/>
    <n v="0"/>
    <x v="2"/>
    <s v="Northern"/>
    <s v="Aroha Rangi"/>
    <s v="Urban"/>
    <s v="Mon-Fri 08:00-18:00"/>
    <x v="4"/>
    <n v="28"/>
    <n v="150"/>
    <s v="Specialist outpatient"/>
    <s v="Cardiology Clinician"/>
    <s v="Matched"/>
    <n v="50"/>
    <n v="0"/>
    <n v="43"/>
    <n v="0"/>
    <n v="1"/>
    <n v="0"/>
    <n v="1"/>
    <n v="0"/>
    <s v="Matches Standard"/>
    <x v="6"/>
    <n v="2026"/>
    <n v="6"/>
    <s v="Jun"/>
  </r>
  <r>
    <s v="APT-202606-0127"/>
    <d v="2026-06-05T00:00:00"/>
    <d v="2026-05-01T00:00:00"/>
    <s v="P0112"/>
    <s v="WLG"/>
    <s v="GEN"/>
    <s v="CL032"/>
    <x v="1"/>
    <x v="2"/>
    <d v="1899-12-30T11:30:00"/>
    <d v="1899-12-30T11:32:00"/>
    <d v="1899-12-30T11:39:00"/>
    <n v="20"/>
    <n v="65"/>
    <s v="No"/>
    <m/>
    <s v="Follow-up visit"/>
    <s v="appointment_export_2026_06.csv"/>
    <n v="0"/>
    <n v="0"/>
    <x v="0"/>
    <s v="Central"/>
    <s v="Sophie Martin"/>
    <s v="Urban"/>
    <s v="Mon-Sat 08:00-18:00"/>
    <x v="1"/>
    <n v="7"/>
    <n v="65"/>
    <s v="Primary care"/>
    <s v="Doctor or Nurse Practitioner"/>
    <s v="Matched"/>
    <n v="35"/>
    <n v="0"/>
    <n v="7"/>
    <n v="1"/>
    <n v="1"/>
    <n v="0"/>
    <n v="1"/>
    <n v="0"/>
    <s v="Matches Standard"/>
    <x v="6"/>
    <n v="2026"/>
    <n v="6"/>
    <s v="Jun"/>
  </r>
  <r>
    <s v="APT-202606-0128"/>
    <d v="2026-06-07T00:00:00"/>
    <d v="2026-05-23T00:00:00"/>
    <s v="P0010"/>
    <s v="HAM"/>
    <s v="PHY"/>
    <s v="CL015"/>
    <x v="0"/>
    <x v="2"/>
    <d v="1899-12-30T13:30:00"/>
    <m/>
    <m/>
    <n v="0"/>
    <n v="95"/>
    <s v="No"/>
    <m/>
    <s v="Care plan review"/>
    <s v="appointment_export_2026_06.csv"/>
    <n v="0"/>
    <n v="0"/>
    <x v="1"/>
    <s v="Midland"/>
    <s v="Daniel Wong"/>
    <s v="Urban"/>
    <s v="Mon-Fri 08:00-17:30"/>
    <x v="0"/>
    <n v="21"/>
    <n v="95"/>
    <s v="Rehabilitation"/>
    <s v="Physiotherapist"/>
    <s v="Matched"/>
    <n v="15"/>
    <n v="1"/>
    <m/>
    <m/>
    <n v="0"/>
    <m/>
    <n v="1"/>
    <n v="0"/>
    <s v="Matches Standard"/>
    <x v="6"/>
    <n v="2026"/>
    <n v="6"/>
    <s v="Jun"/>
  </r>
  <r>
    <s v="APT-202606-0129"/>
    <d v="2026-06-24T00:00:00"/>
    <d v="2026-06-08T00:00:00"/>
    <s v="P0090"/>
    <s v="PMR"/>
    <s v="GEN"/>
    <s v="CL021"/>
    <x v="1"/>
    <x v="0"/>
    <d v="1899-12-30T10:30:00"/>
    <d v="1899-12-30T10:34:00"/>
    <d v="1899-12-30T11:10:00"/>
    <n v="60"/>
    <n v="65"/>
    <s v="No"/>
    <n v="5"/>
    <s v="Follow-up visit"/>
    <s v="appointment_export_2026_06.csv"/>
    <n v="0"/>
    <n v="0"/>
    <x v="3"/>
    <s v="Central"/>
    <s v="Mereana Thompson"/>
    <s v="Regional"/>
    <s v="Mon-Fri 08:30-17:00"/>
    <x v="1"/>
    <n v="7"/>
    <n v="65"/>
    <s v="Primary care"/>
    <s v="Doctor or Nurse Practitioner"/>
    <s v="Matched"/>
    <n v="16"/>
    <n v="0"/>
    <n v="36"/>
    <n v="0"/>
    <n v="1"/>
    <n v="0"/>
    <n v="1"/>
    <n v="0"/>
    <s v="Matches Standard"/>
    <x v="6"/>
    <n v="2026"/>
    <n v="6"/>
    <s v="Jun"/>
  </r>
  <r>
    <s v="APT-202606-0130"/>
    <d v="2026-06-16T00:00:00"/>
    <d v="2026-04-26T00:00:00"/>
    <s v="P0102"/>
    <s v="WLG"/>
    <s v="GEN"/>
    <s v="CL032"/>
    <x v="2"/>
    <x v="1"/>
    <d v="1899-12-30T08:30:00"/>
    <m/>
    <m/>
    <n v="0"/>
    <n v="65"/>
    <s v="No"/>
    <m/>
    <s v="Routine review"/>
    <s v="appointment_export_2026_06.csv"/>
    <n v="0"/>
    <n v="0"/>
    <x v="0"/>
    <s v="Central"/>
    <s v="Sophie Martin"/>
    <s v="Urban"/>
    <s v="Mon-Sat 08:00-18:00"/>
    <x v="1"/>
    <n v="7"/>
    <n v="65"/>
    <s v="Primary care"/>
    <s v="Doctor or Nurse Practitioner"/>
    <s v="Matched"/>
    <n v="51"/>
    <n v="0"/>
    <m/>
    <m/>
    <n v="1"/>
    <n v="1"/>
    <n v="1"/>
    <n v="0"/>
    <s v="Matches Standard"/>
    <x v="6"/>
    <n v="2026"/>
    <n v="6"/>
    <s v="Jun"/>
  </r>
  <r>
    <s v="APT-202606-0131"/>
    <d v="2026-06-20T00:00:00"/>
    <d v="2026-05-09T00:00:00"/>
    <s v="P9999"/>
    <s v="AUC"/>
    <s v="MHS"/>
    <s v="CL003"/>
    <x v="1"/>
    <x v="0"/>
    <d v="1899-12-30T13:30:00"/>
    <d v="1899-12-30T13:31:00"/>
    <d v="1899-12-30T13:58:00"/>
    <n v="30"/>
    <n v="120"/>
    <s v="Yes"/>
    <n v="4"/>
    <s v="Follow-up visit"/>
    <s v="appointment_export_2026_06.csv"/>
    <n v="0"/>
    <n v="0"/>
    <x v="2"/>
    <s v="Northern"/>
    <s v="Aroha Rangi"/>
    <s v="Urban"/>
    <s v="Mon-Fri 08:00-18:00"/>
    <x v="2"/>
    <n v="14"/>
    <n v="120"/>
    <s v="Behavioural health"/>
    <s v="Mental Health Clinician"/>
    <s v="Matched"/>
    <n v="42"/>
    <n v="0"/>
    <n v="27"/>
    <n v="1"/>
    <n v="1"/>
    <n v="0"/>
    <n v="1"/>
    <n v="0"/>
    <s v="Matches Standard"/>
    <x v="6"/>
    <n v="2026"/>
    <n v="6"/>
    <s v="Jun"/>
  </r>
  <r>
    <s v="APT-202606-0132"/>
    <d v="2026-06-19T00:00:00"/>
    <d v="2026-05-26T00:00:00"/>
    <s v="P0157"/>
    <s v="PMR"/>
    <s v="DIA"/>
    <s v="CL028"/>
    <x v="1"/>
    <x v="3"/>
    <d v="1899-12-30T12:30:00"/>
    <d v="1899-12-30T12:29:00"/>
    <d v="1899-12-30T12:52:00"/>
    <n v="30"/>
    <n v="80"/>
    <s v="No"/>
    <n v="3"/>
    <s v="Follow-up visit"/>
    <s v="appointment_export_2026_06.csv"/>
    <n v="0"/>
    <n v="0"/>
    <x v="3"/>
    <s v="Central"/>
    <s v="Mereana Thompson"/>
    <s v="Regional"/>
    <s v="Mon-Fri 08:30-17:00"/>
    <x v="3"/>
    <n v="10"/>
    <n v="80"/>
    <s v="Long-term conditions"/>
    <s v="Diabetes Nurse"/>
    <s v="Matched"/>
    <n v="24"/>
    <n v="0"/>
    <n v="23"/>
    <n v="1"/>
    <n v="1"/>
    <n v="0"/>
    <n v="1"/>
    <n v="0"/>
    <s v="Matches Standard"/>
    <x v="6"/>
    <n v="2026"/>
    <n v="6"/>
    <s v="Jun"/>
  </r>
  <r>
    <s v="APT-202606-0133"/>
    <d v="2026-06-23T00:00:00"/>
    <d v="2026-06-22T00:00:00"/>
    <s v="P0134"/>
    <s v="WLG"/>
    <s v="CAR"/>
    <s v="CL040"/>
    <x v="1"/>
    <x v="1"/>
    <d v="1899-12-30T13:00:00"/>
    <d v="1899-12-30T12:53:00"/>
    <d v="1899-12-30T13:23:00"/>
    <n v="60"/>
    <n v="150"/>
    <s v="No"/>
    <n v="5"/>
    <s v="Routine review"/>
    <s v="appointment_export_2026_06.csv"/>
    <n v="0"/>
    <n v="0"/>
    <x v="0"/>
    <s v="Central"/>
    <s v="Sophie Martin"/>
    <s v="Urban"/>
    <s v="Mon-Sat 08:00-18:00"/>
    <x v="4"/>
    <n v="28"/>
    <n v="150"/>
    <s v="Specialist outpatient"/>
    <s v="Cardiology Clinician"/>
    <s v="Matched"/>
    <n v="1"/>
    <n v="1"/>
    <n v="30"/>
    <n v="1"/>
    <n v="1"/>
    <n v="0"/>
    <n v="1"/>
    <n v="0"/>
    <s v="Matches Standard"/>
    <x v="6"/>
    <n v="2026"/>
    <n v="6"/>
    <s v="Jun"/>
  </r>
  <r>
    <s v="APT-202606-0134"/>
    <d v="2026-06-17T00:00:00"/>
    <d v="2026-04-27T00:00:00"/>
    <s v="P0048"/>
    <s v="PMR"/>
    <s v="MHS"/>
    <s v="CL023"/>
    <x v="1"/>
    <x v="3"/>
    <d v="1899-12-30T09:30:00"/>
    <d v="1899-12-30T09:36:00"/>
    <d v="1899-12-30T09:34:00"/>
    <n v="45"/>
    <n v="120"/>
    <s v="No"/>
    <n v="5"/>
    <s v="Patient requested appointment"/>
    <s v="appointment_export_2026_06.csv"/>
    <n v="0"/>
    <n v="0"/>
    <x v="3"/>
    <s v="Central"/>
    <s v="Mereana Thompson"/>
    <s v="Regional"/>
    <s v="Mon-Fri 08:30-17:00"/>
    <x v="2"/>
    <n v="14"/>
    <n v="120"/>
    <s v="Behavioural health"/>
    <s v="Mental Health Clinician"/>
    <s v="Matched"/>
    <n v="51"/>
    <n v="0"/>
    <m/>
    <m/>
    <n v="1"/>
    <n v="0"/>
    <n v="1"/>
    <n v="0"/>
    <s v="Matches Standard"/>
    <x v="6"/>
    <n v="2026"/>
    <n v="6"/>
    <s v="Jun"/>
  </r>
  <r>
    <s v="APT-202606-0135"/>
    <d v="2026-06-27T00:00:00"/>
    <d v="2026-06-22T00:00:00"/>
    <s v="P0038"/>
    <s v="WLG"/>
    <s v="GEN"/>
    <s v="CL032"/>
    <x v="1"/>
    <x v="0"/>
    <d v="1899-12-30T09:30:00"/>
    <d v="1899-12-30T09:31:00"/>
    <d v="1899-12-30T09:44:00"/>
    <n v="30"/>
    <n v="65"/>
    <s v="No"/>
    <n v="5"/>
    <s v="Care plan review"/>
    <s v="appointment_export_2026_06.csv"/>
    <n v="0"/>
    <n v="0"/>
    <x v="0"/>
    <s v="Central"/>
    <s v="Sophie Martin"/>
    <s v="Urban"/>
    <s v="Mon-Sat 08:00-18:00"/>
    <x v="1"/>
    <n v="7"/>
    <n v="65"/>
    <s v="Primary care"/>
    <s v="Doctor or Nurse Practitioner"/>
    <s v="Matched"/>
    <n v="5"/>
    <n v="1"/>
    <n v="13"/>
    <n v="1"/>
    <n v="1"/>
    <n v="0"/>
    <n v="1"/>
    <n v="0"/>
    <s v="Matches Standard"/>
    <x v="6"/>
    <n v="2026"/>
    <n v="6"/>
    <s v="Jun"/>
  </r>
  <r>
    <s v="APT-202606-0136"/>
    <d v="2026-06-06T00:00:00"/>
    <d v="2026-05-31T00:00:00"/>
    <s v="P0236"/>
    <s v="PMR"/>
    <s v="PHY"/>
    <s v="CL026"/>
    <x v="1"/>
    <x v="0"/>
    <d v="1899-12-30T16:00:00"/>
    <d v="1899-12-30T15:54:00"/>
    <d v="1899-12-30T16:19:00"/>
    <n v="30"/>
    <n v="95"/>
    <s v="No"/>
    <n v="3"/>
    <s v="Follow-up visit"/>
    <s v="appointment_export_2026_06.csv"/>
    <n v="0"/>
    <n v="0"/>
    <x v="3"/>
    <s v="Central"/>
    <s v="Mereana Thompson"/>
    <s v="Regional"/>
    <s v="Mon-Fri 08:30-17:00"/>
    <x v="0"/>
    <n v="21"/>
    <n v="95"/>
    <s v="Rehabilitation"/>
    <s v="Physiotherapist"/>
    <s v="Matched"/>
    <n v="6"/>
    <n v="1"/>
    <n v="25"/>
    <n v="1"/>
    <n v="1"/>
    <n v="0"/>
    <n v="1"/>
    <n v="0"/>
    <s v="Matches Standard"/>
    <x v="6"/>
    <n v="2026"/>
    <n v="6"/>
    <s v="Jun"/>
  </r>
  <r>
    <s v="APT-202606-0137"/>
    <d v="2026-06-24T00:00:00"/>
    <d v="2026-06-22T00:00:00"/>
    <s v="P0028"/>
    <s v="WLG"/>
    <s v="DIA"/>
    <s v="CL038"/>
    <x v="1"/>
    <x v="1"/>
    <d v="1899-12-30T11:30:00"/>
    <d v="1899-12-30T11:20:00"/>
    <d v="1899-12-30T11:56:00"/>
    <m/>
    <n v="80"/>
    <s v="No"/>
    <n v="5"/>
    <s v="New referral"/>
    <s v="appointment_export_2026_06.csv"/>
    <n v="0"/>
    <n v="0"/>
    <x v="0"/>
    <s v="Central"/>
    <s v="Sophie Martin"/>
    <s v="Urban"/>
    <s v="Mon-Sat 08:00-18:00"/>
    <x v="3"/>
    <n v="10"/>
    <n v="80"/>
    <s v="Long-term conditions"/>
    <s v="Diabetes Nurse"/>
    <s v="Matched"/>
    <n v="2"/>
    <n v="1"/>
    <n v="36"/>
    <n v="0"/>
    <n v="1"/>
    <n v="0"/>
    <n v="1"/>
    <n v="0"/>
    <s v="Matches Standard"/>
    <x v="6"/>
    <n v="2026"/>
    <n v="6"/>
    <s v="Jun"/>
  </r>
  <r>
    <s v="APT-202606-0138"/>
    <d v="2026-06-12T00:00:00"/>
    <d v="2026-05-15T00:00:00"/>
    <s v="P0204"/>
    <s v="AUC"/>
    <s v="DIA"/>
    <s v="CL008"/>
    <x v="1"/>
    <x v="0"/>
    <d v="1899-12-30T14:00:00"/>
    <d v="1899-12-30T14:05:00"/>
    <d v="1899-12-30T14:26:00"/>
    <n v="20"/>
    <n v="80"/>
    <s v="No"/>
    <n v="4"/>
    <s v="New referral"/>
    <s v="appointment_export_2026_06.csv"/>
    <n v="0"/>
    <n v="0"/>
    <x v="2"/>
    <s v="Northern"/>
    <s v="Aroha Rangi"/>
    <s v="Urban"/>
    <s v="Mon-Fri 08:00-18:00"/>
    <x v="3"/>
    <n v="10"/>
    <n v="80"/>
    <s v="Long-term conditions"/>
    <s v="Diabetes Nurse"/>
    <s v="Matched"/>
    <n v="28"/>
    <n v="0"/>
    <n v="21"/>
    <n v="1"/>
    <n v="1"/>
    <n v="0"/>
    <n v="1"/>
    <n v="0"/>
    <s v="Matches Standard"/>
    <x v="6"/>
    <n v="2026"/>
    <n v="6"/>
    <s v="Jun"/>
  </r>
  <r>
    <s v="APT-202606-0140"/>
    <d v="2026-06-22T00:00:00"/>
    <d v="2026-05-23T00:00:00"/>
    <s v="P0236"/>
    <s v="WLG"/>
    <s v="CAR"/>
    <s v="CL039"/>
    <x v="2"/>
    <x v="0"/>
    <d v="1899-12-30T15:00:00"/>
    <m/>
    <m/>
    <n v="0"/>
    <n v="150"/>
    <s v="No"/>
    <m/>
    <s v="Follow-up visit"/>
    <s v="appointment_export_2026_06.csv"/>
    <n v="0"/>
    <n v="0"/>
    <x v="0"/>
    <s v="Central"/>
    <s v="Sophie Martin"/>
    <s v="Urban"/>
    <s v="Mon-Sat 08:00-18:00"/>
    <x v="4"/>
    <n v="28"/>
    <n v="150"/>
    <s v="Specialist outpatient"/>
    <s v="Cardiology Clinician"/>
    <s v="Matched"/>
    <n v="30"/>
    <n v="0"/>
    <m/>
    <m/>
    <n v="1"/>
    <n v="1"/>
    <n v="1"/>
    <n v="0"/>
    <s v="Matches Standard"/>
    <x v="6"/>
    <n v="2026"/>
    <n v="6"/>
    <s v="Jun"/>
  </r>
  <r>
    <s v="APT-202606-0141"/>
    <d v="2026-06-20T00:00:00"/>
    <d v="2026-06-19T00:00:00"/>
    <s v="P0145"/>
    <s v="HAM"/>
    <s v="DIA"/>
    <s v="CL018"/>
    <x v="1"/>
    <x v="2"/>
    <d v="1899-12-30T10:00:00"/>
    <d v="1899-12-30T10:14:00"/>
    <d v="1899-12-30T10:19:00"/>
    <n v="20"/>
    <n v="80"/>
    <s v="Yes"/>
    <n v="5"/>
    <s v="Care plan review"/>
    <s v="appointment_export_2026_06.csv"/>
    <n v="0"/>
    <n v="0"/>
    <x v="1"/>
    <s v="Midland"/>
    <s v="Daniel Wong"/>
    <s v="Urban"/>
    <s v="Mon-Fri 08:00-17:30"/>
    <x v="3"/>
    <n v="10"/>
    <n v="80"/>
    <s v="Long-term conditions"/>
    <s v="Diabetes Nurse"/>
    <s v="Matched"/>
    <n v="1"/>
    <n v="1"/>
    <n v="5"/>
    <n v="1"/>
    <n v="1"/>
    <n v="0"/>
    <n v="1"/>
    <n v="0"/>
    <s v="Matches Standard"/>
    <x v="6"/>
    <n v="2026"/>
    <n v="6"/>
    <s v="Jun"/>
  </r>
  <r>
    <s v="APT-202606-0142"/>
    <d v="2026-06-30T00:00:00"/>
    <d v="2026-06-12T00:00:00"/>
    <s v="P0210"/>
    <s v="AUC"/>
    <s v="CAR"/>
    <s v="CL009"/>
    <x v="1"/>
    <x v="1"/>
    <d v="1899-12-30T12:00:00"/>
    <d v="1899-12-30T12:09:00"/>
    <d v="1899-12-30T12:40:00"/>
    <n v="60"/>
    <n v="150"/>
    <s v="No"/>
    <n v="5"/>
    <s v="Follow-up visit"/>
    <s v="appointment_export_2026_06.csv"/>
    <n v="0"/>
    <n v="0"/>
    <x v="2"/>
    <s v="Northern"/>
    <s v="Aroha Rangi"/>
    <s v="Urban"/>
    <s v="Mon-Fri 08:00-18:00"/>
    <x v="4"/>
    <n v="28"/>
    <n v="150"/>
    <s v="Specialist outpatient"/>
    <s v="Cardiology Clinician"/>
    <s v="Matched"/>
    <n v="18"/>
    <n v="1"/>
    <n v="31"/>
    <n v="0"/>
    <n v="1"/>
    <n v="0"/>
    <n v="1"/>
    <n v="0"/>
    <s v="Matches Standard"/>
    <x v="6"/>
    <n v="2026"/>
    <n v="6"/>
    <s v="Jun"/>
  </r>
  <r>
    <s v="APT-202606-0143"/>
    <d v="2026-06-23T00:00:00"/>
    <d v="2026-06-17T00:00:00"/>
    <s v="P0059"/>
    <s v="AUC"/>
    <s v="DIA"/>
    <s v="CL008"/>
    <x v="1"/>
    <x v="1"/>
    <d v="1899-12-30T09:00:00"/>
    <d v="1899-12-30T09:06:00"/>
    <d v="1899-12-30T09:28:00"/>
    <n v="30"/>
    <n v="80"/>
    <s v="No"/>
    <n v="5"/>
    <s v="Care plan review"/>
    <s v="appointment_export_2026_06.csv"/>
    <n v="0"/>
    <n v="0"/>
    <x v="2"/>
    <s v="Northern"/>
    <s v="Aroha Rangi"/>
    <s v="Urban"/>
    <s v="Mon-Fri 08:00-18:00"/>
    <x v="3"/>
    <n v="10"/>
    <n v="80"/>
    <s v="Long-term conditions"/>
    <s v="Diabetes Nurse"/>
    <s v="Matched"/>
    <n v="6"/>
    <n v="1"/>
    <n v="22"/>
    <n v="1"/>
    <n v="1"/>
    <n v="0"/>
    <n v="1"/>
    <n v="0"/>
    <s v="Matches Standard"/>
    <x v="6"/>
    <n v="2026"/>
    <n v="6"/>
    <s v="Jun"/>
  </r>
  <r>
    <s v="APT-202606-0144"/>
    <d v="2026-06-16T00:00:00"/>
    <d v="2026-05-11T00:00:00"/>
    <s v="P0201"/>
    <s v="PMR"/>
    <s v="MHS"/>
    <s v="CL024"/>
    <x v="1"/>
    <x v="1"/>
    <d v="1899-12-30T15:00:00"/>
    <d v="1899-12-30T15:14:00"/>
    <d v="1899-12-30T15:06:00"/>
    <n v="60"/>
    <n v="120"/>
    <s v="Yes"/>
    <n v="3"/>
    <s v="Patient requested appointment"/>
    <s v="appointment_export_2026_06.csv"/>
    <n v="0"/>
    <n v="0"/>
    <x v="3"/>
    <s v="Central"/>
    <s v="Mereana Thompson"/>
    <s v="Regional"/>
    <s v="Mon-Fri 08:30-17:00"/>
    <x v="2"/>
    <n v="14"/>
    <n v="120"/>
    <s v="Behavioural health"/>
    <s v="Mental Health Clinician"/>
    <s v="Matched"/>
    <n v="36"/>
    <n v="0"/>
    <m/>
    <m/>
    <n v="1"/>
    <n v="0"/>
    <n v="1"/>
    <n v="0"/>
    <s v="Matches Standard"/>
    <x v="6"/>
    <n v="2026"/>
    <n v="6"/>
    <s v="Jun"/>
  </r>
  <r>
    <s v="APT-202606-0145"/>
    <d v="2026-06-02T00:00:00"/>
    <d v="2026-05-05T00:00:00"/>
    <s v="P0219"/>
    <s v="AUC"/>
    <s v="CAR"/>
    <s v="CL010"/>
    <x v="1"/>
    <x v="2"/>
    <d v="1899-12-30T11:30:00"/>
    <d v="1899-12-30T11:25:00"/>
    <d v="1899-12-30T11:46:00"/>
    <n v="30"/>
    <n v="150"/>
    <s v="Yes"/>
    <n v="4"/>
    <s v="Care plan review"/>
    <s v="appointment_export_2026_06.csv"/>
    <n v="0"/>
    <n v="0"/>
    <x v="2"/>
    <s v="Northern"/>
    <s v="Aroha Rangi"/>
    <s v="Urban"/>
    <s v="Mon-Fri 08:00-18:00"/>
    <x v="4"/>
    <n v="28"/>
    <n v="150"/>
    <s v="Specialist outpatient"/>
    <s v="Cardiology Clinician"/>
    <s v="Matched"/>
    <n v="28"/>
    <n v="1"/>
    <n v="21"/>
    <n v="1"/>
    <n v="1"/>
    <n v="0"/>
    <n v="1"/>
    <n v="0"/>
    <s v="Matches Standard"/>
    <x v="6"/>
    <n v="2026"/>
    <n v="6"/>
    <s v="Jun"/>
  </r>
  <r>
    <s v="APT-202606-0146"/>
    <d v="2026-06-03T00:00:00"/>
    <d v="2026-05-25T00:00:00"/>
    <s v="P0071"/>
    <s v="PMR"/>
    <s v="DIA"/>
    <s v="CL028"/>
    <x v="0"/>
    <x v="0"/>
    <d v="1899-12-30T15:30:00"/>
    <m/>
    <m/>
    <n v="0"/>
    <n v="80"/>
    <s v="No"/>
    <m/>
    <s v="Patient requested appointment"/>
    <s v="appointment_export_2026_06.csv"/>
    <n v="0"/>
    <n v="0"/>
    <x v="3"/>
    <s v="Central"/>
    <s v="Mereana Thompson"/>
    <s v="Regional"/>
    <s v="Mon-Fri 08:30-17:00"/>
    <x v="3"/>
    <n v="10"/>
    <n v="80"/>
    <s v="Long-term conditions"/>
    <s v="Diabetes Nurse"/>
    <s v="Matched"/>
    <n v="9"/>
    <n v="1"/>
    <m/>
    <m/>
    <n v="0"/>
    <m/>
    <n v="1"/>
    <n v="0"/>
    <s v="Matches Standard"/>
    <x v="6"/>
    <n v="2026"/>
    <n v="6"/>
    <s v="Jun"/>
  </r>
  <r>
    <s v="APT-202606-0147"/>
    <d v="2026-06-14T00:00:00"/>
    <d v="2026-04-26T00:00:00"/>
    <s v="P0099"/>
    <s v="AUC"/>
    <s v="MHS"/>
    <s v="CL003"/>
    <x v="0"/>
    <x v="0"/>
    <d v="1899-12-30T12:30:00"/>
    <m/>
    <m/>
    <n v="0"/>
    <n v="120"/>
    <s v="No"/>
    <m/>
    <s v="Follow-up visit"/>
    <s v="appointment_export_2026_06.csv"/>
    <n v="0"/>
    <n v="0"/>
    <x v="2"/>
    <s v="Northern"/>
    <s v="Aroha Rangi"/>
    <s v="Urban"/>
    <s v="Mon-Fri 08:00-18:00"/>
    <x v="2"/>
    <n v="14"/>
    <n v="120"/>
    <s v="Behavioural health"/>
    <s v="Mental Health Clinician"/>
    <s v="Matched"/>
    <n v="49"/>
    <n v="0"/>
    <m/>
    <m/>
    <n v="0"/>
    <m/>
    <n v="1"/>
    <n v="0"/>
    <s v="Matches Standard"/>
    <x v="6"/>
    <n v="2026"/>
    <n v="6"/>
    <s v="Jun"/>
  </r>
  <r>
    <s v="APT-202606-0148"/>
    <d v="2026-06-23T00:00:00"/>
    <d v="2026-06-17T00:00:00"/>
    <s v="P0097"/>
    <s v="PMR"/>
    <s v="MHS"/>
    <s v="CL024"/>
    <x v="2"/>
    <x v="0"/>
    <d v="1899-12-30T13:00:00"/>
    <m/>
    <m/>
    <n v="0"/>
    <n v="120"/>
    <s v="Yes"/>
    <m/>
    <s v="Routine review"/>
    <s v="appointment_export_2026_06.csv"/>
    <n v="0"/>
    <n v="0"/>
    <x v="3"/>
    <s v="Central"/>
    <s v="Mereana Thompson"/>
    <s v="Regional"/>
    <s v="Mon-Fri 08:30-17:00"/>
    <x v="2"/>
    <n v="14"/>
    <n v="120"/>
    <s v="Behavioural health"/>
    <s v="Mental Health Clinician"/>
    <s v="Matched"/>
    <n v="6"/>
    <n v="1"/>
    <m/>
    <m/>
    <n v="1"/>
    <n v="1"/>
    <n v="1"/>
    <n v="0"/>
    <s v="Matches Standard"/>
    <x v="6"/>
    <n v="2026"/>
    <n v="6"/>
    <s v="Jun"/>
  </r>
  <r>
    <s v="APT-202606-0149"/>
    <d v="2026-06-01T00:00:00"/>
    <d v="2026-04-22T00:00:00"/>
    <s v="P0059"/>
    <s v="HAM"/>
    <s v="MHS"/>
    <s v="CL013"/>
    <x v="1"/>
    <x v="0"/>
    <d v="1899-12-30T11:30:00"/>
    <d v="1899-12-30T11:44:00"/>
    <d v="1899-12-30T12:08:00"/>
    <n v="60"/>
    <m/>
    <s v="No"/>
    <n v="5"/>
    <s v="Patient requested appointment"/>
    <s v="appointment_export_2026_06.csv"/>
    <n v="0"/>
    <n v="0"/>
    <x v="1"/>
    <s v="Midland"/>
    <s v="Daniel Wong"/>
    <s v="Urban"/>
    <s v="Mon-Fri 08:00-17:30"/>
    <x v="2"/>
    <n v="14"/>
    <n v="120"/>
    <s v="Behavioural health"/>
    <s v="Mental Health Clinician"/>
    <s v="Matched"/>
    <n v="40"/>
    <n v="0"/>
    <n v="24"/>
    <n v="1"/>
    <n v="1"/>
    <n v="0"/>
    <n v="0"/>
    <m/>
    <s v="Missing Actual Fee"/>
    <x v="6"/>
    <n v="2026"/>
    <n v="6"/>
    <s v="Jun"/>
  </r>
  <r>
    <s v="APT-202606-0150"/>
    <d v="2026-06-24T00:00:00"/>
    <d v="2026-05-26T00:00:00"/>
    <s v="P0023"/>
    <s v="WLG"/>
    <s v="PHY"/>
    <s v="CL035"/>
    <x v="2"/>
    <x v="2"/>
    <d v="1899-12-30T11:00:00"/>
    <m/>
    <m/>
    <n v="0"/>
    <n v="95"/>
    <s v="No"/>
    <m/>
    <s v="Care plan review"/>
    <s v="appointment_export_2026_06.csv"/>
    <n v="0"/>
    <n v="0"/>
    <x v="0"/>
    <s v="Central"/>
    <s v="Sophie Martin"/>
    <s v="Urban"/>
    <s v="Mon-Sat 08:00-18:00"/>
    <x v="0"/>
    <n v="21"/>
    <n v="95"/>
    <s v="Rehabilitation"/>
    <s v="Physiotherapist"/>
    <s v="Matched"/>
    <n v="29"/>
    <n v="0"/>
    <m/>
    <m/>
    <n v="1"/>
    <n v="1"/>
    <n v="1"/>
    <n v="0"/>
    <s v="Matches Standard"/>
    <x v="6"/>
    <n v="2026"/>
    <n v="6"/>
    <s v="Jun"/>
  </r>
  <r>
    <s v="APT-202606-0151"/>
    <d v="2026-06-27T00:00:00"/>
    <d v="2026-05-24T00:00:00"/>
    <s v="P0107"/>
    <s v="WLG"/>
    <s v="PHY"/>
    <s v="CL035"/>
    <x v="1"/>
    <x v="1"/>
    <d v="1899-12-30T09:00:00"/>
    <d v="1899-12-30T09:02:00"/>
    <d v="1899-12-30T09:29:00"/>
    <n v="30"/>
    <n v="95"/>
    <s v="No"/>
    <n v="2"/>
    <s v="Care plan review"/>
    <s v="appointment_export_2026_06.csv"/>
    <n v="0"/>
    <n v="0"/>
    <x v="0"/>
    <s v="Central"/>
    <s v="Sophie Martin"/>
    <s v="Urban"/>
    <s v="Mon-Sat 08:00-18:00"/>
    <x v="0"/>
    <n v="21"/>
    <n v="95"/>
    <s v="Rehabilitation"/>
    <s v="Physiotherapist"/>
    <s v="Matched"/>
    <n v="34"/>
    <n v="0"/>
    <n v="27"/>
    <n v="1"/>
    <n v="1"/>
    <n v="0"/>
    <n v="1"/>
    <n v="0"/>
    <s v="Matches Standard"/>
    <x v="6"/>
    <n v="2026"/>
    <n v="6"/>
    <s v="Jun"/>
  </r>
  <r>
    <s v="APT-202606-0152"/>
    <d v="2026-06-03T00:00:00"/>
    <d v="2026-06-02T00:00:00"/>
    <s v="P0169"/>
    <s v="AUC"/>
    <s v="PHY"/>
    <s v="CL005"/>
    <x v="1"/>
    <x v="3"/>
    <d v="1899-12-30T08:00:00"/>
    <d v="1899-12-30T08:06:00"/>
    <d v="1899-12-30T08:11:00"/>
    <n v="30"/>
    <n v="95"/>
    <s v="No"/>
    <n v="4"/>
    <s v="Patient requested appointment"/>
    <s v="appointment_export_2026_06.csv"/>
    <n v="0"/>
    <n v="0"/>
    <x v="2"/>
    <s v="Northern"/>
    <s v="Aroha Rangi"/>
    <s v="Urban"/>
    <s v="Mon-Fri 08:00-18:00"/>
    <x v="0"/>
    <n v="21"/>
    <n v="95"/>
    <s v="Rehabilitation"/>
    <s v="Physiotherapist"/>
    <s v="Matched"/>
    <n v="1"/>
    <n v="1"/>
    <n v="5"/>
    <n v="1"/>
    <n v="1"/>
    <n v="0"/>
    <n v="1"/>
    <n v="0"/>
    <s v="Matches Standard"/>
    <x v="6"/>
    <n v="2026"/>
    <n v="6"/>
    <s v="Jun"/>
  </r>
  <r>
    <s v="APT-202606-0153"/>
    <d v="2026-06-24T00:00:00"/>
    <d v="2026-06-03T00:00:00"/>
    <s v="P0087"/>
    <s v="AUC"/>
    <s v="DIA"/>
    <s v="CL008"/>
    <x v="0"/>
    <x v="0"/>
    <d v="1899-12-30T15:30:00"/>
    <m/>
    <m/>
    <n v="0"/>
    <n v="80"/>
    <s v="No"/>
    <m/>
    <s v="Care plan review"/>
    <s v="appointment_export_2026_06.csv"/>
    <n v="0"/>
    <n v="0"/>
    <x v="2"/>
    <s v="Northern"/>
    <s v="Aroha Rangi"/>
    <s v="Urban"/>
    <s v="Mon-Fri 08:00-18:00"/>
    <x v="3"/>
    <n v="10"/>
    <n v="80"/>
    <s v="Long-term conditions"/>
    <s v="Diabetes Nurse"/>
    <s v="Matched"/>
    <n v="21"/>
    <n v="0"/>
    <m/>
    <m/>
    <n v="0"/>
    <m/>
    <n v="1"/>
    <n v="0"/>
    <s v="Matches Standard"/>
    <x v="6"/>
    <n v="2026"/>
    <n v="6"/>
    <s v="Jun"/>
  </r>
  <r>
    <s v="APT-202606-0154"/>
    <d v="2026-06-26T00:00:00"/>
    <d v="2026-05-19T00:00:00"/>
    <s v="P0153"/>
    <s v="AUC"/>
    <s v="GEN"/>
    <s v="CL002"/>
    <x v="1"/>
    <x v="0"/>
    <d v="1899-12-30T12:30:00"/>
    <d v="1899-12-30T12:23:00"/>
    <d v="1899-12-30T12:57:00"/>
    <n v="30"/>
    <n v="65"/>
    <s v="No"/>
    <n v="2"/>
    <s v="Routine review"/>
    <s v="appointment_export_2026_06.csv"/>
    <n v="0"/>
    <n v="0"/>
    <x v="2"/>
    <s v="Northern"/>
    <s v="Aroha Rangi"/>
    <s v="Urban"/>
    <s v="Mon-Fri 08:00-18:00"/>
    <x v="1"/>
    <n v="7"/>
    <n v="65"/>
    <s v="Primary care"/>
    <s v="Doctor or Nurse Practitioner"/>
    <s v="Matched"/>
    <n v="38"/>
    <n v="0"/>
    <n v="34"/>
    <n v="0"/>
    <n v="1"/>
    <n v="0"/>
    <n v="1"/>
    <n v="0"/>
    <s v="Matches Standard"/>
    <x v="6"/>
    <n v="2026"/>
    <n v="6"/>
    <s v="Jun"/>
  </r>
  <r>
    <s v="APT-202606-0155"/>
    <d v="2026-06-27T00:00:00"/>
    <d v="2026-05-15T00:00:00"/>
    <s v="P0196"/>
    <s v="PMR"/>
    <s v="DIA"/>
    <s v="CL027"/>
    <x v="0"/>
    <x v="2"/>
    <d v="1899-12-30T13:30:00"/>
    <m/>
    <m/>
    <n v="0"/>
    <n v="80"/>
    <s v="No"/>
    <m/>
    <s v="Care plan review"/>
    <s v="appointment_export_2026_06.csv"/>
    <n v="0"/>
    <n v="0"/>
    <x v="3"/>
    <s v="Central"/>
    <s v="Mereana Thompson"/>
    <s v="Regional"/>
    <s v="Mon-Fri 08:30-17:00"/>
    <x v="3"/>
    <n v="10"/>
    <n v="80"/>
    <s v="Long-term conditions"/>
    <s v="Diabetes Nurse"/>
    <s v="Matched"/>
    <n v="43"/>
    <n v="0"/>
    <m/>
    <m/>
    <n v="0"/>
    <m/>
    <n v="1"/>
    <n v="0"/>
    <s v="Matches Standard"/>
    <x v="6"/>
    <n v="2026"/>
    <n v="6"/>
    <s v="Jun"/>
  </r>
  <r>
    <s v="APT-202606-0156"/>
    <d v="2026-06-07T00:00:00"/>
    <d v="2026-04-27T00:00:00"/>
    <s v="P0009"/>
    <s v="WLG"/>
    <s v="DIA"/>
    <s v="CL037"/>
    <x v="1"/>
    <x v="1"/>
    <d v="1899-12-30T11:00:00"/>
    <d v="1899-12-30T11:13:00"/>
    <d v="1899-12-30T11:11:00"/>
    <n v="45"/>
    <n v="80"/>
    <s v="No"/>
    <n v="5"/>
    <s v="Care plan review"/>
    <s v="appointment_export_2026_06.csv"/>
    <n v="0"/>
    <n v="0"/>
    <x v="0"/>
    <s v="Central"/>
    <s v="Sophie Martin"/>
    <s v="Urban"/>
    <s v="Mon-Sat 08:00-18:00"/>
    <x v="3"/>
    <n v="10"/>
    <n v="80"/>
    <s v="Long-term conditions"/>
    <s v="Diabetes Nurse"/>
    <s v="Matched"/>
    <n v="41"/>
    <n v="0"/>
    <m/>
    <m/>
    <n v="1"/>
    <n v="0"/>
    <n v="1"/>
    <n v="0"/>
    <s v="Matches Standard"/>
    <x v="6"/>
    <n v="2026"/>
    <n v="6"/>
    <s v="Jun"/>
  </r>
  <r>
    <s v="APT-202606-0157"/>
    <d v="2026-06-25T00:00:00"/>
    <d v="2026-06-03T00:00:00"/>
    <s v="P0063"/>
    <s v="PMR"/>
    <s v="GEN"/>
    <s v="CL021"/>
    <x v="2"/>
    <x v="3"/>
    <d v="1899-12-30T11:30:00"/>
    <m/>
    <m/>
    <n v="0"/>
    <n v="65"/>
    <s v="Yes"/>
    <m/>
    <s v="Follow-up visit"/>
    <s v="appointment_export_2026_06.csv"/>
    <n v="0"/>
    <n v="0"/>
    <x v="3"/>
    <s v="Central"/>
    <s v="Mereana Thompson"/>
    <s v="Regional"/>
    <s v="Mon-Fri 08:30-17:00"/>
    <x v="1"/>
    <n v="7"/>
    <n v="65"/>
    <s v="Primary care"/>
    <s v="Doctor or Nurse Practitioner"/>
    <s v="Matched"/>
    <n v="22"/>
    <n v="0"/>
    <m/>
    <m/>
    <n v="1"/>
    <n v="1"/>
    <n v="1"/>
    <n v="0"/>
    <s v="Matches Standard"/>
    <x v="6"/>
    <n v="2026"/>
    <n v="6"/>
    <s v="Jun"/>
  </r>
  <r>
    <s v="APT-202606-0158"/>
    <d v="2026-06-18T00:00:00"/>
    <d v="2026-04-27T00:00:00"/>
    <s v="P0052"/>
    <s v="AUC"/>
    <m/>
    <s v="CL003"/>
    <x v="0"/>
    <x v="3"/>
    <d v="1899-12-30T08:30:00"/>
    <m/>
    <m/>
    <n v="0"/>
    <n v="120"/>
    <s v="No"/>
    <m/>
    <s v="Routine review"/>
    <s v="appointment_export_2026_06.csv"/>
    <n v="0"/>
    <n v="1"/>
    <x v="2"/>
    <s v="Northern"/>
    <s v="Aroha Rangi"/>
    <s v="Urban"/>
    <s v="Mon-Fri 08:00-18:00"/>
    <x v="5"/>
    <m/>
    <m/>
    <m/>
    <m/>
    <s v="Missing Service Code"/>
    <n v="52"/>
    <m/>
    <m/>
    <m/>
    <n v="0"/>
    <m/>
    <n v="1"/>
    <m/>
    <s v="Missing Standard Fee"/>
    <x v="6"/>
    <n v="2026"/>
    <n v="6"/>
    <s v="Jun"/>
  </r>
  <r>
    <s v="APT-202606-0159"/>
    <d v="2026-06-12T00:00:00"/>
    <d v="2026-06-11T00:00:00"/>
    <s v="P0110"/>
    <s v="PMR"/>
    <s v="GEN"/>
    <s v="CL021"/>
    <x v="1"/>
    <x v="0"/>
    <d v="1899-12-30T09:30:00"/>
    <d v="1899-12-30T09:41:00"/>
    <d v="1899-12-30T09:41:00"/>
    <n v="30"/>
    <n v="65"/>
    <s v="No"/>
    <n v="2"/>
    <s v="Routine review"/>
    <s v="appointment_export_2026_06.csv"/>
    <n v="0"/>
    <n v="0"/>
    <x v="3"/>
    <s v="Central"/>
    <s v="Mereana Thompson"/>
    <s v="Regional"/>
    <s v="Mon-Fri 08:30-17:00"/>
    <x v="1"/>
    <n v="7"/>
    <n v="65"/>
    <s v="Primary care"/>
    <s v="Doctor or Nurse Practitioner"/>
    <s v="Matched"/>
    <n v="1"/>
    <n v="1"/>
    <n v="0"/>
    <n v="1"/>
    <n v="1"/>
    <n v="0"/>
    <n v="1"/>
    <n v="0"/>
    <s v="Matches Standard"/>
    <x v="6"/>
    <n v="2026"/>
    <n v="6"/>
    <s v="Jun"/>
  </r>
  <r>
    <s v="APT-202606-0160"/>
    <d v="2026-06-02T00:00:00"/>
    <d v="2026-04-12T00:00:00"/>
    <s v="P0186"/>
    <s v="PMR"/>
    <s v="GEN"/>
    <s v="CL022"/>
    <x v="0"/>
    <x v="2"/>
    <d v="1899-12-30T08:00:00"/>
    <m/>
    <m/>
    <n v="0"/>
    <n v="65"/>
    <s v="Yes"/>
    <m/>
    <s v="Care plan review"/>
    <s v="appointment_export_2026_06.csv"/>
    <n v="0"/>
    <n v="0"/>
    <x v="3"/>
    <s v="Central"/>
    <s v="Mereana Thompson"/>
    <s v="Regional"/>
    <s v="Mon-Fri 08:30-17:00"/>
    <x v="1"/>
    <n v="7"/>
    <n v="65"/>
    <s v="Primary care"/>
    <s v="Doctor or Nurse Practitioner"/>
    <s v="Matched"/>
    <n v="51"/>
    <n v="0"/>
    <m/>
    <m/>
    <n v="0"/>
    <m/>
    <n v="1"/>
    <n v="0"/>
    <s v="Matches Standard"/>
    <x v="6"/>
    <n v="2026"/>
    <n v="6"/>
    <s v="Ju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1D35AA-A1DE-44A3-A49F-BC19860C8F25}" name="ptServiceWaitTarge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49:B55" firstHeaderRow="1" firstDataRow="1" firstDataCol="1"/>
  <pivotFields count="44">
    <pivotField showAll="0"/>
    <pivotField showAll="0"/>
    <pivotField showAll="0"/>
    <pivotField showAll="0"/>
    <pivotField showAll="0"/>
    <pivotField showAll="0"/>
    <pivotField showAll="0"/>
    <pivotField showAll="0"/>
    <pivotField showAll="0">
      <items count="5">
        <item x="1"/>
        <item x="0"/>
        <item x="2"/>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axis="axisRow" showAll="0" sortType="descending">
      <items count="7">
        <item x="4"/>
        <item x="3"/>
        <item x="1"/>
        <item x="2"/>
        <item x="0"/>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8">
        <item x="0"/>
        <item x="2"/>
        <item x="3"/>
        <item x="4"/>
        <item x="5"/>
        <item x="6"/>
        <item x="1"/>
        <item t="default"/>
      </items>
    </pivotField>
    <pivotField showAll="0"/>
    <pivotField showAll="0"/>
    <pivotField showAll="0"/>
  </pivotFields>
  <rowFields count="1">
    <field x="25"/>
  </rowFields>
  <rowItems count="6">
    <i>
      <x/>
    </i>
    <i>
      <x v="4"/>
    </i>
    <i>
      <x v="3"/>
    </i>
    <i>
      <x v="1"/>
    </i>
    <i>
      <x v="2"/>
    </i>
    <i t="grand">
      <x/>
    </i>
  </rowItems>
  <colItems count="1">
    <i/>
  </colItems>
  <dataFields count="1">
    <dataField name="Wait Target Met" fld="32" subtotal="average" baseField="25" baseItem="0"/>
  </dataFields>
  <formats count="8">
    <format dxfId="38">
      <pivotArea dataOnly="0" labelOnly="1" outline="0" axis="axisValues" fieldPosition="0"/>
    </format>
    <format dxfId="37">
      <pivotArea collapsedLevelsAreSubtotals="1" fieldPosition="0">
        <references count="1">
          <reference field="25" count="1">
            <x v="0"/>
          </reference>
        </references>
      </pivotArea>
    </format>
    <format dxfId="36">
      <pivotArea collapsedLevelsAreSubtotals="1" fieldPosition="0">
        <references count="1">
          <reference field="25" count="1">
            <x v="1"/>
          </reference>
        </references>
      </pivotArea>
    </format>
    <format dxfId="35">
      <pivotArea collapsedLevelsAreSubtotals="1" fieldPosition="0">
        <references count="1">
          <reference field="25" count="1">
            <x v="2"/>
          </reference>
        </references>
      </pivotArea>
    </format>
    <format dxfId="34">
      <pivotArea collapsedLevelsAreSubtotals="1" fieldPosition="0">
        <references count="1">
          <reference field="25" count="1">
            <x v="3"/>
          </reference>
        </references>
      </pivotArea>
    </format>
    <format dxfId="33">
      <pivotArea collapsedLevelsAreSubtotals="1" fieldPosition="0">
        <references count="1">
          <reference field="25" count="1">
            <x v="4"/>
          </reference>
        </references>
      </pivotArea>
    </format>
    <format dxfId="32">
      <pivotArea grandRow="1" outline="0" collapsedLevelsAreSubtotals="1" fieldPosition="0"/>
    </format>
    <format dxfId="31">
      <pivotArea collapsedLevelsAreSubtotals="1" fieldPosition="0">
        <references count="1">
          <reference field="25" count="1">
            <x v="5"/>
          </reference>
        </references>
      </pivotArea>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A59CCD-10BB-411A-8F15-EF8DB417C7DD}"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4">
  <location ref="A27:B32" firstHeaderRow="1" firstDataRow="1" firstDataCol="1"/>
  <pivotFields count="44">
    <pivotField showAll="0"/>
    <pivotField showAll="0"/>
    <pivotField showAll="0"/>
    <pivotField showAll="0"/>
    <pivotField showAll="0"/>
    <pivotField showAll="0"/>
    <pivotField showAll="0"/>
    <pivotField showAll="0"/>
    <pivotField showAll="0">
      <items count="5">
        <item x="1"/>
        <item x="0"/>
        <item x="2"/>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8">
        <item x="0"/>
        <item x="2"/>
        <item x="3"/>
        <item x="4"/>
        <item x="5"/>
        <item x="6"/>
        <item x="1"/>
        <item t="default"/>
      </items>
    </pivotField>
    <pivotField showAll="0"/>
    <pivotField showAll="0"/>
    <pivotField showAll="0"/>
  </pivotFields>
  <rowFields count="1">
    <field x="20"/>
  </rowFields>
  <rowItems count="5">
    <i>
      <x v="3"/>
    </i>
    <i>
      <x v="2"/>
    </i>
    <i>
      <x v="1"/>
    </i>
    <i>
      <x/>
    </i>
    <i t="grand">
      <x/>
    </i>
  </rowItems>
  <colItems count="1">
    <i/>
  </colItems>
  <dataFields count="1">
    <dataField name="ptNoShowClinic" fld="36" subtotal="average" baseField="20" baseItem="0"/>
  </dataFields>
  <formats count="6">
    <format dxfId="44">
      <pivotArea field="20" type="button" dataOnly="0" labelOnly="1" outline="0" axis="axisRow" fieldPosition="0"/>
    </format>
    <format dxfId="43">
      <pivotArea collapsedLevelsAreSubtotals="1" fieldPosition="0">
        <references count="1">
          <reference field="20" count="1">
            <x v="1"/>
          </reference>
        </references>
      </pivotArea>
    </format>
    <format dxfId="42">
      <pivotArea collapsedLevelsAreSubtotals="1" fieldPosition="0">
        <references count="1">
          <reference field="20" count="1">
            <x v="2"/>
          </reference>
        </references>
      </pivotArea>
    </format>
    <format dxfId="41">
      <pivotArea collapsedLevelsAreSubtotals="1" fieldPosition="0">
        <references count="1">
          <reference field="20" count="1">
            <x v="3"/>
          </reference>
        </references>
      </pivotArea>
    </format>
    <format dxfId="40">
      <pivotArea grandRow="1" outline="0" collapsedLevelsAreSubtotals="1" fieldPosition="0"/>
    </format>
    <format dxfId="39">
      <pivotArea collapsedLevelsAreSubtotals="1" fieldPosition="0">
        <references count="1">
          <reference field="20" count="1">
            <x v="0"/>
          </reference>
        </references>
      </pivotArea>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616ACA-D579-4603-9380-02B7860A5FDC}" name="ptMonthly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F12" firstHeaderRow="1" firstDataRow="2" firstDataCol="1"/>
  <pivotFields count="44">
    <pivotField dataField="1" showAll="0"/>
    <pivotField showAll="0"/>
    <pivotField showAll="0"/>
    <pivotField showAll="0"/>
    <pivotField showAll="0"/>
    <pivotField showAll="0"/>
    <pivotField showAll="0"/>
    <pivotField axis="axisCol" showAll="0">
      <items count="5">
        <item x="1"/>
        <item x="0"/>
        <item x="2"/>
        <item x="3"/>
        <item t="default"/>
      </items>
    </pivotField>
    <pivotField showAll="0">
      <items count="5">
        <item x="1"/>
        <item x="0"/>
        <item x="2"/>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mmm yyyy" axis="axisRow" showAll="0" defaultSubtotal="0">
      <items count="7">
        <item x="0"/>
        <item x="2"/>
        <item x="3"/>
        <item x="4"/>
        <item x="5"/>
        <item x="6"/>
        <item x="1"/>
      </items>
    </pivotField>
    <pivotField showAll="0"/>
    <pivotField showAll="0"/>
    <pivotField showAll="0"/>
  </pivotFields>
  <rowFields count="1">
    <field x="40"/>
  </rowFields>
  <rowItems count="8">
    <i>
      <x/>
    </i>
    <i>
      <x v="1"/>
    </i>
    <i>
      <x v="2"/>
    </i>
    <i>
      <x v="3"/>
    </i>
    <i>
      <x v="4"/>
    </i>
    <i>
      <x v="5"/>
    </i>
    <i>
      <x v="6"/>
    </i>
    <i t="grand">
      <x/>
    </i>
  </rowItems>
  <colFields count="1">
    <field x="7"/>
  </colFields>
  <colItems count="5">
    <i>
      <x/>
    </i>
    <i>
      <x v="1"/>
    </i>
    <i>
      <x v="2"/>
    </i>
    <i>
      <x v="3"/>
    </i>
    <i t="grand">
      <x/>
    </i>
  </colItems>
  <dataFields count="1">
    <dataField name="Count of Appointment_ID" fld="0" subtotal="count" baseField="40" baseItem="0" numFmtId="1"/>
  </dataFields>
  <formats count="3">
    <format dxfId="47">
      <pivotArea collapsedLevelsAreSubtotals="1" fieldPosition="0">
        <references count="1">
          <reference field="40" count="0"/>
        </references>
      </pivotArea>
    </format>
    <format dxfId="46">
      <pivotArea dataOnly="0" labelOnly="1" fieldPosition="0">
        <references count="1">
          <reference field="40" count="0"/>
        </references>
      </pivotArea>
    </format>
    <format dxfId="45">
      <pivotArea outline="0" fieldPosition="0">
        <references count="1">
          <reference field="4294967294" count="1">
            <x v="0"/>
          </reference>
        </references>
      </pivotArea>
    </format>
  </formats>
  <chartFormats count="5">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2">
          <reference field="4294967294" count="1" selected="0">
            <x v="0"/>
          </reference>
          <reference field="7" count="1" selected="0">
            <x v="2"/>
          </reference>
        </references>
      </pivotArea>
    </chartFormat>
    <chartFormat chart="4" format="7" series="1">
      <pivotArea type="data" outline="0" fieldPosition="0">
        <references count="2">
          <reference field="4294967294" count="1" selected="0">
            <x v="0"/>
          </reference>
          <reference field="7" count="1" selected="0">
            <x v="3"/>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E9C01B-0232-4A7A-B9C7-D1235C4FF5DA}" name="ptFeeShareClinic"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95:B100" firstHeaderRow="1" firstDataRow="1" firstDataCol="1"/>
  <pivotFields count="44">
    <pivotField showAll="0"/>
    <pivotField showAll="0"/>
    <pivotField showAll="0"/>
    <pivotField showAll="0"/>
    <pivotField showAll="0"/>
    <pivotField showAll="0"/>
    <pivotField showAll="0"/>
    <pivotField showAll="0"/>
    <pivotField showAll="0">
      <items count="5">
        <item x="1"/>
        <item x="0"/>
        <item x="2"/>
        <item x="3"/>
        <item t="default"/>
      </items>
    </pivotField>
    <pivotField numFmtId="166" showAll="0"/>
    <pivotField showAll="0"/>
    <pivotField showAll="0"/>
    <pivotField showAll="0"/>
    <pivotField dataField="1" showAll="0"/>
    <pivotField showAll="0"/>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2"/>
        <item x="3"/>
        <item x="4"/>
        <item x="5"/>
        <item x="6"/>
        <item x="1"/>
        <item t="default"/>
      </items>
    </pivotField>
    <pivotField showAll="0"/>
    <pivotField showAll="0"/>
    <pivotField showAll="0"/>
  </pivotFields>
  <rowFields count="1">
    <field x="20"/>
  </rowFields>
  <rowItems count="5">
    <i>
      <x v="3"/>
    </i>
    <i>
      <x v="2"/>
    </i>
    <i>
      <x v="1"/>
    </i>
    <i>
      <x/>
    </i>
    <i t="grand">
      <x/>
    </i>
  </rowItems>
  <colItems count="1">
    <i/>
  </colItems>
  <dataFields count="1">
    <dataField name="Share of Recorded Fees" fld="13" showDataAs="percentOfTotal" baseField="20" baseItem="0" numFmtId="1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55C9DF-6CBE-4271-9BA3-6B574AC04C55}" name="ptPatientWaitClinic"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70:B75" firstHeaderRow="1" firstDataRow="1" firstDataCol="1"/>
  <pivotFields count="44">
    <pivotField showAll="0"/>
    <pivotField showAll="0"/>
    <pivotField showAll="0"/>
    <pivotField showAll="0"/>
    <pivotField showAll="0"/>
    <pivotField showAll="0"/>
    <pivotField showAll="0"/>
    <pivotField showAll="0"/>
    <pivotField showAll="0">
      <items count="5">
        <item x="1"/>
        <item x="0"/>
        <item x="2"/>
        <item x="3"/>
        <item t="default"/>
      </items>
    </pivotField>
    <pivotField numFmtId="166"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8">
        <item x="0"/>
        <item x="2"/>
        <item x="3"/>
        <item x="4"/>
        <item x="5"/>
        <item x="6"/>
        <item x="1"/>
        <item t="default"/>
      </items>
    </pivotField>
    <pivotField showAll="0"/>
    <pivotField showAll="0"/>
    <pivotField showAll="0"/>
  </pivotFields>
  <rowFields count="1">
    <field x="20"/>
  </rowFields>
  <rowItems count="5">
    <i>
      <x/>
    </i>
    <i>
      <x v="1"/>
    </i>
    <i>
      <x v="3"/>
    </i>
    <i>
      <x v="2"/>
    </i>
    <i t="grand">
      <x/>
    </i>
  </rowItems>
  <colItems count="1">
    <i/>
  </colItems>
  <dataFields count="1">
    <dataField name="Average Wait Minutes" fld="33" subtotal="average" baseField="20" baseItem="0"/>
  </dataFields>
  <formats count="5">
    <format dxfId="52">
      <pivotArea collapsedLevelsAreSubtotals="1" fieldPosition="0">
        <references count="1">
          <reference field="20" count="1">
            <x v="0"/>
          </reference>
        </references>
      </pivotArea>
    </format>
    <format dxfId="51">
      <pivotArea collapsedLevelsAreSubtotals="1" fieldPosition="0">
        <references count="1">
          <reference field="20" count="1">
            <x v="1"/>
          </reference>
        </references>
      </pivotArea>
    </format>
    <format dxfId="50">
      <pivotArea collapsedLevelsAreSubtotals="1" fieldPosition="0">
        <references count="1">
          <reference field="20" count="1">
            <x v="2"/>
          </reference>
        </references>
      </pivotArea>
    </format>
    <format dxfId="49">
      <pivotArea collapsedLevelsAreSubtotals="1" fieldPosition="0">
        <references count="1">
          <reference field="20" count="1">
            <x v="3"/>
          </reference>
        </references>
      </pivotArea>
    </format>
    <format dxfId="48">
      <pivotArea grandRow="1"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EA260693-E49B-4E6E-8606-C66918D8BB3C}" autoFormatId="16" applyNumberFormats="0" applyBorderFormats="0" applyFontFormats="0" applyPatternFormats="0" applyAlignmentFormats="0" applyWidthHeightFormats="0">
  <queryTableRefresh nextId="45">
    <queryTableFields count="44">
      <queryTableField id="1" name="Appointment_ID" tableColumnId="1"/>
      <queryTableField id="2" name="Appointment_Date" tableColumnId="2"/>
      <queryTableField id="3" name="Booking_Date" tableColumnId="3"/>
      <queryTableField id="4" name="Patient_ID" tableColumnId="4"/>
      <queryTableField id="5" name="Clinic_Code" tableColumnId="5"/>
      <queryTableField id="6" name="Service_Code" tableColumnId="6"/>
      <queryTableField id="7" name="Clinician_ID" tableColumnId="7"/>
      <queryTableField id="8" name="Appointment_Status" tableColumnId="8"/>
      <queryTableField id="9" name="Booking_Channel" tableColumnId="9"/>
      <queryTableField id="10" name="Scheduled_Time" tableColumnId="10"/>
      <queryTableField id="11" name="Check_In_Time" tableColumnId="11"/>
      <queryTableField id="12" name="Seen_Time" tableColumnId="12"/>
      <queryTableField id="13" name="Duration_Minutes" tableColumnId="13"/>
      <queryTableField id="14" name="Fee_NZD" tableColumnId="14"/>
      <queryTableField id="15" name="Follow_Up_Required" tableColumnId="15"/>
      <queryTableField id="16" name="Satisfaction_Score" tableColumnId="16"/>
      <queryTableField id="17" name="Notes" tableColumnId="17"/>
      <queryTableField id="18" name="Source_File" tableColumnId="18"/>
      <queryTableField id="19" name="Patient_ID_Missing_Flag" tableColumnId="19"/>
      <queryTableField id="20" name="Service_Code_Missing_Flag" tableColumnId="20"/>
      <queryTableField id="21" name="Clinic_Name" tableColumnId="21"/>
      <queryTableField id="22" name="Region" tableColumnId="22"/>
      <queryTableField id="23" name="Clinic_Manager" tableColumnId="23"/>
      <queryTableField id="24" name="Location_Type" tableColumnId="24"/>
      <queryTableField id="25" name="Operating_Hours" tableColumnId="25"/>
      <queryTableField id="26" name="Service_Name" tableColumnId="26"/>
      <queryTableField id="27" name="Target_Wait_Days" tableColumnId="27"/>
      <queryTableField id="28" name="Standard_Fee_NZD" tableColumnId="28"/>
      <queryTableField id="29" name="Service_Group" tableColumnId="29"/>
      <queryTableField id="30" name="Primary_Role" tableColumnId="30"/>
      <queryTableField id="31" name="Lookup_Match_Status" tableColumnId="31"/>
      <queryTableField id="32" name="Booking_Lead_Days" tableColumnId="32"/>
      <queryTableField id="33" name="Met_Wait_Target_Flag" tableColumnId="33"/>
      <queryTableField id="34" name="Patient_Wait_Minutes" tableColumnId="34"/>
      <queryTableField id="35" name="Seen_Within_30_Min_Flag" tableColumnId="35"/>
      <queryTableField id="36" name="Attendance_Eligible_Flag" tableColumnId="36"/>
      <queryTableField id="37" name="No_Show_Flag" tableColumnId="37"/>
      <queryTableField id="38" name="Fee_Recorded_Flag" tableColumnId="38"/>
      <queryTableField id="39" name="Fee_Variance_NZD" tableColumnId="39"/>
      <queryTableField id="40" name="Fee_Status" tableColumnId="40"/>
      <queryTableField id="41" name="Appointment_Month_Start" tableColumnId="41"/>
      <queryTableField id="42" name="Appointment_Year" tableColumnId="42"/>
      <queryTableField id="43" name="Appointment_Month_Number" tableColumnId="43"/>
      <queryTableField id="44" name="Appointment_Month_Name" tableColumnId="4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_Name" xr10:uid="{F1870676-9D59-4F03-8063-6CB5CD6C7302}" sourceName="Clinic_Name">
  <pivotTables>
    <pivotTable tabId="21" name="ptMonthlyStatus"/>
    <pivotTable tabId="21" name="PivotTable2"/>
    <pivotTable tabId="21" name="ptPatientWaitClinic"/>
    <pivotTable tabId="21" name="ptServiceWaitTarget"/>
  </pivotTables>
  <data>
    <tabular pivotCacheId="1726460253">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Channel" xr10:uid="{86FE1864-5C89-47D5-8061-50423C7ABE7C}" sourceName="Booking_Channel">
  <pivotTables>
    <pivotTable tabId="21" name="ptMonthlyStatus"/>
    <pivotTable tabId="21" name="PivotTable2"/>
    <pivotTable tabId="21" name="ptFeeShareClinic"/>
    <pivotTable tabId="21" name="ptPatientWaitClinic"/>
    <pivotTable tabId="21" name="ptServiceWaitTarget"/>
  </pivotTables>
  <data>
    <tabular pivotCacheId="1726460253">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nic_Name" xr10:uid="{7601B79A-5555-4458-BBCC-6A1777857CCB}" cache="Slicer_Clinic_Name" caption="Clinic_Name" rowHeight="230716"/>
  <slicer name="Booking_Channel" xr10:uid="{BB8EC31F-5DAA-44EA-AAF0-49A5BE1BB8EB}" cache="Slicer_Booking_Channel" caption="Booking_Channel" columnCount="2"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FFAA432-7808-4BA4-BFA9-93BB4C572912}" name="tblAppointments" displayName="tblAppointments" ref="A1:AR955" tableType="queryTable" totalsRowShown="0">
  <autoFilter ref="A1:AR955" xr:uid="{9FFAA432-7808-4BA4-BFA9-93BB4C572912}"/>
  <tableColumns count="44">
    <tableColumn id="1" xr3:uid="{0917E005-EBF3-4DEE-A4EA-067FDF327187}" uniqueName="1" name="Appointment_ID" queryTableFieldId="1" dataDxfId="30"/>
    <tableColumn id="2" xr3:uid="{C8F4DCD2-A83E-460A-9FBD-C886B10165BE}" uniqueName="2" name="Appointment_Date" queryTableFieldId="2" dataDxfId="29"/>
    <tableColumn id="3" xr3:uid="{C71DFA3F-3BB8-432F-B899-38005CE171CD}" uniqueName="3" name="Booking_Date" queryTableFieldId="3" dataDxfId="28"/>
    <tableColumn id="4" xr3:uid="{C199D165-E6CC-42F1-853B-6CBF3F927E90}" uniqueName="4" name="Patient_ID" queryTableFieldId="4" dataDxfId="27"/>
    <tableColumn id="5" xr3:uid="{F3B57F96-E29F-4FA4-9D11-EEFB3FB9D609}" uniqueName="5" name="Clinic_Code" queryTableFieldId="5" dataDxfId="26"/>
    <tableColumn id="6" xr3:uid="{7620AA98-F0E9-40DB-95BC-8464C8890AC8}" uniqueName="6" name="Service_Code" queryTableFieldId="6" dataDxfId="25"/>
    <tableColumn id="7" xr3:uid="{4956B3BC-6952-4634-954A-58CDD581A395}" uniqueName="7" name="Clinician_ID" queryTableFieldId="7" dataDxfId="24"/>
    <tableColumn id="8" xr3:uid="{B09A8521-FB60-4932-A018-DDEF277521BC}" uniqueName="8" name="Appointment_Status" queryTableFieldId="8" dataDxfId="23"/>
    <tableColumn id="9" xr3:uid="{3A2EB624-06E4-4747-82A6-635FF4B2A433}" uniqueName="9" name="Booking_Channel" queryTableFieldId="9" dataDxfId="22"/>
    <tableColumn id="10" xr3:uid="{A7D8C3DE-0CED-4CEE-891A-980749C0ADB8}" uniqueName="10" name="Scheduled_Time" queryTableFieldId="10" dataDxfId="21"/>
    <tableColumn id="11" xr3:uid="{5B59EBC7-F1B8-4C27-9C1E-AC6957DF0FB3}" uniqueName="11" name="Check_In_Time" queryTableFieldId="11" dataDxfId="20"/>
    <tableColumn id="12" xr3:uid="{93225E85-4614-407D-AD9E-3838FD6CA858}" uniqueName="12" name="Seen_Time" queryTableFieldId="12" dataDxfId="19"/>
    <tableColumn id="13" xr3:uid="{289D1F9E-A06F-40B4-872A-296FE296E661}" uniqueName="13" name="Duration_Minutes" queryTableFieldId="13"/>
    <tableColumn id="14" xr3:uid="{7FCDF3ED-8E70-464E-ACFB-F7423002AF38}" uniqueName="14" name="Fee_NZD" queryTableFieldId="14" dataDxfId="18"/>
    <tableColumn id="15" xr3:uid="{5E51AFE0-95DF-4AAB-9D9B-D98CCC90C852}" uniqueName="15" name="Follow_Up_Required" queryTableFieldId="15"/>
    <tableColumn id="16" xr3:uid="{740B2E11-C3D2-4F92-9486-E3CF2670A7B1}" uniqueName="16" name="Satisfaction_Score" queryTableFieldId="16"/>
    <tableColumn id="17" xr3:uid="{2C7C3784-9176-46E4-BA7A-FF9896A4E03D}" uniqueName="17" name="Notes" queryTableFieldId="17" dataDxfId="17"/>
    <tableColumn id="18" xr3:uid="{D0A4AB86-F5E7-4850-85DC-8505E6260B2F}" uniqueName="18" name="Source_File" queryTableFieldId="18" dataDxfId="16"/>
    <tableColumn id="19" xr3:uid="{1BE3DF9E-9A79-4CD4-B8E3-4D90A495B2FE}" uniqueName="19" name="Patient_ID_Missing_Flag" queryTableFieldId="19"/>
    <tableColumn id="20" xr3:uid="{7929C2ED-BF7B-4DDB-ADAD-6489D99EE721}" uniqueName="20" name="Service_Code_Missing_Flag" queryTableFieldId="20"/>
    <tableColumn id="21" xr3:uid="{C7840BAF-ACAF-417D-8930-5B632F5532AE}" uniqueName="21" name="Clinic_Name" queryTableFieldId="21" dataDxfId="15"/>
    <tableColumn id="22" xr3:uid="{4EA83FF5-7D3A-4006-9E8B-A72AD6FCCF1D}" uniqueName="22" name="Region" queryTableFieldId="22" dataDxfId="14"/>
    <tableColumn id="23" xr3:uid="{6CBE7C43-CBB9-4541-8421-E368E773CD80}" uniqueName="23" name="Clinic_Manager" queryTableFieldId="23" dataDxfId="13"/>
    <tableColumn id="24" xr3:uid="{5F01EDB9-5301-47CC-BA80-833426ED13BB}" uniqueName="24" name="Location_Type" queryTableFieldId="24" dataDxfId="12"/>
    <tableColumn id="25" xr3:uid="{8952CA77-E9C3-4832-9903-DE20D57DB721}" uniqueName="25" name="Operating_Hours" queryTableFieldId="25" dataDxfId="11"/>
    <tableColumn id="26" xr3:uid="{24C3BBA9-EE33-4EDA-B094-EE2B5C1EEA00}" uniqueName="26" name="Service_Name" queryTableFieldId="26" dataDxfId="10"/>
    <tableColumn id="27" xr3:uid="{023F637E-99CE-4F28-9BE6-446CC47B231C}" uniqueName="27" name="Target_Wait_Days" queryTableFieldId="27"/>
    <tableColumn id="28" xr3:uid="{F742D159-245E-4A7E-8EF8-47953DFFB2D3}" uniqueName="28" name="Standard_Fee_NZD" queryTableFieldId="28" dataDxfId="9"/>
    <tableColumn id="29" xr3:uid="{969D5468-775D-4E1E-82BB-AD8365298BB9}" uniqueName="29" name="Service_Group" queryTableFieldId="29" dataDxfId="8"/>
    <tableColumn id="30" xr3:uid="{AD7073FF-0BFE-436C-824A-3AFD3AAC1F8D}" uniqueName="30" name="Primary_Role" queryTableFieldId="30" dataDxfId="7"/>
    <tableColumn id="31" xr3:uid="{500A600F-3D01-44C3-90AD-CD65012F95AB}" uniqueName="31" name="Lookup_Match_Status" queryTableFieldId="31" dataDxfId="6"/>
    <tableColumn id="32" xr3:uid="{48269B6E-D5B6-47A3-B465-D1B8804FAC6C}" uniqueName="32" name="Booking_Lead_Days" queryTableFieldId="32"/>
    <tableColumn id="33" xr3:uid="{574AEB36-CB12-46E2-95AF-502214440677}" uniqueName="33" name="Met_Wait_Target_Flag" queryTableFieldId="33"/>
    <tableColumn id="34" xr3:uid="{B548E8E8-976A-4D55-B425-230C2F2FD5DF}" uniqueName="34" name="Patient_Wait_Minutes" queryTableFieldId="34"/>
    <tableColumn id="35" xr3:uid="{DDAAF823-D6BA-4B6B-B4DE-66FF79F1C77A}" uniqueName="35" name="Seen_Within_30_Min_Flag" queryTableFieldId="35"/>
    <tableColumn id="36" xr3:uid="{2B9BF541-DE5D-4000-9C48-7AA17617398A}" uniqueName="36" name="Attendance_Eligible_Flag" queryTableFieldId="36"/>
    <tableColumn id="37" xr3:uid="{AF0212D8-AC64-4D85-A13A-1B2EF7EECDA4}" uniqueName="37" name="No_Show_Flag" queryTableFieldId="37"/>
    <tableColumn id="38" xr3:uid="{7EAFE2B3-49ED-4D26-9481-E0AD8C9D0102}" uniqueName="38" name="Fee_Recorded_Flag" queryTableFieldId="38"/>
    <tableColumn id="39" xr3:uid="{05C5692A-2D49-4066-95C1-BD9DCD9A324E}" uniqueName="39" name="Fee_Variance_NZD" queryTableFieldId="39" dataDxfId="5"/>
    <tableColumn id="40" xr3:uid="{5C8BB930-3966-49F3-8788-C3976CD4F698}" uniqueName="40" name="Fee_Status" queryTableFieldId="40" dataDxfId="4"/>
    <tableColumn id="41" xr3:uid="{B2BAF3A1-C14E-4A20-A6FC-F290F7337AF2}" uniqueName="41" name="Appointment_Month_Start" queryTableFieldId="41" dataDxfId="3"/>
    <tableColumn id="42" xr3:uid="{A7B57808-CF45-4E5C-825C-E433BF282E91}" uniqueName="42" name="Appointment_Year" queryTableFieldId="42"/>
    <tableColumn id="43" xr3:uid="{D065CE61-F969-49B7-ADC6-79E1007472CE}" uniqueName="43" name="Appointment_Month_Number" queryTableFieldId="43"/>
    <tableColumn id="44" xr3:uid="{26D83DAB-91F9-47AE-95B2-BA7A28CB057A}" uniqueName="44" name="Appointment_Month_Name" queryTableFieldId="44"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KPIDefinitionsTable" displayName="KPIDefinitionsTable" ref="A5:G13" totalsRowShown="0">
  <autoFilter ref="A5:G13" xr:uid="{00000000-0009-0000-0100-000002000000}"/>
  <tableColumns count="7">
    <tableColumn id="1" xr3:uid="{00000000-0010-0000-0100-000001000000}" name="KPI"/>
    <tableColumn id="2" xr3:uid="{00000000-0010-0000-0100-000002000000}" name="Definition"/>
    <tableColumn id="3" xr3:uid="{00000000-0010-0000-0100-000003000000}" name="Numerator"/>
    <tableColumn id="4" xr3:uid="{00000000-0010-0000-0100-000004000000}" name="Denominator"/>
    <tableColumn id="5" xr3:uid="{00000000-0010-0000-0100-000005000000}" name="Suggested format"/>
    <tableColumn id="6" xr3:uid="{00000000-0010-0000-0100-000006000000}" name="Why it matters"/>
    <tableColumn id="7" xr3:uid="{00000000-0010-0000-0100-000007000000}" name="Common mistake to avo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taDictionaryTable" displayName="DataDictionaryTable" ref="A5:F29" totalsRowShown="0">
  <autoFilter ref="A5:F29" xr:uid="{00000000-0009-0000-0100-000003000000}"/>
  <tableColumns count="6">
    <tableColumn id="1" xr3:uid="{00000000-0010-0000-0200-000001000000}" name="Dataset"/>
    <tableColumn id="2" xr3:uid="{00000000-0010-0000-0200-000002000000}" name="Field"/>
    <tableColumn id="3" xr3:uid="{00000000-0010-0000-0200-000003000000}" name="Expected type"/>
    <tableColumn id="4" xr3:uid="{00000000-0010-0000-0200-000004000000}" name="Description"/>
    <tableColumn id="5" xr3:uid="{00000000-0010-0000-0200-000005000000}" name="Required?"/>
    <tableColumn id="6" xr3:uid="{00000000-0010-0000-0200-000006000000}" name="Known issue exampl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asksTable" displayName="ProjectTasksTable" ref="A5:F15" totalsRowShown="0">
  <autoFilter ref="A5:F15" xr:uid="{00000000-0009-0000-0100-000001000000}"/>
  <tableColumns count="6">
    <tableColumn id="1" xr3:uid="{00000000-0010-0000-0000-000001000000}" name="Phase"/>
    <tableColumn id="2" xr3:uid="{00000000-0010-0000-0000-000002000000}" name="Task"/>
    <tableColumn id="3" xr3:uid="{00000000-0010-0000-0000-000003000000}" name="What you need to do"/>
    <tableColumn id="4" xr3:uid="{00000000-0010-0000-0000-000004000000}" name="Main Excel skills"/>
    <tableColumn id="5" xr3:uid="{00000000-0010-0000-0000-000005000000}" name="Required output"/>
    <tableColumn id="6" xr3:uid="{00000000-0010-0000-0000-000006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awAppointmentsJan" displayName="RawAppointmentsJan" ref="A5:R168" totalsRowShown="0">
  <autoFilter ref="A5:R168" xr:uid="{00000000-0009-0000-0100-000004000000}"/>
  <tableColumns count="18">
    <tableColumn id="1" xr3:uid="{00000000-0010-0000-0300-000001000000}" name="Appointment_ID"/>
    <tableColumn id="2" xr3:uid="{00000000-0010-0000-0300-000002000000}" name="Appointment_Date"/>
    <tableColumn id="3" xr3:uid="{00000000-0010-0000-0300-000003000000}" name="Booking_Date"/>
    <tableColumn id="4" xr3:uid="{00000000-0010-0000-0300-000004000000}" name="Patient_ID"/>
    <tableColumn id="5" xr3:uid="{00000000-0010-0000-0300-000005000000}" name="Clinic_Code"/>
    <tableColumn id="6" xr3:uid="{00000000-0010-0000-0300-000006000000}" name="Service_Code"/>
    <tableColumn id="7" xr3:uid="{00000000-0010-0000-0300-000007000000}" name="Clinician_ID"/>
    <tableColumn id="8" xr3:uid="{00000000-0010-0000-0300-000008000000}" name="Appointment_Status"/>
    <tableColumn id="9" xr3:uid="{00000000-0010-0000-0300-000009000000}" name="Booking_Channel"/>
    <tableColumn id="10" xr3:uid="{00000000-0010-0000-0300-00000A000000}" name="Scheduled_Time"/>
    <tableColumn id="11" xr3:uid="{00000000-0010-0000-0300-00000B000000}" name="Check_In_Time"/>
    <tableColumn id="12" xr3:uid="{00000000-0010-0000-0300-00000C000000}" name="Seen_Time"/>
    <tableColumn id="13" xr3:uid="{00000000-0010-0000-0300-00000D000000}" name="Duration_Minutes"/>
    <tableColumn id="14" xr3:uid="{00000000-0010-0000-0300-00000E000000}" name="Fee_NZD"/>
    <tableColumn id="15" xr3:uid="{00000000-0010-0000-0300-00000F000000}" name="Follow_Up_Required"/>
    <tableColumn id="16" xr3:uid="{00000000-0010-0000-0300-000010000000}" name="Satisfaction_Score"/>
    <tableColumn id="17" xr3:uid="{00000000-0010-0000-0300-000011000000}" name="Notes"/>
    <tableColumn id="18" xr3:uid="{00000000-0010-0000-0300-000012000000}" name="Source_Fil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awAppointmentsFeb" displayName="RawAppointmentsFeb" ref="A5:R168" totalsRowShown="0">
  <autoFilter ref="A5:R168" xr:uid="{00000000-0009-0000-0100-000005000000}"/>
  <tableColumns count="18">
    <tableColumn id="1" xr3:uid="{00000000-0010-0000-0400-000001000000}" name="Appointment_ID"/>
    <tableColumn id="2" xr3:uid="{00000000-0010-0000-0400-000002000000}" name="Appointment_Date"/>
    <tableColumn id="3" xr3:uid="{00000000-0010-0000-0400-000003000000}" name="Booking_Date"/>
    <tableColumn id="4" xr3:uid="{00000000-0010-0000-0400-000004000000}" name="Patient_ID"/>
    <tableColumn id="5" xr3:uid="{00000000-0010-0000-0400-000005000000}" name="Clinic_Code"/>
    <tableColumn id="6" xr3:uid="{00000000-0010-0000-0400-000006000000}" name="Service_Code"/>
    <tableColumn id="7" xr3:uid="{00000000-0010-0000-0400-000007000000}" name="Clinician_ID"/>
    <tableColumn id="8" xr3:uid="{00000000-0010-0000-0400-000008000000}" name="Appointment_Status"/>
    <tableColumn id="9" xr3:uid="{00000000-0010-0000-0400-000009000000}" name="Booking_Channel"/>
    <tableColumn id="10" xr3:uid="{00000000-0010-0000-0400-00000A000000}" name="Scheduled_Time"/>
    <tableColumn id="11" xr3:uid="{00000000-0010-0000-0400-00000B000000}" name="Check_In_Time"/>
    <tableColumn id="12" xr3:uid="{00000000-0010-0000-0400-00000C000000}" name="Seen_Time"/>
    <tableColumn id="13" xr3:uid="{00000000-0010-0000-0400-00000D000000}" name="Duration_Minutes"/>
    <tableColumn id="14" xr3:uid="{00000000-0010-0000-0400-00000E000000}" name="Fee_NZD"/>
    <tableColumn id="15" xr3:uid="{00000000-0010-0000-0400-00000F000000}" name="Follow_Up_Required"/>
    <tableColumn id="16" xr3:uid="{00000000-0010-0000-0400-000010000000}" name="Satisfaction_Score"/>
    <tableColumn id="17" xr3:uid="{00000000-0010-0000-0400-000011000000}" name="Notes"/>
    <tableColumn id="18" xr3:uid="{00000000-0010-0000-0400-000012000000}" name="Source_File"/>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awAppointmentsMar" displayName="RawAppointmentsMar" ref="A5:R168" totalsRowShown="0">
  <autoFilter ref="A5:R168" xr:uid="{00000000-0009-0000-0100-000006000000}"/>
  <tableColumns count="18">
    <tableColumn id="1" xr3:uid="{00000000-0010-0000-0500-000001000000}" name="Appointment_ID"/>
    <tableColumn id="2" xr3:uid="{00000000-0010-0000-0500-000002000000}" name="Appointment_Date"/>
    <tableColumn id="3" xr3:uid="{00000000-0010-0000-0500-000003000000}" name="Booking_Date"/>
    <tableColumn id="4" xr3:uid="{00000000-0010-0000-0500-000004000000}" name="Patient_ID"/>
    <tableColumn id="5" xr3:uid="{00000000-0010-0000-0500-000005000000}" name="Clinic_Code"/>
    <tableColumn id="6" xr3:uid="{00000000-0010-0000-0500-000006000000}" name="Service_Code"/>
    <tableColumn id="7" xr3:uid="{00000000-0010-0000-0500-000007000000}" name="Clinician_ID"/>
    <tableColumn id="8" xr3:uid="{00000000-0010-0000-0500-000008000000}" name="Appointment_Status"/>
    <tableColumn id="9" xr3:uid="{00000000-0010-0000-0500-000009000000}" name="Booking_Channel"/>
    <tableColumn id="10" xr3:uid="{00000000-0010-0000-0500-00000A000000}" name="Scheduled_Time"/>
    <tableColumn id="11" xr3:uid="{00000000-0010-0000-0500-00000B000000}" name="Check_In_Time"/>
    <tableColumn id="12" xr3:uid="{00000000-0010-0000-0500-00000C000000}" name="Seen_Time"/>
    <tableColumn id="13" xr3:uid="{00000000-0010-0000-0500-00000D000000}" name="Duration_Minutes"/>
    <tableColumn id="14" xr3:uid="{00000000-0010-0000-0500-00000E000000}" name="Fee_NZD"/>
    <tableColumn id="15" xr3:uid="{00000000-0010-0000-0500-00000F000000}" name="Follow_Up_Required"/>
    <tableColumn id="16" xr3:uid="{00000000-0010-0000-0500-000010000000}" name="Satisfaction_Score"/>
    <tableColumn id="17" xr3:uid="{00000000-0010-0000-0500-000011000000}" name="Notes"/>
    <tableColumn id="18" xr3:uid="{00000000-0010-0000-0500-000012000000}" name="Source_Fil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awAppointmentsApr" displayName="RawAppointmentsApr" ref="A5:R168" totalsRowShown="0">
  <autoFilter ref="A5:R168" xr:uid="{00000000-0009-0000-0100-000007000000}"/>
  <tableColumns count="18">
    <tableColumn id="1" xr3:uid="{00000000-0010-0000-0600-000001000000}" name="Appointment_ID"/>
    <tableColumn id="2" xr3:uid="{00000000-0010-0000-0600-000002000000}" name="Appointment_Date"/>
    <tableColumn id="3" xr3:uid="{00000000-0010-0000-0600-000003000000}" name="Booking_Date"/>
    <tableColumn id="4" xr3:uid="{00000000-0010-0000-0600-000004000000}" name="Patient_ID"/>
    <tableColumn id="5" xr3:uid="{00000000-0010-0000-0600-000005000000}" name="Clinic_Code"/>
    <tableColumn id="6" xr3:uid="{00000000-0010-0000-0600-000006000000}" name="Service_Code"/>
    <tableColumn id="7" xr3:uid="{00000000-0010-0000-0600-000007000000}" name="Clinician_ID"/>
    <tableColumn id="8" xr3:uid="{00000000-0010-0000-0600-000008000000}" name="Appointment_Status"/>
    <tableColumn id="9" xr3:uid="{00000000-0010-0000-0600-000009000000}" name="Booking_Channel"/>
    <tableColumn id="10" xr3:uid="{00000000-0010-0000-0600-00000A000000}" name="Scheduled_Time"/>
    <tableColumn id="11" xr3:uid="{00000000-0010-0000-0600-00000B000000}" name="Check_In_Time"/>
    <tableColumn id="12" xr3:uid="{00000000-0010-0000-0600-00000C000000}" name="Seen_Time"/>
    <tableColumn id="13" xr3:uid="{00000000-0010-0000-0600-00000D000000}" name="Duration_Minutes"/>
    <tableColumn id="14" xr3:uid="{00000000-0010-0000-0600-00000E000000}" name="Fee_NZD"/>
    <tableColumn id="15" xr3:uid="{00000000-0010-0000-0600-00000F000000}" name="Follow_Up_Required"/>
    <tableColumn id="16" xr3:uid="{00000000-0010-0000-0600-000010000000}" name="Satisfaction_Score"/>
    <tableColumn id="17" xr3:uid="{00000000-0010-0000-0600-000011000000}" name="Notes"/>
    <tableColumn id="18" xr3:uid="{00000000-0010-0000-0600-000012000000}" name="Source_File"/>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awAppointmentsMay" displayName="RawAppointmentsMay" ref="A5:R168" totalsRowShown="0">
  <autoFilter ref="A5:R168" xr:uid="{00000000-0009-0000-0100-000008000000}"/>
  <tableColumns count="18">
    <tableColumn id="1" xr3:uid="{00000000-0010-0000-0700-000001000000}" name="Appointment_ID"/>
    <tableColumn id="2" xr3:uid="{00000000-0010-0000-0700-000002000000}" name="Appointment_Date"/>
    <tableColumn id="3" xr3:uid="{00000000-0010-0000-0700-000003000000}" name="Booking_Date"/>
    <tableColumn id="4" xr3:uid="{00000000-0010-0000-0700-000004000000}" name="Patient_ID"/>
    <tableColumn id="5" xr3:uid="{00000000-0010-0000-0700-000005000000}" name="Clinic_Code"/>
    <tableColumn id="6" xr3:uid="{00000000-0010-0000-0700-000006000000}" name="Service_Code"/>
    <tableColumn id="7" xr3:uid="{00000000-0010-0000-0700-000007000000}" name="Clinician_ID"/>
    <tableColumn id="8" xr3:uid="{00000000-0010-0000-0700-000008000000}" name="Appointment_Status"/>
    <tableColumn id="9" xr3:uid="{00000000-0010-0000-0700-000009000000}" name="Booking_Channel"/>
    <tableColumn id="10" xr3:uid="{00000000-0010-0000-0700-00000A000000}" name="Scheduled_Time"/>
    <tableColumn id="11" xr3:uid="{00000000-0010-0000-0700-00000B000000}" name="Check_In_Time"/>
    <tableColumn id="12" xr3:uid="{00000000-0010-0000-0700-00000C000000}" name="Seen_Time"/>
    <tableColumn id="13" xr3:uid="{00000000-0010-0000-0700-00000D000000}" name="Duration_Minutes"/>
    <tableColumn id="14" xr3:uid="{00000000-0010-0000-0700-00000E000000}" name="Fee_NZD"/>
    <tableColumn id="15" xr3:uid="{00000000-0010-0000-0700-00000F000000}" name="Follow_Up_Required"/>
    <tableColumn id="16" xr3:uid="{00000000-0010-0000-0700-000010000000}" name="Satisfaction_Score"/>
    <tableColumn id="17" xr3:uid="{00000000-0010-0000-0700-000011000000}" name="Notes"/>
    <tableColumn id="18" xr3:uid="{00000000-0010-0000-0700-000012000000}" name="Source_Fil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RawAppointmentsJun" displayName="RawAppointmentsJun" ref="A5:R168" totalsRowShown="0">
  <autoFilter ref="A5:R168" xr:uid="{00000000-0009-0000-0100-000009000000}"/>
  <tableColumns count="18">
    <tableColumn id="1" xr3:uid="{00000000-0010-0000-0800-000001000000}" name="Appointment_ID"/>
    <tableColumn id="2" xr3:uid="{00000000-0010-0000-0800-000002000000}" name="Appointment_Date"/>
    <tableColumn id="3" xr3:uid="{00000000-0010-0000-0800-000003000000}" name="Booking_Date"/>
    <tableColumn id="4" xr3:uid="{00000000-0010-0000-0800-000004000000}" name="Patient_ID"/>
    <tableColumn id="5" xr3:uid="{00000000-0010-0000-0800-000005000000}" name="Clinic_Code"/>
    <tableColumn id="6" xr3:uid="{00000000-0010-0000-0800-000006000000}" name="Service_Code"/>
    <tableColumn id="7" xr3:uid="{00000000-0010-0000-0800-000007000000}" name="Clinician_ID"/>
    <tableColumn id="8" xr3:uid="{00000000-0010-0000-0800-000008000000}" name="Appointment_Status"/>
    <tableColumn id="9" xr3:uid="{00000000-0010-0000-0800-000009000000}" name="Booking_Channel"/>
    <tableColumn id="10" xr3:uid="{00000000-0010-0000-0800-00000A000000}" name="Scheduled_Time"/>
    <tableColumn id="11" xr3:uid="{00000000-0010-0000-0800-00000B000000}" name="Check_In_Time"/>
    <tableColumn id="12" xr3:uid="{00000000-0010-0000-0800-00000C000000}" name="Seen_Time"/>
    <tableColumn id="13" xr3:uid="{00000000-0010-0000-0800-00000D000000}" name="Duration_Minutes"/>
    <tableColumn id="14" xr3:uid="{00000000-0010-0000-0800-00000E000000}" name="Fee_NZD"/>
    <tableColumn id="15" xr3:uid="{00000000-0010-0000-0800-00000F000000}" name="Follow_Up_Required"/>
    <tableColumn id="16" xr3:uid="{00000000-0010-0000-0800-000010000000}" name="Satisfaction_Score"/>
    <tableColumn id="17" xr3:uid="{00000000-0010-0000-0800-000011000000}" name="Notes"/>
    <tableColumn id="18" xr3:uid="{00000000-0010-0000-0800-000012000000}" name="Source_File"/>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linicsLookupTable" displayName="ClinicsLookupTable" ref="A5:F9" totalsRowShown="0">
  <autoFilter ref="A5:F9" xr:uid="{00000000-0009-0000-0100-00000A000000}"/>
  <tableColumns count="6">
    <tableColumn id="1" xr3:uid="{00000000-0010-0000-0900-000001000000}" name="Clinic_Code"/>
    <tableColumn id="2" xr3:uid="{00000000-0010-0000-0900-000002000000}" name="Clinic_Name"/>
    <tableColumn id="3" xr3:uid="{00000000-0010-0000-0900-000003000000}" name="Region"/>
    <tableColumn id="4" xr3:uid="{00000000-0010-0000-0900-000004000000}" name="Clinic_Manager"/>
    <tableColumn id="5" xr3:uid="{00000000-0010-0000-0900-000005000000}" name="Location_Type"/>
    <tableColumn id="6" xr3:uid="{00000000-0010-0000-0900-000006000000}" name="Operating_Hours"/>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ervicesLookupTable" displayName="ServicesLookupTable" ref="A5:F10" totalsRowShown="0">
  <autoFilter ref="A5:F10" xr:uid="{00000000-0009-0000-0100-00000B000000}"/>
  <tableColumns count="6">
    <tableColumn id="1" xr3:uid="{00000000-0010-0000-0A00-000001000000}" name="Service_Code"/>
    <tableColumn id="2" xr3:uid="{00000000-0010-0000-0A00-000002000000}" name="Service_Name"/>
    <tableColumn id="3" xr3:uid="{00000000-0010-0000-0A00-000003000000}" name="Target_Wait_Days"/>
    <tableColumn id="4" xr3:uid="{00000000-0010-0000-0A00-000004000000}" name="Standard_Fee_NZD"/>
    <tableColumn id="5" xr3:uid="{00000000-0010-0000-0A00-000005000000}" name="Service_Group"/>
    <tableColumn id="6" xr3:uid="{00000000-0010-0000-0A00-000006000000}" name="Primary_Role"/>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CliniciansLookupTable" displayName="CliniciansLookupTable" ref="A5:F45" totalsRowShown="0">
  <autoFilter ref="A5:F45" xr:uid="{00000000-0009-0000-0100-00000C000000}"/>
  <tableColumns count="6">
    <tableColumn id="1" xr3:uid="{00000000-0010-0000-0B00-000001000000}" name="Clinician_ID"/>
    <tableColumn id="2" xr3:uid="{00000000-0010-0000-0B00-000002000000}" name="Clinician_Name"/>
    <tableColumn id="3" xr3:uid="{00000000-0010-0000-0B00-000003000000}" name="Clinic_Code"/>
    <tableColumn id="4" xr3:uid="{00000000-0010-0000-0B00-000004000000}" name="Service_Code"/>
    <tableColumn id="5" xr3:uid="{00000000-0010-0000-0B00-000005000000}" name="Role"/>
    <tableColumn id="6" xr3:uid="{00000000-0010-0000-0B00-000006000000}" name="Employment_Type"/>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PatientsLookupTable" displayName="PatientsLookupTable" ref="A5:G245" totalsRowShown="0">
  <autoFilter ref="A5:G245" xr:uid="{00000000-0009-0000-0100-00000D000000}"/>
  <tableColumns count="7">
    <tableColumn id="1" xr3:uid="{00000000-0010-0000-0C00-000001000000}" name="Patient_ID"/>
    <tableColumn id="2" xr3:uid="{00000000-0010-0000-0C00-000002000000}" name="Birth_Date"/>
    <tableColumn id="3" xr3:uid="{00000000-0010-0000-0C00-000003000000}" name="Gender"/>
    <tableColumn id="4" xr3:uid="{00000000-0010-0000-0C00-000004000000}" name="Ethnicity"/>
    <tableColumn id="5" xr3:uid="{00000000-0010-0000-0C00-000005000000}" name="Deprivation_Quintile"/>
    <tableColumn id="6" xr3:uid="{00000000-0010-0000-0C00-000006000000}" name="Preferred_Contact"/>
    <tableColumn id="7" xr3:uid="{00000000-0010-0000-0C00-000007000000}" name="Enrolled_Clinic_Code"/>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E74EDF-BC4E-4E35-8104-3A0916FA3887}" name="RawAppointmentsJan18" displayName="RawAppointmentsJan18" ref="A5:R168" totalsRowShown="0">
  <autoFilter ref="A5:R168" xr:uid="{00000000-0009-0000-0100-000004000000}"/>
  <sortState xmlns:xlrd2="http://schemas.microsoft.com/office/spreadsheetml/2017/richdata2" ref="A6:R168">
    <sortCondition ref="F5:F168"/>
  </sortState>
  <tableColumns count="18">
    <tableColumn id="1" xr3:uid="{2227164C-A5AA-44D8-A072-C6DC1F86B494}" name="Appointment_ID"/>
    <tableColumn id="2" xr3:uid="{FCD892F9-116C-4211-BA86-3A25306AD7F6}" name="Appointment_Date"/>
    <tableColumn id="3" xr3:uid="{933E9746-C127-4052-B996-D91B381CE687}" name="Booking_Date"/>
    <tableColumn id="4" xr3:uid="{62F87928-6AB4-4271-9E50-CD0DC2C2CEA0}" name="Patient_ID"/>
    <tableColumn id="5" xr3:uid="{37197CFF-53C1-4BB3-8399-1BB735E331D8}" name="Clinic_Code"/>
    <tableColumn id="6" xr3:uid="{8B68A955-B581-4024-8280-3E2799B496B3}" name="Service_Code"/>
    <tableColumn id="7" xr3:uid="{E65552C1-4E3B-447F-AE56-31A947295688}" name="Clinician_ID"/>
    <tableColumn id="8" xr3:uid="{52D97C5E-8881-426F-944A-6117A02D257E}" name="Appointment_Status"/>
    <tableColumn id="9" xr3:uid="{80C1108D-F588-4BEB-944F-02A6A9A982B3}" name="Booking_Channel"/>
    <tableColumn id="10" xr3:uid="{48D846A2-54B3-48D8-8FC1-CC42908D2E08}" name="Scheduled_Time"/>
    <tableColumn id="11" xr3:uid="{BC2B403A-C2D2-4463-B6DC-403F777F6E17}" name="Check_In_Time"/>
    <tableColumn id="12" xr3:uid="{BAF8E83A-BD34-4B5C-A356-ED5F11069B3A}" name="Seen_Time"/>
    <tableColumn id="13" xr3:uid="{C353E7C5-CFB0-448F-B391-872C97390DAA}" name="Duration_Minutes"/>
    <tableColumn id="14" xr3:uid="{4046119B-AC96-4B13-A9FA-222732818608}" name="Fee_NZD"/>
    <tableColumn id="15" xr3:uid="{F56C1A73-DBA6-4430-8883-1B732F2DE3EF}" name="Follow_Up_Required"/>
    <tableColumn id="16" xr3:uid="{7D2C98CB-55F7-470A-9B38-F384216AD238}" name="Satisfaction_Score"/>
    <tableColumn id="17" xr3:uid="{583F8239-0AE4-4603-A95B-546A1BCC59D1}" name="Notes"/>
    <tableColumn id="18" xr3:uid="{53BABA3E-91FE-4AD4-A2B1-A0A659806714}" name="Source_Fi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ointment_Month_Start" xr10:uid="{D7BC83E3-4B05-420C-855B-9CD6D8442DC6}" sourceName="Appointment_Month_Start">
  <pivotTables>
    <pivotTable tabId="21" name="ptMonthlyStatus"/>
    <pivotTable tabId="21" name="PivotTable2"/>
    <pivotTable tabId="21" name="ptFeeShareClinic"/>
    <pivotTable tabId="21" name="ptPatientWaitClinic"/>
    <pivotTable tabId="21" name="ptServiceWaitTarget"/>
  </pivotTables>
  <state minimalRefreshVersion="6" lastRefreshVersion="6" pivotCacheId="172646025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mm yyyy" xr10:uid="{4C0BEC02-0AE7-49C5-A81F-43ADB9B0167C}" cache="NativeTimeline_Appointment_Month_Start" caption="Appointment Month" level="2" selectionLevel="2" scrollPosition="2026-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7"/>
  <sheetViews>
    <sheetView showGridLines="0" workbookViewId="0">
      <selection sqref="A1:H2"/>
    </sheetView>
  </sheetViews>
  <sheetFormatPr defaultRowHeight="14"/>
  <cols>
    <col min="1" max="1" width="8" customWidth="1"/>
    <col min="2" max="2" width="54" customWidth="1"/>
    <col min="3" max="3" width="4" customWidth="1"/>
    <col min="4" max="8" width="22" customWidth="1"/>
  </cols>
  <sheetData>
    <row r="1" spans="1:8" ht="28" customHeight="1">
      <c r="A1" s="49" t="s">
        <v>0</v>
      </c>
      <c r="B1" s="49"/>
      <c r="C1" s="49"/>
      <c r="D1" s="49"/>
      <c r="E1" s="49"/>
      <c r="F1" s="49"/>
      <c r="G1" s="49"/>
      <c r="H1" s="49"/>
    </row>
    <row r="2" spans="1:8" ht="28" customHeight="1">
      <c r="A2" s="49"/>
      <c r="B2" s="49"/>
      <c r="C2" s="49"/>
      <c r="D2" s="49"/>
      <c r="E2" s="49"/>
      <c r="F2" s="49"/>
      <c r="G2" s="49"/>
      <c r="H2" s="49"/>
    </row>
    <row r="3" spans="1:8" ht="25" customHeight="1">
      <c r="A3" s="50" t="s">
        <v>1</v>
      </c>
      <c r="B3" s="50"/>
      <c r="C3" s="50"/>
      <c r="D3" s="50"/>
      <c r="E3" s="50"/>
      <c r="F3" s="50"/>
      <c r="G3" s="50"/>
      <c r="H3" s="50"/>
    </row>
    <row r="4" spans="1:8" ht="25" customHeight="1">
      <c r="A4" s="50"/>
      <c r="B4" s="50"/>
      <c r="C4" s="50"/>
      <c r="D4" s="50"/>
      <c r="E4" s="50"/>
      <c r="F4" s="50"/>
      <c r="G4" s="50"/>
      <c r="H4" s="50"/>
    </row>
    <row r="5" spans="1:8" ht="14.5">
      <c r="A5" s="2"/>
      <c r="B5" s="2"/>
      <c r="C5" s="2"/>
      <c r="D5" s="2"/>
      <c r="E5" s="2"/>
      <c r="F5" s="2"/>
      <c r="G5" s="2"/>
      <c r="H5" s="2"/>
    </row>
    <row r="6" spans="1:8" ht="14.5">
      <c r="A6" s="51" t="s">
        <v>2</v>
      </c>
      <c r="B6" s="51"/>
      <c r="C6" s="51"/>
      <c r="D6" s="51"/>
      <c r="E6" s="51"/>
      <c r="F6" s="51"/>
      <c r="G6" s="51"/>
      <c r="H6" s="51"/>
    </row>
    <row r="7" spans="1:8">
      <c r="A7" s="52" t="s">
        <v>3</v>
      </c>
      <c r="B7" s="52"/>
      <c r="C7" s="52"/>
      <c r="D7" s="52"/>
      <c r="E7" s="52"/>
      <c r="F7" s="52"/>
      <c r="G7" s="52"/>
      <c r="H7" s="52"/>
    </row>
    <row r="8" spans="1:8">
      <c r="A8" s="52"/>
      <c r="B8" s="52"/>
      <c r="C8" s="52"/>
      <c r="D8" s="52"/>
      <c r="E8" s="52"/>
      <c r="F8" s="52"/>
      <c r="G8" s="52"/>
      <c r="H8" s="52"/>
    </row>
    <row r="9" spans="1:8">
      <c r="A9" s="52"/>
      <c r="B9" s="52"/>
      <c r="C9" s="52"/>
      <c r="D9" s="52"/>
      <c r="E9" s="52"/>
      <c r="F9" s="52"/>
      <c r="G9" s="52"/>
      <c r="H9" s="52"/>
    </row>
    <row r="10" spans="1:8">
      <c r="A10" s="52"/>
      <c r="B10" s="52"/>
      <c r="C10" s="52"/>
      <c r="D10" s="52"/>
      <c r="E10" s="52"/>
      <c r="F10" s="52"/>
      <c r="G10" s="52"/>
      <c r="H10" s="52"/>
    </row>
    <row r="11" spans="1:8" ht="14.5">
      <c r="A11" s="2"/>
      <c r="B11" s="2"/>
      <c r="C11" s="2"/>
      <c r="D11" s="2"/>
      <c r="E11" s="2"/>
      <c r="F11" s="2"/>
      <c r="G11" s="2"/>
      <c r="H11" s="2"/>
    </row>
    <row r="12" spans="1:8" ht="14.5">
      <c r="A12" s="51" t="s">
        <v>4</v>
      </c>
      <c r="B12" s="51"/>
      <c r="C12" s="51"/>
      <c r="D12" s="51"/>
      <c r="E12" s="51"/>
      <c r="F12" s="51"/>
      <c r="G12" s="51"/>
      <c r="H12" s="51"/>
    </row>
    <row r="13" spans="1:8" ht="29">
      <c r="A13" s="3" t="s">
        <v>5</v>
      </c>
      <c r="B13" s="4" t="s">
        <v>6</v>
      </c>
      <c r="C13" s="2"/>
      <c r="D13" s="53" t="s">
        <v>7</v>
      </c>
      <c r="E13" s="53"/>
      <c r="F13" s="53"/>
      <c r="G13" s="53"/>
      <c r="H13" s="53"/>
    </row>
    <row r="14" spans="1:8" ht="29">
      <c r="A14" s="3" t="s">
        <v>8</v>
      </c>
      <c r="B14" s="4" t="s">
        <v>9</v>
      </c>
      <c r="C14" s="2"/>
      <c r="D14" s="54" t="s">
        <v>10</v>
      </c>
      <c r="E14" s="54"/>
      <c r="F14" s="54"/>
      <c r="G14" s="54"/>
      <c r="H14" s="54"/>
    </row>
    <row r="15" spans="1:8" ht="14.5">
      <c r="A15" s="3" t="s">
        <v>11</v>
      </c>
      <c r="B15" s="4" t="s">
        <v>12</v>
      </c>
      <c r="C15" s="2"/>
      <c r="D15" s="54" t="s">
        <v>13</v>
      </c>
      <c r="E15" s="54"/>
      <c r="F15" s="54"/>
      <c r="G15" s="54"/>
      <c r="H15" s="54"/>
    </row>
    <row r="16" spans="1:8" ht="14.5">
      <c r="A16" s="3" t="s">
        <v>14</v>
      </c>
      <c r="B16" s="4" t="s">
        <v>15</v>
      </c>
      <c r="C16" s="2"/>
      <c r="D16" s="54" t="s">
        <v>16</v>
      </c>
      <c r="E16" s="54"/>
      <c r="F16" s="54"/>
      <c r="G16" s="54"/>
      <c r="H16" s="54"/>
    </row>
    <row r="17" spans="1:8" ht="29">
      <c r="A17" s="3" t="s">
        <v>17</v>
      </c>
      <c r="B17" s="4" t="s">
        <v>18</v>
      </c>
      <c r="C17" s="2"/>
      <c r="D17" s="54" t="s">
        <v>19</v>
      </c>
      <c r="E17" s="54"/>
      <c r="F17" s="54"/>
      <c r="G17" s="54"/>
      <c r="H17" s="54"/>
    </row>
    <row r="18" spans="1:8" ht="14.5">
      <c r="A18" s="2"/>
      <c r="B18" s="2"/>
      <c r="C18" s="2"/>
      <c r="D18" s="54" t="s">
        <v>20</v>
      </c>
      <c r="E18" s="54"/>
      <c r="F18" s="54"/>
      <c r="G18" s="54"/>
      <c r="H18" s="54"/>
    </row>
    <row r="19" spans="1:8" ht="14.5">
      <c r="A19" s="2"/>
      <c r="B19" s="2"/>
      <c r="C19" s="2"/>
      <c r="D19" s="2"/>
      <c r="E19" s="2"/>
      <c r="F19" s="2"/>
      <c r="G19" s="2"/>
      <c r="H19" s="2"/>
    </row>
    <row r="20" spans="1:8" ht="14.5">
      <c r="A20" s="51" t="s">
        <v>21</v>
      </c>
      <c r="B20" s="51"/>
      <c r="C20" s="51"/>
      <c r="D20" s="51" t="s">
        <v>22</v>
      </c>
      <c r="E20" s="51"/>
      <c r="F20" s="51"/>
      <c r="G20" s="51"/>
      <c r="H20" s="51"/>
    </row>
    <row r="21" spans="1:8" ht="14.5">
      <c r="A21" s="5" t="s">
        <v>5</v>
      </c>
      <c r="B21" s="4" t="s">
        <v>23</v>
      </c>
      <c r="C21" s="2"/>
      <c r="D21" s="55" t="s">
        <v>24</v>
      </c>
      <c r="E21" s="55"/>
      <c r="F21" s="55"/>
      <c r="G21" s="55"/>
      <c r="H21" s="55"/>
    </row>
    <row r="22" spans="1:8" ht="14.5">
      <c r="A22" s="5" t="s">
        <v>8</v>
      </c>
      <c r="B22" s="4" t="s">
        <v>25</v>
      </c>
      <c r="C22" s="2"/>
      <c r="D22" s="55" t="s">
        <v>26</v>
      </c>
      <c r="E22" s="55"/>
      <c r="F22" s="55"/>
      <c r="G22" s="55"/>
      <c r="H22" s="55"/>
    </row>
    <row r="23" spans="1:8" ht="29">
      <c r="A23" s="5" t="s">
        <v>11</v>
      </c>
      <c r="B23" s="4" t="s">
        <v>27</v>
      </c>
      <c r="C23" s="2"/>
      <c r="D23" s="55" t="s">
        <v>28</v>
      </c>
      <c r="E23" s="55"/>
      <c r="F23" s="55"/>
      <c r="G23" s="55"/>
      <c r="H23" s="55"/>
    </row>
    <row r="24" spans="1:8" ht="14.5">
      <c r="A24" s="5" t="s">
        <v>14</v>
      </c>
      <c r="B24" s="4" t="s">
        <v>29</v>
      </c>
      <c r="C24" s="2"/>
      <c r="D24" s="55" t="s">
        <v>30</v>
      </c>
      <c r="E24" s="55"/>
      <c r="F24" s="55"/>
      <c r="G24" s="55"/>
      <c r="H24" s="55"/>
    </row>
    <row r="25" spans="1:8" ht="14.5">
      <c r="A25" s="5" t="s">
        <v>17</v>
      </c>
      <c r="B25" s="4" t="s">
        <v>31</v>
      </c>
      <c r="C25" s="2"/>
      <c r="D25" s="55" t="s">
        <v>32</v>
      </c>
      <c r="E25" s="55"/>
      <c r="F25" s="55"/>
      <c r="G25" s="55"/>
      <c r="H25" s="55"/>
    </row>
    <row r="26" spans="1:8" ht="29">
      <c r="A26" s="5" t="s">
        <v>33</v>
      </c>
      <c r="B26" s="4" t="s">
        <v>34</v>
      </c>
      <c r="C26" s="2"/>
      <c r="D26" s="55" t="s">
        <v>35</v>
      </c>
      <c r="E26" s="55"/>
      <c r="F26" s="55"/>
      <c r="G26" s="55"/>
      <c r="H26" s="55"/>
    </row>
    <row r="27" spans="1:8" ht="14.5">
      <c r="A27" s="5" t="s">
        <v>36</v>
      </c>
      <c r="B27" s="4" t="s">
        <v>37</v>
      </c>
      <c r="C27" s="2"/>
      <c r="D27" s="55" t="s">
        <v>38</v>
      </c>
      <c r="E27" s="55"/>
      <c r="F27" s="55"/>
      <c r="G27" s="55"/>
      <c r="H27" s="55"/>
    </row>
  </sheetData>
  <mergeCells count="19">
    <mergeCell ref="D24:H24"/>
    <mergeCell ref="D25:H25"/>
    <mergeCell ref="D26:H26"/>
    <mergeCell ref="D27:H27"/>
    <mergeCell ref="D18:H18"/>
    <mergeCell ref="A20:H20"/>
    <mergeCell ref="D21:H21"/>
    <mergeCell ref="D22:H22"/>
    <mergeCell ref="D23:H23"/>
    <mergeCell ref="D13:H13"/>
    <mergeCell ref="D14:H14"/>
    <mergeCell ref="D15:H15"/>
    <mergeCell ref="D16:H16"/>
    <mergeCell ref="D17:H17"/>
    <mergeCell ref="A1:H2"/>
    <mergeCell ref="A3:H4"/>
    <mergeCell ref="A6:H6"/>
    <mergeCell ref="A7:H10"/>
    <mergeCell ref="A12:H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FEED2-7E9B-43D4-B2A3-25FBA708EA0B}">
  <dimension ref="A1:P10"/>
  <sheetViews>
    <sheetView showGridLines="0" workbookViewId="0">
      <selection activeCell="Q28" sqref="Q28"/>
    </sheetView>
  </sheetViews>
  <sheetFormatPr defaultRowHeight="14"/>
  <cols>
    <col min="1" max="16" width="10.58203125" customWidth="1"/>
  </cols>
  <sheetData>
    <row r="1" spans="1:16">
      <c r="A1" s="44" t="s">
        <v>2673</v>
      </c>
      <c r="B1" s="44"/>
      <c r="C1" s="44"/>
      <c r="D1" s="44"/>
      <c r="E1" s="44"/>
      <c r="F1" s="44"/>
      <c r="G1" s="44"/>
      <c r="H1" s="44"/>
      <c r="I1" s="44"/>
      <c r="J1" s="44"/>
      <c r="K1" s="44"/>
      <c r="L1" s="44"/>
      <c r="M1" s="44"/>
      <c r="N1" s="44"/>
      <c r="O1" s="44"/>
      <c r="P1" s="44"/>
    </row>
    <row r="2" spans="1:16">
      <c r="A2" s="44"/>
      <c r="B2" s="44"/>
      <c r="C2" s="44"/>
      <c r="D2" s="44"/>
      <c r="E2" s="44"/>
      <c r="F2" s="44"/>
      <c r="G2" s="44"/>
      <c r="H2" s="44"/>
      <c r="I2" s="44"/>
      <c r="J2" s="44"/>
      <c r="K2" s="44"/>
      <c r="L2" s="44"/>
      <c r="M2" s="44"/>
      <c r="N2" s="44"/>
      <c r="O2" s="44"/>
      <c r="P2" s="44"/>
    </row>
    <row r="3" spans="1:16">
      <c r="A3" s="45" t="s">
        <v>2674</v>
      </c>
      <c r="B3" s="45"/>
      <c r="C3" s="45"/>
      <c r="D3" s="45"/>
      <c r="E3" s="45"/>
      <c r="F3" s="45"/>
      <c r="G3" s="45"/>
      <c r="H3" s="45"/>
      <c r="I3" s="45"/>
      <c r="J3" s="45"/>
      <c r="K3" s="45"/>
      <c r="L3" s="45"/>
      <c r="M3" s="45"/>
      <c r="N3" s="45"/>
      <c r="O3" s="45"/>
      <c r="P3" s="45"/>
    </row>
    <row r="5" spans="1:16">
      <c r="A5" s="31" t="s">
        <v>106</v>
      </c>
      <c r="B5" s="31"/>
      <c r="C5" s="31"/>
      <c r="D5" s="31"/>
      <c r="E5" s="31" t="s">
        <v>2655</v>
      </c>
      <c r="F5" s="31"/>
      <c r="G5" s="31"/>
      <c r="H5" s="31"/>
      <c r="I5" s="31" t="s">
        <v>120</v>
      </c>
      <c r="J5" s="31"/>
      <c r="K5" s="31"/>
      <c r="L5" s="31"/>
      <c r="M5" s="31" t="s">
        <v>2658</v>
      </c>
      <c r="N5" s="31"/>
      <c r="O5" s="31"/>
      <c r="P5" s="31"/>
    </row>
    <row r="6" spans="1:16" ht="25">
      <c r="A6" s="46">
        <f>KPI_Summary!B3</f>
        <v>954</v>
      </c>
      <c r="B6" s="47"/>
      <c r="C6" s="47"/>
      <c r="D6" s="48"/>
      <c r="E6" s="46">
        <f>KPI_Summary!E3</f>
        <v>666</v>
      </c>
      <c r="F6" s="47"/>
      <c r="G6" s="47"/>
      <c r="H6" s="48"/>
      <c r="I6" s="38">
        <f>KPI_Summary!B6</f>
        <v>0.155893536121673</v>
      </c>
      <c r="J6" s="39"/>
      <c r="K6" s="39"/>
      <c r="L6" s="40"/>
      <c r="M6" s="38">
        <f>KPI_Summary!H6</f>
        <v>0.3086021505376344</v>
      </c>
      <c r="N6" s="39"/>
      <c r="O6" s="39"/>
      <c r="P6" s="40"/>
    </row>
    <row r="9" spans="1:16">
      <c r="A9" s="31" t="s">
        <v>2675</v>
      </c>
      <c r="B9" s="31"/>
      <c r="C9" s="31"/>
      <c r="D9" s="31"/>
      <c r="E9" s="31" t="s">
        <v>2660</v>
      </c>
      <c r="F9" s="31"/>
      <c r="G9" s="31"/>
      <c r="H9" s="31"/>
      <c r="I9" s="31" t="s">
        <v>150</v>
      </c>
      <c r="J9" s="31"/>
      <c r="K9" s="31"/>
      <c r="L9" s="31"/>
      <c r="M9" s="31" t="s">
        <v>2662</v>
      </c>
      <c r="N9" s="31"/>
      <c r="O9" s="31"/>
      <c r="P9" s="31"/>
    </row>
    <row r="10" spans="1:16" ht="25">
      <c r="A10" s="35">
        <f>KPI_Summary!B9</f>
        <v>19.695121951219512</v>
      </c>
      <c r="B10" s="36"/>
      <c r="C10" s="36"/>
      <c r="D10" s="37"/>
      <c r="E10" s="38">
        <f>KPI_Summary!E9</f>
        <v>0.79790940766550522</v>
      </c>
      <c r="F10" s="39"/>
      <c r="G10" s="39"/>
      <c r="H10" s="40"/>
      <c r="I10" s="41">
        <f>KPI_Summary!H9</f>
        <v>3.8284023668639051</v>
      </c>
      <c r="J10" s="42"/>
      <c r="K10" s="42"/>
      <c r="L10" s="43"/>
      <c r="M10" s="32">
        <f>KPI_Summary!B12</f>
        <v>96335</v>
      </c>
      <c r="N10" s="33"/>
      <c r="O10" s="33"/>
      <c r="P10" s="34"/>
    </row>
  </sheetData>
  <mergeCells count="18">
    <mergeCell ref="I5:L5"/>
    <mergeCell ref="I6:L6"/>
    <mergeCell ref="M5:P5"/>
    <mergeCell ref="M6:P6"/>
    <mergeCell ref="A1:P2"/>
    <mergeCell ref="A3:P3"/>
    <mergeCell ref="A5:D5"/>
    <mergeCell ref="A6:D6"/>
    <mergeCell ref="E5:H5"/>
    <mergeCell ref="E6:H6"/>
    <mergeCell ref="M9:P9"/>
    <mergeCell ref="M10:P10"/>
    <mergeCell ref="A9:D9"/>
    <mergeCell ref="A10:D10"/>
    <mergeCell ref="E9:H9"/>
    <mergeCell ref="E10:H10"/>
    <mergeCell ref="I9:L9"/>
    <mergeCell ref="I10:L10"/>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B03BA-9D6C-4E1D-8CC8-940D3FA059D5}">
  <dimension ref="A1:H12"/>
  <sheetViews>
    <sheetView workbookViewId="0">
      <selection activeCell="H10" sqref="H10"/>
    </sheetView>
  </sheetViews>
  <sheetFormatPr defaultRowHeight="14"/>
  <cols>
    <col min="1" max="1" width="40.75" bestFit="1" customWidth="1"/>
    <col min="2" max="2" width="16.58203125" bestFit="1" customWidth="1"/>
    <col min="4" max="4" width="24.08203125" bestFit="1" customWidth="1"/>
    <col min="7" max="7" width="23.25" bestFit="1" customWidth="1"/>
    <col min="8" max="8" width="10.33203125" bestFit="1" customWidth="1"/>
  </cols>
  <sheetData>
    <row r="1" spans="1:8" ht="25">
      <c r="A1" s="16" t="s">
        <v>2654</v>
      </c>
      <c r="B1" s="17"/>
      <c r="C1" s="17"/>
      <c r="D1" s="17"/>
    </row>
    <row r="3" spans="1:8">
      <c r="A3" s="19" t="s">
        <v>106</v>
      </c>
      <c r="B3" s="18">
        <f>ROWS(tblAppointments[Appointment_ID])</f>
        <v>954</v>
      </c>
      <c r="D3" s="19" t="s">
        <v>2655</v>
      </c>
      <c r="E3" s="18">
        <f>COUNTIF(tblAppointments[Appointment_Status],"Attended")</f>
        <v>666</v>
      </c>
      <c r="G3" s="19" t="s">
        <v>2656</v>
      </c>
      <c r="H3" s="18">
        <f>COUNTIF(tblAppointments[Appointment_Status],"No Show")</f>
        <v>123</v>
      </c>
    </row>
    <row r="6" spans="1:8">
      <c r="A6" s="19" t="s">
        <v>120</v>
      </c>
      <c r="B6" s="20">
        <f>SUM(tblAppointments[No_Show_Flag])/SUM(tblAppointments[Attendance_Eligible_Flag])</f>
        <v>0.155893536121673</v>
      </c>
      <c r="D6" s="19" t="s">
        <v>2657</v>
      </c>
      <c r="E6" s="18">
        <f>AVERAGE(tblAppointments[Booking_Lead_Days])</f>
        <v>27.812101910828027</v>
      </c>
      <c r="G6" s="19" t="s">
        <v>2658</v>
      </c>
      <c r="H6" s="20">
        <f>AVERAGE(tblAppointments[Met_Wait_Target_Flag])</f>
        <v>0.3086021505376344</v>
      </c>
    </row>
    <row r="9" spans="1:8">
      <c r="A9" s="19" t="s">
        <v>2659</v>
      </c>
      <c r="B9" s="21">
        <f>AVERAGE(tblAppointments[Patient_Wait_Minutes])</f>
        <v>19.695121951219512</v>
      </c>
      <c r="D9" s="19" t="s">
        <v>2660</v>
      </c>
      <c r="E9" s="18">
        <f>AVERAGE(tblAppointments[Seen_Within_30_Min_Flag])</f>
        <v>0.79790940766550522</v>
      </c>
      <c r="G9" s="19" t="s">
        <v>2661</v>
      </c>
      <c r="H9" s="21">
        <f>AVERAGE(tblAppointments[Satisfaction_Score])</f>
        <v>3.8284023668639051</v>
      </c>
    </row>
    <row r="12" spans="1:8">
      <c r="A12" s="19" t="s">
        <v>2662</v>
      </c>
      <c r="B12" s="22">
        <f>SUM(tblAppointments[Fee_NZD])</f>
        <v>96335</v>
      </c>
      <c r="D12" s="19" t="s">
        <v>2663</v>
      </c>
      <c r="E12" s="20">
        <f>AVERAGE(tblAppointments[Fee_Recorded_Flag])</f>
        <v>0.98742138364779874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73434-6DEE-445F-BE02-ECEAF64E7FDA}">
  <dimension ref="A1:AR955"/>
  <sheetViews>
    <sheetView topLeftCell="S2" workbookViewId="0">
      <selection activeCell="W11" sqref="W11"/>
    </sheetView>
  </sheetViews>
  <sheetFormatPr defaultRowHeight="14"/>
  <cols>
    <col min="1" max="1" width="17.08203125" bestFit="1" customWidth="1"/>
    <col min="2" max="2" width="19.5" bestFit="1" customWidth="1"/>
    <col min="3" max="3" width="15.58203125" bestFit="1" customWidth="1"/>
    <col min="4" max="4" width="12.08203125" bestFit="1" customWidth="1"/>
    <col min="5" max="5" width="13.75" bestFit="1" customWidth="1"/>
    <col min="6" max="6" width="15.75" bestFit="1" customWidth="1"/>
    <col min="7" max="7" width="13.5" bestFit="1" customWidth="1"/>
    <col min="8" max="8" width="21" bestFit="1" customWidth="1"/>
    <col min="9" max="9" width="18.83203125" bestFit="1" customWidth="1"/>
    <col min="10" max="10" width="18" bestFit="1" customWidth="1"/>
    <col min="11" max="11" width="16.75" bestFit="1" customWidth="1"/>
    <col min="12" max="12" width="13" bestFit="1" customWidth="1"/>
    <col min="13" max="13" width="18.83203125" bestFit="1" customWidth="1"/>
    <col min="14" max="14" width="12.33203125" style="14" bestFit="1" customWidth="1"/>
    <col min="15" max="15" width="21.75" bestFit="1" customWidth="1"/>
    <col min="16" max="16" width="19.83203125" bestFit="1" customWidth="1"/>
    <col min="17" max="17" width="26.08203125" bestFit="1" customWidth="1"/>
    <col min="18" max="18" width="28.75" bestFit="1" customWidth="1"/>
    <col min="19" max="19" width="25.08203125" bestFit="1" customWidth="1"/>
    <col min="20" max="20" width="28.75" bestFit="1" customWidth="1"/>
    <col min="21" max="21" width="31.83203125" bestFit="1" customWidth="1"/>
    <col min="22" max="22" width="9.33203125" bestFit="1" customWidth="1"/>
    <col min="23" max="23" width="17.33203125" bestFit="1" customWidth="1"/>
    <col min="24" max="24" width="16.08203125" bestFit="1" customWidth="1"/>
    <col min="25" max="25" width="18.33203125" bestFit="1" customWidth="1"/>
    <col min="26" max="26" width="18.83203125" bestFit="1" customWidth="1"/>
    <col min="27" max="27" width="19" bestFit="1" customWidth="1"/>
    <col min="28" max="28" width="21.58203125" style="14" bestFit="1" customWidth="1"/>
    <col min="29" max="29" width="18.25" bestFit="1" customWidth="1"/>
    <col min="30" max="30" width="24" bestFit="1" customWidth="1"/>
    <col min="31" max="31" width="22.83203125" bestFit="1" customWidth="1"/>
    <col min="32" max="32" width="21.25" bestFit="1" customWidth="1"/>
    <col min="33" max="33" width="23" bestFit="1" customWidth="1"/>
    <col min="34" max="34" width="22.33203125" bestFit="1" customWidth="1"/>
    <col min="35" max="35" width="26.5" bestFit="1" customWidth="1"/>
    <col min="36" max="36" width="25.75" bestFit="1" customWidth="1"/>
    <col min="37" max="37" width="16.25" bestFit="1" customWidth="1"/>
    <col min="38" max="38" width="21.08203125" bestFit="1" customWidth="1"/>
    <col min="39" max="39" width="21.25" style="14" bestFit="1" customWidth="1"/>
    <col min="40" max="40" width="18.75" bestFit="1" customWidth="1"/>
    <col min="41" max="41" width="26.33203125" bestFit="1" customWidth="1"/>
    <col min="42" max="42" width="19.5" bestFit="1" customWidth="1"/>
    <col min="43" max="43" width="29.25" bestFit="1" customWidth="1"/>
    <col min="44" max="44" width="27.08203125" bestFit="1" customWidth="1"/>
  </cols>
  <sheetData>
    <row r="1" spans="1:44">
      <c r="A1" t="s">
        <v>166</v>
      </c>
      <c r="B1" t="s">
        <v>171</v>
      </c>
      <c r="C1" t="s">
        <v>175</v>
      </c>
      <c r="D1" t="s">
        <v>178</v>
      </c>
      <c r="E1" t="s">
        <v>181</v>
      </c>
      <c r="F1" t="s">
        <v>184</v>
      </c>
      <c r="G1" t="s">
        <v>187</v>
      </c>
      <c r="H1" t="s">
        <v>190</v>
      </c>
      <c r="I1" t="s">
        <v>193</v>
      </c>
      <c r="J1" t="s">
        <v>197</v>
      </c>
      <c r="K1" t="s">
        <v>201</v>
      </c>
      <c r="L1" t="s">
        <v>205</v>
      </c>
      <c r="M1" t="s">
        <v>207</v>
      </c>
      <c r="N1" s="14" t="s">
        <v>211</v>
      </c>
      <c r="O1" t="s">
        <v>215</v>
      </c>
      <c r="P1" t="s">
        <v>219</v>
      </c>
      <c r="Q1" t="s">
        <v>222</v>
      </c>
      <c r="R1" t="s">
        <v>225</v>
      </c>
      <c r="S1" t="s">
        <v>2627</v>
      </c>
      <c r="T1" t="s">
        <v>2628</v>
      </c>
      <c r="U1" t="s">
        <v>231</v>
      </c>
      <c r="V1" t="s">
        <v>234</v>
      </c>
      <c r="W1" t="s">
        <v>2282</v>
      </c>
      <c r="X1" t="s">
        <v>2283</v>
      </c>
      <c r="Y1" t="s">
        <v>2284</v>
      </c>
      <c r="Z1" t="s">
        <v>2303</v>
      </c>
      <c r="AA1" t="s">
        <v>238</v>
      </c>
      <c r="AB1" s="14" t="s">
        <v>241</v>
      </c>
      <c r="AC1" t="s">
        <v>2304</v>
      </c>
      <c r="AD1" t="s">
        <v>2305</v>
      </c>
      <c r="AE1" t="s">
        <v>2629</v>
      </c>
      <c r="AF1" t="s">
        <v>2630</v>
      </c>
      <c r="AG1" t="s">
        <v>2631</v>
      </c>
      <c r="AH1" t="s">
        <v>2632</v>
      </c>
      <c r="AI1" t="s">
        <v>2633</v>
      </c>
      <c r="AJ1" t="s">
        <v>2634</v>
      </c>
      <c r="AK1" t="s">
        <v>2635</v>
      </c>
      <c r="AL1" t="s">
        <v>2636</v>
      </c>
      <c r="AM1" s="14" t="s">
        <v>2637</v>
      </c>
      <c r="AN1" t="s">
        <v>2638</v>
      </c>
      <c r="AO1" t="s">
        <v>2639</v>
      </c>
      <c r="AP1" t="s">
        <v>2640</v>
      </c>
      <c r="AQ1" t="s">
        <v>2641</v>
      </c>
      <c r="AR1" t="s">
        <v>2642</v>
      </c>
    </row>
    <row r="2" spans="1:44">
      <c r="A2" t="s">
        <v>251</v>
      </c>
      <c r="B2" s="12">
        <v>46028</v>
      </c>
      <c r="C2" s="12">
        <v>46017</v>
      </c>
      <c r="D2" t="s">
        <v>254</v>
      </c>
      <c r="E2" t="s">
        <v>255</v>
      </c>
      <c r="F2" t="s">
        <v>256</v>
      </c>
      <c r="G2" t="s">
        <v>257</v>
      </c>
      <c r="H2" t="s">
        <v>127</v>
      </c>
      <c r="I2" t="s">
        <v>258</v>
      </c>
      <c r="J2" s="13">
        <v>0.5625</v>
      </c>
      <c r="K2" s="13"/>
      <c r="L2" s="13"/>
      <c r="M2">
        <v>0</v>
      </c>
      <c r="N2" s="14">
        <v>95</v>
      </c>
      <c r="O2" t="s">
        <v>169</v>
      </c>
      <c r="Q2" t="s">
        <v>262</v>
      </c>
      <c r="R2" t="s">
        <v>263</v>
      </c>
      <c r="S2">
        <v>0</v>
      </c>
      <c r="T2">
        <v>0</v>
      </c>
      <c r="U2" t="s">
        <v>2299</v>
      </c>
      <c r="V2" t="s">
        <v>2295</v>
      </c>
      <c r="W2" t="s">
        <v>2300</v>
      </c>
      <c r="X2" t="s">
        <v>2288</v>
      </c>
      <c r="Y2" t="s">
        <v>2301</v>
      </c>
      <c r="Z2" t="s">
        <v>2312</v>
      </c>
      <c r="AA2">
        <v>21</v>
      </c>
      <c r="AB2" s="14">
        <v>95</v>
      </c>
      <c r="AC2" t="s">
        <v>2313</v>
      </c>
      <c r="AD2" t="s">
        <v>2314</v>
      </c>
      <c r="AE2" t="s">
        <v>2643</v>
      </c>
      <c r="AF2">
        <v>11</v>
      </c>
      <c r="AG2">
        <v>1</v>
      </c>
      <c r="AJ2">
        <v>0</v>
      </c>
      <c r="AL2">
        <v>1</v>
      </c>
      <c r="AM2" s="14">
        <v>0</v>
      </c>
      <c r="AN2" t="s">
        <v>2644</v>
      </c>
      <c r="AO2" s="12">
        <v>46023</v>
      </c>
      <c r="AP2">
        <v>2026</v>
      </c>
      <c r="AQ2">
        <v>1</v>
      </c>
      <c r="AR2" t="s">
        <v>2645</v>
      </c>
    </row>
    <row r="3" spans="1:44">
      <c r="A3" t="s">
        <v>294</v>
      </c>
      <c r="B3" s="12">
        <v>46039</v>
      </c>
      <c r="C3" s="12">
        <v>45991</v>
      </c>
      <c r="D3" t="s">
        <v>296</v>
      </c>
      <c r="E3" t="s">
        <v>281</v>
      </c>
      <c r="F3" t="s">
        <v>297</v>
      </c>
      <c r="G3" t="s">
        <v>298</v>
      </c>
      <c r="H3" t="s">
        <v>115</v>
      </c>
      <c r="I3" t="s">
        <v>299</v>
      </c>
      <c r="J3" s="13">
        <v>0.4375</v>
      </c>
      <c r="K3" s="13">
        <v>0.43333333333333335</v>
      </c>
      <c r="L3" s="13">
        <v>0.46388888888888891</v>
      </c>
      <c r="M3">
        <v>30</v>
      </c>
      <c r="N3" s="14">
        <v>65</v>
      </c>
      <c r="O3" t="s">
        <v>195</v>
      </c>
      <c r="P3">
        <v>4</v>
      </c>
      <c r="Q3" t="s">
        <v>305</v>
      </c>
      <c r="R3" t="s">
        <v>263</v>
      </c>
      <c r="S3">
        <v>0</v>
      </c>
      <c r="T3">
        <v>0</v>
      </c>
      <c r="U3" t="s">
        <v>2290</v>
      </c>
      <c r="V3" t="s">
        <v>2291</v>
      </c>
      <c r="W3" t="s">
        <v>2292</v>
      </c>
      <c r="X3" t="s">
        <v>2288</v>
      </c>
      <c r="Y3" t="s">
        <v>2293</v>
      </c>
      <c r="Z3" t="s">
        <v>2306</v>
      </c>
      <c r="AA3">
        <v>7</v>
      </c>
      <c r="AB3" s="14">
        <v>65</v>
      </c>
      <c r="AC3" t="s">
        <v>2307</v>
      </c>
      <c r="AD3" t="s">
        <v>2308</v>
      </c>
      <c r="AE3" t="s">
        <v>2643</v>
      </c>
      <c r="AF3">
        <v>48</v>
      </c>
      <c r="AG3">
        <v>0</v>
      </c>
      <c r="AH3">
        <v>44</v>
      </c>
      <c r="AI3">
        <v>0</v>
      </c>
      <c r="AJ3">
        <v>1</v>
      </c>
      <c r="AK3">
        <v>0</v>
      </c>
      <c r="AL3">
        <v>1</v>
      </c>
      <c r="AM3" s="14">
        <v>0</v>
      </c>
      <c r="AN3" t="s">
        <v>2644</v>
      </c>
      <c r="AO3" s="12">
        <v>46023</v>
      </c>
      <c r="AP3">
        <v>2026</v>
      </c>
      <c r="AQ3">
        <v>1</v>
      </c>
      <c r="AR3" t="s">
        <v>2645</v>
      </c>
    </row>
    <row r="4" spans="1:44">
      <c r="A4" t="s">
        <v>306</v>
      </c>
      <c r="B4" s="12">
        <v>46030</v>
      </c>
      <c r="C4" s="12">
        <v>45993</v>
      </c>
      <c r="D4" t="s">
        <v>309</v>
      </c>
      <c r="E4" t="s">
        <v>281</v>
      </c>
      <c r="F4" t="s">
        <v>297</v>
      </c>
      <c r="G4" t="s">
        <v>298</v>
      </c>
      <c r="H4" t="s">
        <v>115</v>
      </c>
      <c r="I4" t="s">
        <v>299</v>
      </c>
      <c r="J4" s="13">
        <v>0.5625</v>
      </c>
      <c r="K4" s="13">
        <v>0.56458333333333333</v>
      </c>
      <c r="L4" s="13">
        <v>0.56597222222222221</v>
      </c>
      <c r="M4">
        <v>30</v>
      </c>
      <c r="N4" s="14">
        <v>65</v>
      </c>
      <c r="O4" t="s">
        <v>169</v>
      </c>
      <c r="P4">
        <v>5</v>
      </c>
      <c r="Q4" t="s">
        <v>285</v>
      </c>
      <c r="R4" t="s">
        <v>263</v>
      </c>
      <c r="S4">
        <v>0</v>
      </c>
      <c r="T4">
        <v>0</v>
      </c>
      <c r="U4" t="s">
        <v>2290</v>
      </c>
      <c r="V4" t="s">
        <v>2291</v>
      </c>
      <c r="W4" t="s">
        <v>2292</v>
      </c>
      <c r="X4" t="s">
        <v>2288</v>
      </c>
      <c r="Y4" t="s">
        <v>2293</v>
      </c>
      <c r="Z4" t="s">
        <v>2306</v>
      </c>
      <c r="AA4">
        <v>7</v>
      </c>
      <c r="AB4" s="14">
        <v>65</v>
      </c>
      <c r="AC4" t="s">
        <v>2307</v>
      </c>
      <c r="AD4" t="s">
        <v>2308</v>
      </c>
      <c r="AE4" t="s">
        <v>2643</v>
      </c>
      <c r="AF4">
        <v>37</v>
      </c>
      <c r="AG4">
        <v>0</v>
      </c>
      <c r="AH4">
        <v>2</v>
      </c>
      <c r="AI4">
        <v>1</v>
      </c>
      <c r="AJ4">
        <v>1</v>
      </c>
      <c r="AK4">
        <v>0</v>
      </c>
      <c r="AL4">
        <v>1</v>
      </c>
      <c r="AM4" s="14">
        <v>0</v>
      </c>
      <c r="AN4" t="s">
        <v>2644</v>
      </c>
      <c r="AO4" s="12">
        <v>46023</v>
      </c>
      <c r="AP4">
        <v>2026</v>
      </c>
      <c r="AQ4">
        <v>1</v>
      </c>
      <c r="AR4" t="s">
        <v>2645</v>
      </c>
    </row>
    <row r="5" spans="1:44">
      <c r="A5" t="s">
        <v>286</v>
      </c>
      <c r="B5" s="12">
        <v>46035</v>
      </c>
      <c r="C5" s="12">
        <v>45985</v>
      </c>
      <c r="D5" t="s">
        <v>289</v>
      </c>
      <c r="E5" t="s">
        <v>255</v>
      </c>
      <c r="F5" t="s">
        <v>282</v>
      </c>
      <c r="G5" t="s">
        <v>290</v>
      </c>
      <c r="H5" t="s">
        <v>115</v>
      </c>
      <c r="I5" t="s">
        <v>258</v>
      </c>
      <c r="J5" s="13">
        <v>0.5625</v>
      </c>
      <c r="K5" s="13">
        <v>0.56527777777777777</v>
      </c>
      <c r="L5" s="13">
        <v>0.58750000000000002</v>
      </c>
      <c r="M5">
        <v>20</v>
      </c>
      <c r="N5" s="14">
        <v>120</v>
      </c>
      <c r="O5" t="s">
        <v>169</v>
      </c>
      <c r="P5">
        <v>5</v>
      </c>
      <c r="Q5" t="s">
        <v>262</v>
      </c>
      <c r="R5" t="s">
        <v>263</v>
      </c>
      <c r="S5">
        <v>0</v>
      </c>
      <c r="T5">
        <v>0</v>
      </c>
      <c r="U5" t="s">
        <v>2299</v>
      </c>
      <c r="V5" t="s">
        <v>2295</v>
      </c>
      <c r="W5" t="s">
        <v>2300</v>
      </c>
      <c r="X5" t="s">
        <v>2288</v>
      </c>
      <c r="Y5" t="s">
        <v>2301</v>
      </c>
      <c r="Z5" t="s">
        <v>2309</v>
      </c>
      <c r="AA5">
        <v>14</v>
      </c>
      <c r="AB5" s="14">
        <v>120</v>
      </c>
      <c r="AC5" t="s">
        <v>2310</v>
      </c>
      <c r="AD5" t="s">
        <v>2311</v>
      </c>
      <c r="AE5" t="s">
        <v>2643</v>
      </c>
      <c r="AF5">
        <v>50</v>
      </c>
      <c r="AG5">
        <v>0</v>
      </c>
      <c r="AH5">
        <v>32</v>
      </c>
      <c r="AI5">
        <v>0</v>
      </c>
      <c r="AJ5">
        <v>1</v>
      </c>
      <c r="AK5">
        <v>0</v>
      </c>
      <c r="AL5">
        <v>1</v>
      </c>
      <c r="AM5" s="14">
        <v>0</v>
      </c>
      <c r="AN5" t="s">
        <v>2644</v>
      </c>
      <c r="AO5" s="12">
        <v>46023</v>
      </c>
      <c r="AP5">
        <v>2026</v>
      </c>
      <c r="AQ5">
        <v>1</v>
      </c>
      <c r="AR5" t="s">
        <v>2645</v>
      </c>
    </row>
    <row r="6" spans="1:44">
      <c r="A6" t="s">
        <v>277</v>
      </c>
      <c r="B6" s="12">
        <v>46053</v>
      </c>
      <c r="C6" s="12">
        <v>46052</v>
      </c>
      <c r="D6" t="s">
        <v>280</v>
      </c>
      <c r="E6" t="s">
        <v>281</v>
      </c>
      <c r="F6" t="s">
        <v>282</v>
      </c>
      <c r="G6" t="s">
        <v>283</v>
      </c>
      <c r="H6" t="s">
        <v>127</v>
      </c>
      <c r="I6" t="s">
        <v>271</v>
      </c>
      <c r="J6" s="13">
        <v>0.375</v>
      </c>
      <c r="K6" s="13"/>
      <c r="L6" s="13"/>
      <c r="M6">
        <v>0</v>
      </c>
      <c r="N6" s="14">
        <v>120</v>
      </c>
      <c r="O6" t="s">
        <v>195</v>
      </c>
      <c r="Q6" t="s">
        <v>285</v>
      </c>
      <c r="R6" t="s">
        <v>263</v>
      </c>
      <c r="S6">
        <v>0</v>
      </c>
      <c r="T6">
        <v>0</v>
      </c>
      <c r="U6" t="s">
        <v>2290</v>
      </c>
      <c r="V6" t="s">
        <v>2291</v>
      </c>
      <c r="W6" t="s">
        <v>2292</v>
      </c>
      <c r="X6" t="s">
        <v>2288</v>
      </c>
      <c r="Y6" t="s">
        <v>2293</v>
      </c>
      <c r="Z6" t="s">
        <v>2309</v>
      </c>
      <c r="AA6">
        <v>14</v>
      </c>
      <c r="AB6" s="14">
        <v>120</v>
      </c>
      <c r="AC6" t="s">
        <v>2310</v>
      </c>
      <c r="AD6" t="s">
        <v>2311</v>
      </c>
      <c r="AE6" t="s">
        <v>2643</v>
      </c>
      <c r="AF6">
        <v>1</v>
      </c>
      <c r="AG6">
        <v>1</v>
      </c>
      <c r="AJ6">
        <v>0</v>
      </c>
      <c r="AL6">
        <v>1</v>
      </c>
      <c r="AM6" s="14">
        <v>0</v>
      </c>
      <c r="AN6" t="s">
        <v>2644</v>
      </c>
      <c r="AO6" s="12">
        <v>46023</v>
      </c>
      <c r="AP6">
        <v>2026</v>
      </c>
      <c r="AQ6">
        <v>1</v>
      </c>
      <c r="AR6" t="s">
        <v>2645</v>
      </c>
    </row>
    <row r="7" spans="1:44">
      <c r="A7" t="s">
        <v>264</v>
      </c>
      <c r="B7" s="12">
        <v>46039</v>
      </c>
      <c r="C7" s="12">
        <v>46026</v>
      </c>
      <c r="D7" t="s">
        <v>267</v>
      </c>
      <c r="E7" t="s">
        <v>268</v>
      </c>
      <c r="F7" t="s">
        <v>269</v>
      </c>
      <c r="G7" t="s">
        <v>270</v>
      </c>
      <c r="H7" t="s">
        <v>115</v>
      </c>
      <c r="I7" t="s">
        <v>271</v>
      </c>
      <c r="J7" s="13">
        <v>0.375</v>
      </c>
      <c r="K7" s="13">
        <v>0.38680555555555557</v>
      </c>
      <c r="L7" s="13">
        <v>0.38541666666666669</v>
      </c>
      <c r="M7">
        <v>45</v>
      </c>
      <c r="N7" s="14">
        <v>80</v>
      </c>
      <c r="O7" t="s">
        <v>169</v>
      </c>
      <c r="P7">
        <v>5</v>
      </c>
      <c r="Q7" t="s">
        <v>262</v>
      </c>
      <c r="R7" t="s">
        <v>263</v>
      </c>
      <c r="S7">
        <v>0</v>
      </c>
      <c r="T7">
        <v>0</v>
      </c>
      <c r="U7" t="s">
        <v>2285</v>
      </c>
      <c r="V7" t="s">
        <v>2286</v>
      </c>
      <c r="W7" t="s">
        <v>2287</v>
      </c>
      <c r="X7" t="s">
        <v>2288</v>
      </c>
      <c r="Y7" t="s">
        <v>2289</v>
      </c>
      <c r="Z7" t="s">
        <v>2315</v>
      </c>
      <c r="AA7">
        <v>10</v>
      </c>
      <c r="AB7" s="14">
        <v>80</v>
      </c>
      <c r="AC7" t="s">
        <v>2316</v>
      </c>
      <c r="AD7" t="s">
        <v>2317</v>
      </c>
      <c r="AE7" t="s">
        <v>2643</v>
      </c>
      <c r="AF7">
        <v>13</v>
      </c>
      <c r="AG7">
        <v>0</v>
      </c>
      <c r="AJ7">
        <v>1</v>
      </c>
      <c r="AK7">
        <v>0</v>
      </c>
      <c r="AL7">
        <v>1</v>
      </c>
      <c r="AM7" s="14">
        <v>0</v>
      </c>
      <c r="AN7" t="s">
        <v>2644</v>
      </c>
      <c r="AO7" s="12">
        <v>46023</v>
      </c>
      <c r="AP7">
        <v>2026</v>
      </c>
      <c r="AQ7">
        <v>1</v>
      </c>
      <c r="AR7" t="s">
        <v>2645</v>
      </c>
    </row>
    <row r="8" spans="1:44">
      <c r="A8" t="s">
        <v>312</v>
      </c>
      <c r="B8" s="14">
        <v>46032</v>
      </c>
      <c r="C8" s="12">
        <v>46025</v>
      </c>
      <c r="D8" t="s">
        <v>315</v>
      </c>
      <c r="E8" t="s">
        <v>255</v>
      </c>
      <c r="F8" t="s">
        <v>256</v>
      </c>
      <c r="G8" t="s">
        <v>257</v>
      </c>
      <c r="H8" t="s">
        <v>115</v>
      </c>
      <c r="I8" t="s">
        <v>316</v>
      </c>
      <c r="J8" s="13">
        <v>0.5625</v>
      </c>
      <c r="K8" s="13">
        <v>0.55694444444444446</v>
      </c>
      <c r="L8" s="13">
        <v>0.5625</v>
      </c>
      <c r="M8">
        <v>20</v>
      </c>
      <c r="N8" s="14">
        <v>95</v>
      </c>
      <c r="O8" t="s">
        <v>169</v>
      </c>
      <c r="P8">
        <v>4</v>
      </c>
      <c r="Q8" t="s">
        <v>318</v>
      </c>
      <c r="R8" t="s">
        <v>263</v>
      </c>
      <c r="S8">
        <v>0</v>
      </c>
      <c r="T8">
        <v>0</v>
      </c>
      <c r="U8" t="s">
        <v>2299</v>
      </c>
      <c r="V8" t="s">
        <v>2295</v>
      </c>
      <c r="W8" t="s">
        <v>2300</v>
      </c>
      <c r="X8" t="s">
        <v>2288</v>
      </c>
      <c r="Y8" t="s">
        <v>2301</v>
      </c>
      <c r="Z8" t="s">
        <v>2312</v>
      </c>
      <c r="AA8">
        <v>21</v>
      </c>
      <c r="AB8" s="14">
        <v>95</v>
      </c>
      <c r="AC8" t="s">
        <v>2313</v>
      </c>
      <c r="AD8" t="s">
        <v>2314</v>
      </c>
      <c r="AE8" t="s">
        <v>2643</v>
      </c>
      <c r="AF8">
        <v>7</v>
      </c>
      <c r="AG8">
        <v>1</v>
      </c>
      <c r="AH8">
        <v>8</v>
      </c>
      <c r="AI8">
        <v>1</v>
      </c>
      <c r="AJ8">
        <v>1</v>
      </c>
      <c r="AK8">
        <v>0</v>
      </c>
      <c r="AL8">
        <v>1</v>
      </c>
      <c r="AM8" s="14">
        <v>0</v>
      </c>
      <c r="AN8" t="s">
        <v>2644</v>
      </c>
      <c r="AO8" s="12">
        <v>46023</v>
      </c>
      <c r="AP8">
        <v>2026</v>
      </c>
      <c r="AQ8">
        <v>1</v>
      </c>
      <c r="AR8" t="s">
        <v>2645</v>
      </c>
    </row>
    <row r="9" spans="1:44">
      <c r="A9" t="s">
        <v>319</v>
      </c>
      <c r="B9" s="12">
        <v>46052</v>
      </c>
      <c r="C9" s="12">
        <v>46041</v>
      </c>
      <c r="D9" t="s">
        <v>321</v>
      </c>
      <c r="E9" t="s">
        <v>281</v>
      </c>
      <c r="F9" t="s">
        <v>269</v>
      </c>
      <c r="G9" t="s">
        <v>322</v>
      </c>
      <c r="H9" t="s">
        <v>115</v>
      </c>
      <c r="I9" t="s">
        <v>258</v>
      </c>
      <c r="J9" s="13">
        <v>0.5</v>
      </c>
      <c r="K9" s="13">
        <v>0.49930555555555556</v>
      </c>
      <c r="L9" s="13">
        <v>0.50347222222222221</v>
      </c>
      <c r="M9">
        <v>30</v>
      </c>
      <c r="N9" s="14">
        <v>80</v>
      </c>
      <c r="O9" t="s">
        <v>195</v>
      </c>
      <c r="P9">
        <v>4</v>
      </c>
      <c r="Q9" t="s">
        <v>326</v>
      </c>
      <c r="R9" t="s">
        <v>263</v>
      </c>
      <c r="S9">
        <v>0</v>
      </c>
      <c r="T9">
        <v>0</v>
      </c>
      <c r="U9" t="s">
        <v>2290</v>
      </c>
      <c r="V9" t="s">
        <v>2291</v>
      </c>
      <c r="W9" t="s">
        <v>2292</v>
      </c>
      <c r="X9" t="s">
        <v>2288</v>
      </c>
      <c r="Y9" t="s">
        <v>2293</v>
      </c>
      <c r="Z9" t="s">
        <v>2315</v>
      </c>
      <c r="AA9">
        <v>10</v>
      </c>
      <c r="AB9" s="14">
        <v>80</v>
      </c>
      <c r="AC9" t="s">
        <v>2316</v>
      </c>
      <c r="AD9" t="s">
        <v>2317</v>
      </c>
      <c r="AE9" t="s">
        <v>2643</v>
      </c>
      <c r="AF9">
        <v>11</v>
      </c>
      <c r="AG9">
        <v>0</v>
      </c>
      <c r="AH9">
        <v>6</v>
      </c>
      <c r="AI9">
        <v>1</v>
      </c>
      <c r="AJ9">
        <v>1</v>
      </c>
      <c r="AK9">
        <v>0</v>
      </c>
      <c r="AL9">
        <v>1</v>
      </c>
      <c r="AM9" s="14">
        <v>0</v>
      </c>
      <c r="AN9" t="s">
        <v>2644</v>
      </c>
      <c r="AO9" s="12">
        <v>46023</v>
      </c>
      <c r="AP9">
        <v>2026</v>
      </c>
      <c r="AQ9">
        <v>1</v>
      </c>
      <c r="AR9" t="s">
        <v>2645</v>
      </c>
    </row>
    <row r="10" spans="1:44">
      <c r="A10" t="s">
        <v>327</v>
      </c>
      <c r="B10" s="12">
        <v>46031</v>
      </c>
      <c r="C10" s="12">
        <v>46015</v>
      </c>
      <c r="D10" t="s">
        <v>330</v>
      </c>
      <c r="E10" t="s">
        <v>255</v>
      </c>
      <c r="F10" t="s">
        <v>297</v>
      </c>
      <c r="G10" t="s">
        <v>331</v>
      </c>
      <c r="H10" t="s">
        <v>115</v>
      </c>
      <c r="I10" t="s">
        <v>316</v>
      </c>
      <c r="J10" s="13">
        <v>0.54166666666666663</v>
      </c>
      <c r="K10" s="13">
        <v>0.55138888888888893</v>
      </c>
      <c r="L10" s="13">
        <v>0.56666666666666665</v>
      </c>
      <c r="M10">
        <v>60</v>
      </c>
      <c r="N10" s="14">
        <v>65</v>
      </c>
      <c r="O10" t="s">
        <v>195</v>
      </c>
      <c r="P10">
        <v>5</v>
      </c>
      <c r="Q10" t="s">
        <v>305</v>
      </c>
      <c r="R10" t="s">
        <v>263</v>
      </c>
      <c r="S10">
        <v>0</v>
      </c>
      <c r="T10">
        <v>0</v>
      </c>
      <c r="U10" t="s">
        <v>2299</v>
      </c>
      <c r="V10" t="s">
        <v>2295</v>
      </c>
      <c r="W10" t="s">
        <v>2300</v>
      </c>
      <c r="X10" t="s">
        <v>2288</v>
      </c>
      <c r="Y10" t="s">
        <v>2301</v>
      </c>
      <c r="Z10" t="s">
        <v>2306</v>
      </c>
      <c r="AA10">
        <v>7</v>
      </c>
      <c r="AB10" s="14">
        <v>65</v>
      </c>
      <c r="AC10" t="s">
        <v>2307</v>
      </c>
      <c r="AD10" t="s">
        <v>2308</v>
      </c>
      <c r="AE10" t="s">
        <v>2643</v>
      </c>
      <c r="AF10">
        <v>16</v>
      </c>
      <c r="AG10">
        <v>0</v>
      </c>
      <c r="AH10">
        <v>22</v>
      </c>
      <c r="AI10">
        <v>1</v>
      </c>
      <c r="AJ10">
        <v>1</v>
      </c>
      <c r="AK10">
        <v>0</v>
      </c>
      <c r="AL10">
        <v>1</v>
      </c>
      <c r="AM10" s="14">
        <v>0</v>
      </c>
      <c r="AN10" t="s">
        <v>2644</v>
      </c>
      <c r="AO10" s="12">
        <v>46023</v>
      </c>
      <c r="AP10">
        <v>2026</v>
      </c>
      <c r="AQ10">
        <v>1</v>
      </c>
      <c r="AR10" t="s">
        <v>2645</v>
      </c>
    </row>
    <row r="11" spans="1:44">
      <c r="A11" t="s">
        <v>336</v>
      </c>
      <c r="B11" s="12">
        <v>46044</v>
      </c>
      <c r="C11" s="12">
        <v>46035</v>
      </c>
      <c r="D11" t="s">
        <v>338</v>
      </c>
      <c r="E11" t="s">
        <v>339</v>
      </c>
      <c r="F11" t="s">
        <v>269</v>
      </c>
      <c r="G11" t="s">
        <v>340</v>
      </c>
      <c r="H11" t="s">
        <v>122</v>
      </c>
      <c r="I11" t="s">
        <v>271</v>
      </c>
      <c r="J11" s="13">
        <v>0.35416666666666669</v>
      </c>
      <c r="K11" s="13"/>
      <c r="L11" s="13"/>
      <c r="M11">
        <v>0</v>
      </c>
      <c r="N11" s="14">
        <v>80</v>
      </c>
      <c r="O11" t="s">
        <v>169</v>
      </c>
      <c r="Q11" t="s">
        <v>305</v>
      </c>
      <c r="R11" t="s">
        <v>263</v>
      </c>
      <c r="S11">
        <v>0</v>
      </c>
      <c r="T11">
        <v>0</v>
      </c>
      <c r="U11" t="s">
        <v>2294</v>
      </c>
      <c r="V11" t="s">
        <v>2295</v>
      </c>
      <c r="W11" t="s">
        <v>2296</v>
      </c>
      <c r="X11" t="s">
        <v>2297</v>
      </c>
      <c r="Y11" t="s">
        <v>2298</v>
      </c>
      <c r="Z11" t="s">
        <v>2315</v>
      </c>
      <c r="AA11">
        <v>10</v>
      </c>
      <c r="AB11" s="14">
        <v>80</v>
      </c>
      <c r="AC11" t="s">
        <v>2316</v>
      </c>
      <c r="AD11" t="s">
        <v>2317</v>
      </c>
      <c r="AE11" t="s">
        <v>2643</v>
      </c>
      <c r="AF11">
        <v>9</v>
      </c>
      <c r="AG11">
        <v>1</v>
      </c>
      <c r="AJ11">
        <v>1</v>
      </c>
      <c r="AK11">
        <v>1</v>
      </c>
      <c r="AL11">
        <v>1</v>
      </c>
      <c r="AM11" s="14">
        <v>0</v>
      </c>
      <c r="AN11" t="s">
        <v>2644</v>
      </c>
      <c r="AO11" s="12">
        <v>46023</v>
      </c>
      <c r="AP11">
        <v>2026</v>
      </c>
      <c r="AQ11">
        <v>1</v>
      </c>
      <c r="AR11" t="s">
        <v>2645</v>
      </c>
    </row>
    <row r="12" spans="1:44">
      <c r="A12" t="s">
        <v>342</v>
      </c>
      <c r="B12" s="12">
        <v>46026</v>
      </c>
      <c r="C12" s="12">
        <v>45983</v>
      </c>
      <c r="D12" t="s">
        <v>344</v>
      </c>
      <c r="E12" t="s">
        <v>339</v>
      </c>
      <c r="F12" t="s">
        <v>256</v>
      </c>
      <c r="G12" t="s">
        <v>345</v>
      </c>
      <c r="H12" t="s">
        <v>115</v>
      </c>
      <c r="I12" t="s">
        <v>299</v>
      </c>
      <c r="J12" s="13">
        <v>0.66666666666666663</v>
      </c>
      <c r="K12" s="13">
        <v>0.66666666666666663</v>
      </c>
      <c r="L12" s="13">
        <v>0.69374999999999998</v>
      </c>
      <c r="M12">
        <v>30</v>
      </c>
      <c r="N12" s="14">
        <v>95</v>
      </c>
      <c r="O12" t="s">
        <v>195</v>
      </c>
      <c r="P12">
        <v>4</v>
      </c>
      <c r="Q12" t="s">
        <v>326</v>
      </c>
      <c r="R12" t="s">
        <v>263</v>
      </c>
      <c r="S12">
        <v>0</v>
      </c>
      <c r="T12">
        <v>0</v>
      </c>
      <c r="U12" t="s">
        <v>2294</v>
      </c>
      <c r="V12" t="s">
        <v>2295</v>
      </c>
      <c r="W12" t="s">
        <v>2296</v>
      </c>
      <c r="X12" t="s">
        <v>2297</v>
      </c>
      <c r="Y12" t="s">
        <v>2298</v>
      </c>
      <c r="Z12" t="s">
        <v>2312</v>
      </c>
      <c r="AA12">
        <v>21</v>
      </c>
      <c r="AB12" s="14">
        <v>95</v>
      </c>
      <c r="AC12" t="s">
        <v>2313</v>
      </c>
      <c r="AD12" t="s">
        <v>2314</v>
      </c>
      <c r="AE12" t="s">
        <v>2643</v>
      </c>
      <c r="AF12">
        <v>43</v>
      </c>
      <c r="AG12">
        <v>0</v>
      </c>
      <c r="AH12">
        <v>39</v>
      </c>
      <c r="AI12">
        <v>0</v>
      </c>
      <c r="AJ12">
        <v>1</v>
      </c>
      <c r="AK12">
        <v>0</v>
      </c>
      <c r="AL12">
        <v>1</v>
      </c>
      <c r="AM12" s="14">
        <v>0</v>
      </c>
      <c r="AN12" t="s">
        <v>2644</v>
      </c>
      <c r="AO12" s="12">
        <v>46023</v>
      </c>
      <c r="AP12">
        <v>2026</v>
      </c>
      <c r="AQ12">
        <v>1</v>
      </c>
      <c r="AR12" t="s">
        <v>2645</v>
      </c>
    </row>
    <row r="13" spans="1:44">
      <c r="A13" t="s">
        <v>348</v>
      </c>
      <c r="B13" s="12">
        <v>46039</v>
      </c>
      <c r="C13" s="12">
        <v>45996</v>
      </c>
      <c r="D13" t="s">
        <v>350</v>
      </c>
      <c r="E13" t="s">
        <v>281</v>
      </c>
      <c r="F13" t="s">
        <v>282</v>
      </c>
      <c r="G13" t="s">
        <v>283</v>
      </c>
      <c r="H13" t="s">
        <v>115</v>
      </c>
      <c r="I13" t="s">
        <v>316</v>
      </c>
      <c r="J13" s="13">
        <v>0.52083333333333337</v>
      </c>
      <c r="K13" s="13">
        <v>0.52708333333333335</v>
      </c>
      <c r="L13" s="13">
        <v>0.54652777777777772</v>
      </c>
      <c r="M13">
        <v>30</v>
      </c>
      <c r="N13" s="14">
        <v>120</v>
      </c>
      <c r="O13" t="s">
        <v>195</v>
      </c>
      <c r="P13">
        <v>5</v>
      </c>
      <c r="Q13" t="s">
        <v>318</v>
      </c>
      <c r="R13" t="s">
        <v>263</v>
      </c>
      <c r="S13">
        <v>0</v>
      </c>
      <c r="T13">
        <v>0</v>
      </c>
      <c r="U13" t="s">
        <v>2290</v>
      </c>
      <c r="V13" t="s">
        <v>2291</v>
      </c>
      <c r="W13" t="s">
        <v>2292</v>
      </c>
      <c r="X13" t="s">
        <v>2288</v>
      </c>
      <c r="Y13" t="s">
        <v>2293</v>
      </c>
      <c r="Z13" t="s">
        <v>2309</v>
      </c>
      <c r="AA13">
        <v>14</v>
      </c>
      <c r="AB13" s="14">
        <v>120</v>
      </c>
      <c r="AC13" t="s">
        <v>2310</v>
      </c>
      <c r="AD13" t="s">
        <v>2311</v>
      </c>
      <c r="AE13" t="s">
        <v>2643</v>
      </c>
      <c r="AF13">
        <v>43</v>
      </c>
      <c r="AG13">
        <v>0</v>
      </c>
      <c r="AH13">
        <v>28</v>
      </c>
      <c r="AI13">
        <v>1</v>
      </c>
      <c r="AJ13">
        <v>1</v>
      </c>
      <c r="AK13">
        <v>0</v>
      </c>
      <c r="AL13">
        <v>1</v>
      </c>
      <c r="AM13" s="14">
        <v>0</v>
      </c>
      <c r="AN13" t="s">
        <v>2644</v>
      </c>
      <c r="AO13" s="12">
        <v>46023</v>
      </c>
      <c r="AP13">
        <v>2026</v>
      </c>
      <c r="AQ13">
        <v>1</v>
      </c>
      <c r="AR13" t="s">
        <v>2645</v>
      </c>
    </row>
    <row r="14" spans="1:44">
      <c r="A14" t="s">
        <v>354</v>
      </c>
      <c r="B14" s="12">
        <v>46047</v>
      </c>
      <c r="C14" s="12">
        <v>46042</v>
      </c>
      <c r="D14" t="s">
        <v>357</v>
      </c>
      <c r="E14" t="s">
        <v>255</v>
      </c>
      <c r="F14" t="s">
        <v>297</v>
      </c>
      <c r="G14" t="s">
        <v>331</v>
      </c>
      <c r="H14" t="s">
        <v>115</v>
      </c>
      <c r="I14" t="s">
        <v>271</v>
      </c>
      <c r="J14" s="13">
        <v>0.58333333333333337</v>
      </c>
      <c r="K14" s="13">
        <v>0.59444444444444444</v>
      </c>
      <c r="L14" s="13">
        <v>0.60138888888888886</v>
      </c>
      <c r="M14">
        <v>20</v>
      </c>
      <c r="N14" s="14">
        <v>65</v>
      </c>
      <c r="O14" t="s">
        <v>169</v>
      </c>
      <c r="P14">
        <v>4</v>
      </c>
      <c r="Q14" t="s">
        <v>262</v>
      </c>
      <c r="R14" t="s">
        <v>263</v>
      </c>
      <c r="S14">
        <v>0</v>
      </c>
      <c r="T14">
        <v>0</v>
      </c>
      <c r="U14" t="s">
        <v>2299</v>
      </c>
      <c r="V14" t="s">
        <v>2295</v>
      </c>
      <c r="W14" t="s">
        <v>2300</v>
      </c>
      <c r="X14" t="s">
        <v>2288</v>
      </c>
      <c r="Y14" t="s">
        <v>2301</v>
      </c>
      <c r="Z14" t="s">
        <v>2306</v>
      </c>
      <c r="AA14">
        <v>7</v>
      </c>
      <c r="AB14" s="14">
        <v>65</v>
      </c>
      <c r="AC14" t="s">
        <v>2307</v>
      </c>
      <c r="AD14" t="s">
        <v>2308</v>
      </c>
      <c r="AE14" t="s">
        <v>2643</v>
      </c>
      <c r="AF14">
        <v>5</v>
      </c>
      <c r="AG14">
        <v>1</v>
      </c>
      <c r="AH14">
        <v>10</v>
      </c>
      <c r="AI14">
        <v>1</v>
      </c>
      <c r="AJ14">
        <v>1</v>
      </c>
      <c r="AK14">
        <v>0</v>
      </c>
      <c r="AL14">
        <v>1</v>
      </c>
      <c r="AM14" s="14">
        <v>0</v>
      </c>
      <c r="AN14" t="s">
        <v>2644</v>
      </c>
      <c r="AO14" s="12">
        <v>46023</v>
      </c>
      <c r="AP14">
        <v>2026</v>
      </c>
      <c r="AQ14">
        <v>1</v>
      </c>
      <c r="AR14" t="s">
        <v>2645</v>
      </c>
    </row>
    <row r="15" spans="1:44">
      <c r="A15" t="s">
        <v>361</v>
      </c>
      <c r="B15" s="12">
        <v>46041</v>
      </c>
      <c r="C15" s="12">
        <v>46031</v>
      </c>
      <c r="D15" t="s">
        <v>362</v>
      </c>
      <c r="E15" t="s">
        <v>281</v>
      </c>
      <c r="F15" t="s">
        <v>269</v>
      </c>
      <c r="G15" t="s">
        <v>363</v>
      </c>
      <c r="H15" t="s">
        <v>115</v>
      </c>
      <c r="I15" t="s">
        <v>271</v>
      </c>
      <c r="J15" s="13">
        <v>0.35416666666666669</v>
      </c>
      <c r="K15" s="13">
        <v>0.35972222222222222</v>
      </c>
      <c r="L15" s="13">
        <v>0.37083333333333335</v>
      </c>
      <c r="M15">
        <v>30</v>
      </c>
      <c r="N15" s="14">
        <v>80</v>
      </c>
      <c r="O15" t="s">
        <v>195</v>
      </c>
      <c r="P15">
        <v>2</v>
      </c>
      <c r="Q15" t="s">
        <v>326</v>
      </c>
      <c r="R15" t="s">
        <v>263</v>
      </c>
      <c r="S15">
        <v>0</v>
      </c>
      <c r="T15">
        <v>0</v>
      </c>
      <c r="U15" t="s">
        <v>2290</v>
      </c>
      <c r="V15" t="s">
        <v>2291</v>
      </c>
      <c r="W15" t="s">
        <v>2292</v>
      </c>
      <c r="X15" t="s">
        <v>2288</v>
      </c>
      <c r="Y15" t="s">
        <v>2293</v>
      </c>
      <c r="Z15" t="s">
        <v>2315</v>
      </c>
      <c r="AA15">
        <v>10</v>
      </c>
      <c r="AB15" s="14">
        <v>80</v>
      </c>
      <c r="AC15" t="s">
        <v>2316</v>
      </c>
      <c r="AD15" t="s">
        <v>2317</v>
      </c>
      <c r="AE15" t="s">
        <v>2643</v>
      </c>
      <c r="AF15">
        <v>10</v>
      </c>
      <c r="AG15">
        <v>1</v>
      </c>
      <c r="AH15">
        <v>16</v>
      </c>
      <c r="AI15">
        <v>1</v>
      </c>
      <c r="AJ15">
        <v>1</v>
      </c>
      <c r="AK15">
        <v>0</v>
      </c>
      <c r="AL15">
        <v>1</v>
      </c>
      <c r="AM15" s="14">
        <v>0</v>
      </c>
      <c r="AN15" t="s">
        <v>2644</v>
      </c>
      <c r="AO15" s="12">
        <v>46023</v>
      </c>
      <c r="AP15">
        <v>2026</v>
      </c>
      <c r="AQ15">
        <v>1</v>
      </c>
      <c r="AR15" t="s">
        <v>2645</v>
      </c>
    </row>
    <row r="16" spans="1:44">
      <c r="A16" t="s">
        <v>366</v>
      </c>
      <c r="B16" s="12">
        <v>46052</v>
      </c>
      <c r="C16" s="12">
        <v>46039</v>
      </c>
      <c r="D16" t="s">
        <v>367</v>
      </c>
      <c r="E16" t="s">
        <v>281</v>
      </c>
      <c r="F16" t="s">
        <v>297</v>
      </c>
      <c r="G16" t="s">
        <v>368</v>
      </c>
      <c r="H16" t="s">
        <v>115</v>
      </c>
      <c r="I16" t="s">
        <v>271</v>
      </c>
      <c r="J16" s="13">
        <v>0.54166666666666663</v>
      </c>
      <c r="K16" s="13">
        <v>0.55277777777777781</v>
      </c>
      <c r="L16" s="13">
        <v>0.55972222222222223</v>
      </c>
      <c r="M16">
        <v>45</v>
      </c>
      <c r="N16" s="14">
        <v>65</v>
      </c>
      <c r="O16" t="s">
        <v>195</v>
      </c>
      <c r="P16">
        <v>5</v>
      </c>
      <c r="Q16" t="s">
        <v>326</v>
      </c>
      <c r="R16" t="s">
        <v>263</v>
      </c>
      <c r="S16">
        <v>0</v>
      </c>
      <c r="T16">
        <v>0</v>
      </c>
      <c r="U16" t="s">
        <v>2290</v>
      </c>
      <c r="V16" t="s">
        <v>2291</v>
      </c>
      <c r="W16" t="s">
        <v>2292</v>
      </c>
      <c r="X16" t="s">
        <v>2288</v>
      </c>
      <c r="Y16" t="s">
        <v>2293</v>
      </c>
      <c r="Z16" t="s">
        <v>2306</v>
      </c>
      <c r="AA16">
        <v>7</v>
      </c>
      <c r="AB16" s="14">
        <v>65</v>
      </c>
      <c r="AC16" t="s">
        <v>2307</v>
      </c>
      <c r="AD16" t="s">
        <v>2308</v>
      </c>
      <c r="AE16" t="s">
        <v>2643</v>
      </c>
      <c r="AF16">
        <v>13</v>
      </c>
      <c r="AG16">
        <v>0</v>
      </c>
      <c r="AH16">
        <v>10</v>
      </c>
      <c r="AI16">
        <v>1</v>
      </c>
      <c r="AJ16">
        <v>1</v>
      </c>
      <c r="AK16">
        <v>0</v>
      </c>
      <c r="AL16">
        <v>1</v>
      </c>
      <c r="AM16" s="14">
        <v>0</v>
      </c>
      <c r="AN16" t="s">
        <v>2644</v>
      </c>
      <c r="AO16" s="12">
        <v>46023</v>
      </c>
      <c r="AP16">
        <v>2026</v>
      </c>
      <c r="AQ16">
        <v>1</v>
      </c>
      <c r="AR16" t="s">
        <v>2645</v>
      </c>
    </row>
    <row r="17" spans="1:44">
      <c r="A17" t="s">
        <v>371</v>
      </c>
      <c r="B17" s="12">
        <v>46031</v>
      </c>
      <c r="C17" s="12">
        <v>45983</v>
      </c>
      <c r="D17" t="s">
        <v>372</v>
      </c>
      <c r="E17" t="s">
        <v>255</v>
      </c>
      <c r="F17" t="s">
        <v>256</v>
      </c>
      <c r="G17" t="s">
        <v>257</v>
      </c>
      <c r="H17" t="s">
        <v>115</v>
      </c>
      <c r="I17" t="s">
        <v>258</v>
      </c>
      <c r="J17" s="13">
        <v>0.54166666666666663</v>
      </c>
      <c r="K17" s="13">
        <v>0.53749999999999998</v>
      </c>
      <c r="L17" s="13">
        <v>0.55902777777777779</v>
      </c>
      <c r="M17">
        <v>30</v>
      </c>
      <c r="N17" s="14">
        <v>95</v>
      </c>
      <c r="O17" t="s">
        <v>195</v>
      </c>
      <c r="P17">
        <v>2</v>
      </c>
      <c r="Q17" t="s">
        <v>285</v>
      </c>
      <c r="R17" t="s">
        <v>263</v>
      </c>
      <c r="S17">
        <v>0</v>
      </c>
      <c r="T17">
        <v>0</v>
      </c>
      <c r="U17" t="s">
        <v>2299</v>
      </c>
      <c r="V17" t="s">
        <v>2295</v>
      </c>
      <c r="W17" t="s">
        <v>2300</v>
      </c>
      <c r="X17" t="s">
        <v>2288</v>
      </c>
      <c r="Y17" t="s">
        <v>2301</v>
      </c>
      <c r="Z17" t="s">
        <v>2312</v>
      </c>
      <c r="AA17">
        <v>21</v>
      </c>
      <c r="AB17" s="14">
        <v>95</v>
      </c>
      <c r="AC17" t="s">
        <v>2313</v>
      </c>
      <c r="AD17" t="s">
        <v>2314</v>
      </c>
      <c r="AE17" t="s">
        <v>2643</v>
      </c>
      <c r="AF17">
        <v>48</v>
      </c>
      <c r="AG17">
        <v>0</v>
      </c>
      <c r="AH17">
        <v>31</v>
      </c>
      <c r="AI17">
        <v>0</v>
      </c>
      <c r="AJ17">
        <v>1</v>
      </c>
      <c r="AK17">
        <v>0</v>
      </c>
      <c r="AL17">
        <v>1</v>
      </c>
      <c r="AM17" s="14">
        <v>0</v>
      </c>
      <c r="AN17" t="s">
        <v>2644</v>
      </c>
      <c r="AO17" s="12">
        <v>46023</v>
      </c>
      <c r="AP17">
        <v>2026</v>
      </c>
      <c r="AQ17">
        <v>1</v>
      </c>
      <c r="AR17" t="s">
        <v>2645</v>
      </c>
    </row>
    <row r="18" spans="1:44">
      <c r="A18" t="s">
        <v>375</v>
      </c>
      <c r="B18" s="12">
        <v>46028</v>
      </c>
      <c r="C18" s="12">
        <v>45974</v>
      </c>
      <c r="D18" t="s">
        <v>377</v>
      </c>
      <c r="E18" t="s">
        <v>281</v>
      </c>
      <c r="F18" t="s">
        <v>297</v>
      </c>
      <c r="G18" t="s">
        <v>368</v>
      </c>
      <c r="H18" t="s">
        <v>115</v>
      </c>
      <c r="I18" t="s">
        <v>271</v>
      </c>
      <c r="J18" s="13">
        <v>0.58333333333333337</v>
      </c>
      <c r="K18" s="13">
        <v>0.58333333333333337</v>
      </c>
      <c r="L18" s="13">
        <v>0.59166666666666667</v>
      </c>
      <c r="M18">
        <v>60</v>
      </c>
      <c r="N18" s="14">
        <v>65</v>
      </c>
      <c r="O18" t="s">
        <v>169</v>
      </c>
      <c r="P18">
        <v>5</v>
      </c>
      <c r="Q18" t="s">
        <v>305</v>
      </c>
      <c r="R18" t="s">
        <v>263</v>
      </c>
      <c r="S18">
        <v>0</v>
      </c>
      <c r="T18">
        <v>0</v>
      </c>
      <c r="U18" t="s">
        <v>2290</v>
      </c>
      <c r="V18" t="s">
        <v>2291</v>
      </c>
      <c r="W18" t="s">
        <v>2292</v>
      </c>
      <c r="X18" t="s">
        <v>2288</v>
      </c>
      <c r="Y18" t="s">
        <v>2293</v>
      </c>
      <c r="Z18" t="s">
        <v>2306</v>
      </c>
      <c r="AA18">
        <v>7</v>
      </c>
      <c r="AB18" s="14">
        <v>65</v>
      </c>
      <c r="AC18" t="s">
        <v>2307</v>
      </c>
      <c r="AD18" t="s">
        <v>2308</v>
      </c>
      <c r="AE18" t="s">
        <v>2643</v>
      </c>
      <c r="AF18">
        <v>54</v>
      </c>
      <c r="AG18">
        <v>0</v>
      </c>
      <c r="AH18">
        <v>12</v>
      </c>
      <c r="AI18">
        <v>1</v>
      </c>
      <c r="AJ18">
        <v>1</v>
      </c>
      <c r="AK18">
        <v>0</v>
      </c>
      <c r="AL18">
        <v>1</v>
      </c>
      <c r="AM18" s="14">
        <v>0</v>
      </c>
      <c r="AN18" t="s">
        <v>2644</v>
      </c>
      <c r="AO18" s="12">
        <v>46023</v>
      </c>
      <c r="AP18">
        <v>2026</v>
      </c>
      <c r="AQ18">
        <v>1</v>
      </c>
      <c r="AR18" t="s">
        <v>2645</v>
      </c>
    </row>
    <row r="19" spans="1:44">
      <c r="A19" t="s">
        <v>379</v>
      </c>
      <c r="B19" s="12">
        <v>46044</v>
      </c>
      <c r="C19" s="12">
        <v>45997</v>
      </c>
      <c r="D19" t="s">
        <v>381</v>
      </c>
      <c r="E19" t="s">
        <v>268</v>
      </c>
      <c r="F19" t="s">
        <v>269</v>
      </c>
      <c r="G19" t="s">
        <v>270</v>
      </c>
      <c r="H19" t="s">
        <v>115</v>
      </c>
      <c r="I19" t="s">
        <v>299</v>
      </c>
      <c r="J19" s="13">
        <v>0.5625</v>
      </c>
      <c r="K19" s="13">
        <v>0.56319444444444444</v>
      </c>
      <c r="L19" s="13">
        <v>0.58472222222222225</v>
      </c>
      <c r="M19">
        <v>60</v>
      </c>
      <c r="N19" s="14">
        <v>80</v>
      </c>
      <c r="O19" t="s">
        <v>169</v>
      </c>
      <c r="P19">
        <v>5</v>
      </c>
      <c r="Q19" t="s">
        <v>326</v>
      </c>
      <c r="R19" t="s">
        <v>263</v>
      </c>
      <c r="S19">
        <v>0</v>
      </c>
      <c r="T19">
        <v>0</v>
      </c>
      <c r="U19" t="s">
        <v>2285</v>
      </c>
      <c r="V19" t="s">
        <v>2286</v>
      </c>
      <c r="W19" t="s">
        <v>2287</v>
      </c>
      <c r="X19" t="s">
        <v>2288</v>
      </c>
      <c r="Y19" t="s">
        <v>2289</v>
      </c>
      <c r="Z19" t="s">
        <v>2315</v>
      </c>
      <c r="AA19">
        <v>10</v>
      </c>
      <c r="AB19" s="14">
        <v>80</v>
      </c>
      <c r="AC19" t="s">
        <v>2316</v>
      </c>
      <c r="AD19" t="s">
        <v>2317</v>
      </c>
      <c r="AE19" t="s">
        <v>2643</v>
      </c>
      <c r="AF19">
        <v>47</v>
      </c>
      <c r="AG19">
        <v>0</v>
      </c>
      <c r="AH19">
        <v>31</v>
      </c>
      <c r="AI19">
        <v>0</v>
      </c>
      <c r="AJ19">
        <v>1</v>
      </c>
      <c r="AK19">
        <v>0</v>
      </c>
      <c r="AL19">
        <v>1</v>
      </c>
      <c r="AM19" s="14">
        <v>0</v>
      </c>
      <c r="AN19" t="s">
        <v>2644</v>
      </c>
      <c r="AO19" s="12">
        <v>46023</v>
      </c>
      <c r="AP19">
        <v>2026</v>
      </c>
      <c r="AQ19">
        <v>1</v>
      </c>
      <c r="AR19" t="s">
        <v>2645</v>
      </c>
    </row>
    <row r="20" spans="1:44">
      <c r="A20" t="s">
        <v>384</v>
      </c>
      <c r="B20" s="12">
        <v>46042</v>
      </c>
      <c r="C20" s="12">
        <v>46012</v>
      </c>
      <c r="D20" t="s">
        <v>386</v>
      </c>
      <c r="E20" t="s">
        <v>281</v>
      </c>
      <c r="F20" t="s">
        <v>282</v>
      </c>
      <c r="G20" t="s">
        <v>283</v>
      </c>
      <c r="H20" t="s">
        <v>122</v>
      </c>
      <c r="I20" t="s">
        <v>271</v>
      </c>
      <c r="J20" s="13">
        <v>0.5625</v>
      </c>
      <c r="K20" s="13"/>
      <c r="L20" s="13"/>
      <c r="M20">
        <v>0</v>
      </c>
      <c r="N20" s="14">
        <v>120</v>
      </c>
      <c r="O20" t="s">
        <v>195</v>
      </c>
      <c r="Q20" t="s">
        <v>305</v>
      </c>
      <c r="R20" t="s">
        <v>263</v>
      </c>
      <c r="S20">
        <v>0</v>
      </c>
      <c r="T20">
        <v>0</v>
      </c>
      <c r="U20" t="s">
        <v>2290</v>
      </c>
      <c r="V20" t="s">
        <v>2291</v>
      </c>
      <c r="W20" t="s">
        <v>2292</v>
      </c>
      <c r="X20" t="s">
        <v>2288</v>
      </c>
      <c r="Y20" t="s">
        <v>2293</v>
      </c>
      <c r="Z20" t="s">
        <v>2309</v>
      </c>
      <c r="AA20">
        <v>14</v>
      </c>
      <c r="AB20" s="14">
        <v>120</v>
      </c>
      <c r="AC20" t="s">
        <v>2310</v>
      </c>
      <c r="AD20" t="s">
        <v>2311</v>
      </c>
      <c r="AE20" t="s">
        <v>2643</v>
      </c>
      <c r="AF20">
        <v>30</v>
      </c>
      <c r="AG20">
        <v>0</v>
      </c>
      <c r="AJ20">
        <v>1</v>
      </c>
      <c r="AK20">
        <v>1</v>
      </c>
      <c r="AL20">
        <v>1</v>
      </c>
      <c r="AM20" s="14">
        <v>0</v>
      </c>
      <c r="AN20" t="s">
        <v>2644</v>
      </c>
      <c r="AO20" s="12">
        <v>46023</v>
      </c>
      <c r="AP20">
        <v>2026</v>
      </c>
      <c r="AQ20">
        <v>1</v>
      </c>
      <c r="AR20" t="s">
        <v>2645</v>
      </c>
    </row>
    <row r="21" spans="1:44">
      <c r="A21" t="s">
        <v>387</v>
      </c>
      <c r="B21" s="12">
        <v>46033</v>
      </c>
      <c r="C21" s="12">
        <v>46002</v>
      </c>
      <c r="D21" t="s">
        <v>390</v>
      </c>
      <c r="E21" t="s">
        <v>255</v>
      </c>
      <c r="F21" t="s">
        <v>269</v>
      </c>
      <c r="G21" t="s">
        <v>391</v>
      </c>
      <c r="H21" t="s">
        <v>115</v>
      </c>
      <c r="I21" t="s">
        <v>271</v>
      </c>
      <c r="J21" s="13">
        <v>0.39583333333333331</v>
      </c>
      <c r="K21" s="13">
        <v>0.39305555555555555</v>
      </c>
      <c r="L21" s="13">
        <v>0.39791666666666664</v>
      </c>
      <c r="M21">
        <v>30</v>
      </c>
      <c r="N21" s="14">
        <v>80</v>
      </c>
      <c r="O21" t="s">
        <v>195</v>
      </c>
      <c r="P21">
        <v>5</v>
      </c>
      <c r="Q21" t="s">
        <v>318</v>
      </c>
      <c r="R21" t="s">
        <v>263</v>
      </c>
      <c r="S21">
        <v>0</v>
      </c>
      <c r="T21">
        <v>0</v>
      </c>
      <c r="U21" t="s">
        <v>2299</v>
      </c>
      <c r="V21" t="s">
        <v>2295</v>
      </c>
      <c r="W21" t="s">
        <v>2300</v>
      </c>
      <c r="X21" t="s">
        <v>2288</v>
      </c>
      <c r="Y21" t="s">
        <v>2301</v>
      </c>
      <c r="Z21" t="s">
        <v>2315</v>
      </c>
      <c r="AA21">
        <v>10</v>
      </c>
      <c r="AB21" s="14">
        <v>80</v>
      </c>
      <c r="AC21" t="s">
        <v>2316</v>
      </c>
      <c r="AD21" t="s">
        <v>2317</v>
      </c>
      <c r="AE21" t="s">
        <v>2643</v>
      </c>
      <c r="AF21">
        <v>31</v>
      </c>
      <c r="AG21">
        <v>0</v>
      </c>
      <c r="AH21">
        <v>7</v>
      </c>
      <c r="AI21">
        <v>1</v>
      </c>
      <c r="AJ21">
        <v>1</v>
      </c>
      <c r="AK21">
        <v>0</v>
      </c>
      <c r="AL21">
        <v>1</v>
      </c>
      <c r="AM21" s="14">
        <v>0</v>
      </c>
      <c r="AN21" t="s">
        <v>2644</v>
      </c>
      <c r="AO21" s="12">
        <v>46023</v>
      </c>
      <c r="AP21">
        <v>2026</v>
      </c>
      <c r="AQ21">
        <v>1</v>
      </c>
      <c r="AR21" t="s">
        <v>2645</v>
      </c>
    </row>
    <row r="22" spans="1:44">
      <c r="A22" t="s">
        <v>395</v>
      </c>
      <c r="B22" s="12">
        <v>46038</v>
      </c>
      <c r="C22" s="12">
        <v>46026</v>
      </c>
      <c r="D22" t="s">
        <v>397</v>
      </c>
      <c r="E22" t="s">
        <v>255</v>
      </c>
      <c r="F22" t="s">
        <v>256</v>
      </c>
      <c r="G22" t="s">
        <v>398</v>
      </c>
      <c r="H22" t="s">
        <v>127</v>
      </c>
      <c r="I22" t="s">
        <v>316</v>
      </c>
      <c r="J22" s="13">
        <v>0.45833333333333331</v>
      </c>
      <c r="K22" s="13"/>
      <c r="L22" s="13"/>
      <c r="M22">
        <v>0</v>
      </c>
      <c r="N22" s="14">
        <v>95</v>
      </c>
      <c r="O22" t="s">
        <v>195</v>
      </c>
      <c r="Q22" t="s">
        <v>262</v>
      </c>
      <c r="R22" t="s">
        <v>263</v>
      </c>
      <c r="S22">
        <v>0</v>
      </c>
      <c r="T22">
        <v>0</v>
      </c>
      <c r="U22" t="s">
        <v>2299</v>
      </c>
      <c r="V22" t="s">
        <v>2295</v>
      </c>
      <c r="W22" t="s">
        <v>2300</v>
      </c>
      <c r="X22" t="s">
        <v>2288</v>
      </c>
      <c r="Y22" t="s">
        <v>2301</v>
      </c>
      <c r="Z22" t="s">
        <v>2312</v>
      </c>
      <c r="AA22">
        <v>21</v>
      </c>
      <c r="AB22" s="14">
        <v>95</v>
      </c>
      <c r="AC22" t="s">
        <v>2313</v>
      </c>
      <c r="AD22" t="s">
        <v>2314</v>
      </c>
      <c r="AE22" t="s">
        <v>2643</v>
      </c>
      <c r="AF22">
        <v>12</v>
      </c>
      <c r="AG22">
        <v>1</v>
      </c>
      <c r="AJ22">
        <v>0</v>
      </c>
      <c r="AL22">
        <v>1</v>
      </c>
      <c r="AM22" s="14">
        <v>0</v>
      </c>
      <c r="AN22" t="s">
        <v>2644</v>
      </c>
      <c r="AO22" s="12">
        <v>46023</v>
      </c>
      <c r="AP22">
        <v>2026</v>
      </c>
      <c r="AQ22">
        <v>1</v>
      </c>
      <c r="AR22" t="s">
        <v>2645</v>
      </c>
    </row>
    <row r="23" spans="1:44">
      <c r="A23" t="s">
        <v>400</v>
      </c>
      <c r="B23" s="12">
        <v>46039</v>
      </c>
      <c r="C23" s="12">
        <v>46022</v>
      </c>
      <c r="D23" t="s">
        <v>402</v>
      </c>
      <c r="E23" t="s">
        <v>339</v>
      </c>
      <c r="F23" t="s">
        <v>256</v>
      </c>
      <c r="G23" t="s">
        <v>403</v>
      </c>
      <c r="H23" t="s">
        <v>127</v>
      </c>
      <c r="I23" t="s">
        <v>299</v>
      </c>
      <c r="J23" s="13">
        <v>0.33333333333333331</v>
      </c>
      <c r="K23" s="13"/>
      <c r="L23" s="13"/>
      <c r="M23">
        <v>0</v>
      </c>
      <c r="N23" s="14">
        <v>95</v>
      </c>
      <c r="O23" t="s">
        <v>169</v>
      </c>
      <c r="Q23" t="s">
        <v>262</v>
      </c>
      <c r="R23" t="s">
        <v>263</v>
      </c>
      <c r="S23">
        <v>0</v>
      </c>
      <c r="T23">
        <v>0</v>
      </c>
      <c r="U23" t="s">
        <v>2294</v>
      </c>
      <c r="V23" t="s">
        <v>2295</v>
      </c>
      <c r="W23" t="s">
        <v>2296</v>
      </c>
      <c r="X23" t="s">
        <v>2297</v>
      </c>
      <c r="Y23" t="s">
        <v>2298</v>
      </c>
      <c r="Z23" t="s">
        <v>2312</v>
      </c>
      <c r="AA23">
        <v>21</v>
      </c>
      <c r="AB23" s="14">
        <v>95</v>
      </c>
      <c r="AC23" t="s">
        <v>2313</v>
      </c>
      <c r="AD23" t="s">
        <v>2314</v>
      </c>
      <c r="AE23" t="s">
        <v>2643</v>
      </c>
      <c r="AF23">
        <v>17</v>
      </c>
      <c r="AG23">
        <v>1</v>
      </c>
      <c r="AJ23">
        <v>0</v>
      </c>
      <c r="AL23">
        <v>1</v>
      </c>
      <c r="AM23" s="14">
        <v>0</v>
      </c>
      <c r="AN23" t="s">
        <v>2644</v>
      </c>
      <c r="AO23" s="12">
        <v>46023</v>
      </c>
      <c r="AP23">
        <v>2026</v>
      </c>
      <c r="AQ23">
        <v>1</v>
      </c>
      <c r="AR23" t="s">
        <v>2645</v>
      </c>
    </row>
    <row r="24" spans="1:44">
      <c r="A24" t="s">
        <v>405</v>
      </c>
      <c r="B24" s="12">
        <v>46050</v>
      </c>
      <c r="C24" s="12">
        <v>46048</v>
      </c>
      <c r="D24" t="s">
        <v>408</v>
      </c>
      <c r="E24" t="s">
        <v>255</v>
      </c>
      <c r="F24" t="s">
        <v>409</v>
      </c>
      <c r="G24" t="s">
        <v>410</v>
      </c>
      <c r="H24" t="s">
        <v>122</v>
      </c>
      <c r="I24" t="s">
        <v>316</v>
      </c>
      <c r="J24" s="13">
        <v>0.41666666666666669</v>
      </c>
      <c r="K24" s="13"/>
      <c r="L24" s="13"/>
      <c r="M24">
        <v>0</v>
      </c>
      <c r="N24" s="14">
        <v>150</v>
      </c>
      <c r="O24" t="s">
        <v>195</v>
      </c>
      <c r="Q24" t="s">
        <v>305</v>
      </c>
      <c r="R24" t="s">
        <v>263</v>
      </c>
      <c r="S24">
        <v>0</v>
      </c>
      <c r="T24">
        <v>0</v>
      </c>
      <c r="U24" t="s">
        <v>2299</v>
      </c>
      <c r="V24" t="s">
        <v>2295</v>
      </c>
      <c r="W24" t="s">
        <v>2300</v>
      </c>
      <c r="X24" t="s">
        <v>2288</v>
      </c>
      <c r="Y24" t="s">
        <v>2301</v>
      </c>
      <c r="Z24" t="s">
        <v>2318</v>
      </c>
      <c r="AA24">
        <v>28</v>
      </c>
      <c r="AB24" s="14">
        <v>150</v>
      </c>
      <c r="AC24" t="s">
        <v>2319</v>
      </c>
      <c r="AD24" t="s">
        <v>2320</v>
      </c>
      <c r="AE24" t="s">
        <v>2643</v>
      </c>
      <c r="AF24">
        <v>2</v>
      </c>
      <c r="AG24">
        <v>1</v>
      </c>
      <c r="AJ24">
        <v>1</v>
      </c>
      <c r="AK24">
        <v>1</v>
      </c>
      <c r="AL24">
        <v>1</v>
      </c>
      <c r="AM24" s="14">
        <v>0</v>
      </c>
      <c r="AN24" t="s">
        <v>2644</v>
      </c>
      <c r="AO24" s="12">
        <v>46023</v>
      </c>
      <c r="AP24">
        <v>2026</v>
      </c>
      <c r="AQ24">
        <v>1</v>
      </c>
      <c r="AR24" t="s">
        <v>2645</v>
      </c>
    </row>
    <row r="25" spans="1:44">
      <c r="A25" t="s">
        <v>413</v>
      </c>
      <c r="B25" s="12">
        <v>46048</v>
      </c>
      <c r="C25" s="12">
        <v>46031</v>
      </c>
      <c r="D25" t="s">
        <v>414</v>
      </c>
      <c r="E25" t="s">
        <v>281</v>
      </c>
      <c r="F25" t="s">
        <v>269</v>
      </c>
      <c r="G25" t="s">
        <v>322</v>
      </c>
      <c r="H25" t="s">
        <v>115</v>
      </c>
      <c r="I25" t="s">
        <v>316</v>
      </c>
      <c r="J25" s="13">
        <v>0.39583333333333331</v>
      </c>
      <c r="K25" s="13">
        <v>0.39861111111111114</v>
      </c>
      <c r="L25" s="13">
        <v>0.39583333333333331</v>
      </c>
      <c r="M25">
        <v>20</v>
      </c>
      <c r="N25" s="14">
        <v>80</v>
      </c>
      <c r="O25" t="s">
        <v>195</v>
      </c>
      <c r="P25">
        <v>2</v>
      </c>
      <c r="Q25" t="s">
        <v>285</v>
      </c>
      <c r="R25" t="s">
        <v>263</v>
      </c>
      <c r="S25">
        <v>0</v>
      </c>
      <c r="T25">
        <v>0</v>
      </c>
      <c r="U25" t="s">
        <v>2290</v>
      </c>
      <c r="V25" t="s">
        <v>2291</v>
      </c>
      <c r="W25" t="s">
        <v>2292</v>
      </c>
      <c r="X25" t="s">
        <v>2288</v>
      </c>
      <c r="Y25" t="s">
        <v>2293</v>
      </c>
      <c r="Z25" t="s">
        <v>2315</v>
      </c>
      <c r="AA25">
        <v>10</v>
      </c>
      <c r="AB25" s="14">
        <v>80</v>
      </c>
      <c r="AC25" t="s">
        <v>2316</v>
      </c>
      <c r="AD25" t="s">
        <v>2317</v>
      </c>
      <c r="AE25" t="s">
        <v>2643</v>
      </c>
      <c r="AF25">
        <v>17</v>
      </c>
      <c r="AG25">
        <v>0</v>
      </c>
      <c r="AJ25">
        <v>1</v>
      </c>
      <c r="AK25">
        <v>0</v>
      </c>
      <c r="AL25">
        <v>1</v>
      </c>
      <c r="AM25" s="14">
        <v>0</v>
      </c>
      <c r="AN25" t="s">
        <v>2644</v>
      </c>
      <c r="AO25" s="12">
        <v>46023</v>
      </c>
      <c r="AP25">
        <v>2026</v>
      </c>
      <c r="AQ25">
        <v>1</v>
      </c>
      <c r="AR25" t="s">
        <v>2645</v>
      </c>
    </row>
    <row r="26" spans="1:44">
      <c r="A26" t="s">
        <v>416</v>
      </c>
      <c r="B26" s="12">
        <v>46047</v>
      </c>
      <c r="C26" s="12">
        <v>46036</v>
      </c>
      <c r="D26" t="s">
        <v>418</v>
      </c>
      <c r="E26" t="s">
        <v>268</v>
      </c>
      <c r="F26" t="s">
        <v>256</v>
      </c>
      <c r="G26" t="s">
        <v>419</v>
      </c>
      <c r="H26" t="s">
        <v>115</v>
      </c>
      <c r="I26" t="s">
        <v>316</v>
      </c>
      <c r="J26" s="13">
        <v>0.52083333333333337</v>
      </c>
      <c r="K26" s="13">
        <v>0.53333333333333333</v>
      </c>
      <c r="L26" s="13">
        <v>0.52083333333333337</v>
      </c>
      <c r="M26">
        <v>30</v>
      </c>
      <c r="N26" s="14">
        <v>95</v>
      </c>
      <c r="O26" t="s">
        <v>195</v>
      </c>
      <c r="P26">
        <v>5</v>
      </c>
      <c r="Q26" t="s">
        <v>285</v>
      </c>
      <c r="R26" t="s">
        <v>263</v>
      </c>
      <c r="S26">
        <v>0</v>
      </c>
      <c r="T26">
        <v>0</v>
      </c>
      <c r="U26" t="s">
        <v>2285</v>
      </c>
      <c r="V26" t="s">
        <v>2286</v>
      </c>
      <c r="W26" t="s">
        <v>2287</v>
      </c>
      <c r="X26" t="s">
        <v>2288</v>
      </c>
      <c r="Y26" t="s">
        <v>2289</v>
      </c>
      <c r="Z26" t="s">
        <v>2312</v>
      </c>
      <c r="AA26">
        <v>21</v>
      </c>
      <c r="AB26" s="14">
        <v>95</v>
      </c>
      <c r="AC26" t="s">
        <v>2313</v>
      </c>
      <c r="AD26" t="s">
        <v>2314</v>
      </c>
      <c r="AE26" t="s">
        <v>2643</v>
      </c>
      <c r="AF26">
        <v>11</v>
      </c>
      <c r="AG26">
        <v>1</v>
      </c>
      <c r="AJ26">
        <v>1</v>
      </c>
      <c r="AK26">
        <v>0</v>
      </c>
      <c r="AL26">
        <v>1</v>
      </c>
      <c r="AM26" s="14">
        <v>0</v>
      </c>
      <c r="AN26" t="s">
        <v>2644</v>
      </c>
      <c r="AO26" s="12">
        <v>46023</v>
      </c>
      <c r="AP26">
        <v>2026</v>
      </c>
      <c r="AQ26">
        <v>1</v>
      </c>
      <c r="AR26" t="s">
        <v>2645</v>
      </c>
    </row>
    <row r="27" spans="1:44">
      <c r="A27" t="s">
        <v>421</v>
      </c>
      <c r="B27" s="12">
        <v>46036</v>
      </c>
      <c r="C27" s="12">
        <v>46011</v>
      </c>
      <c r="D27" t="s">
        <v>423</v>
      </c>
      <c r="E27" t="s">
        <v>255</v>
      </c>
      <c r="F27" t="s">
        <v>282</v>
      </c>
      <c r="G27" t="s">
        <v>424</v>
      </c>
      <c r="H27" t="s">
        <v>115</v>
      </c>
      <c r="I27" t="s">
        <v>271</v>
      </c>
      <c r="J27" s="13">
        <v>0.375</v>
      </c>
      <c r="K27" s="13">
        <v>0.37291666666666667</v>
      </c>
      <c r="L27" s="13">
        <v>0.38472222222222224</v>
      </c>
      <c r="M27">
        <v>30</v>
      </c>
      <c r="N27" s="14">
        <v>120</v>
      </c>
      <c r="O27" t="s">
        <v>169</v>
      </c>
      <c r="P27">
        <v>5</v>
      </c>
      <c r="Q27" t="s">
        <v>326</v>
      </c>
      <c r="R27" t="s">
        <v>263</v>
      </c>
      <c r="S27">
        <v>0</v>
      </c>
      <c r="T27">
        <v>0</v>
      </c>
      <c r="U27" t="s">
        <v>2299</v>
      </c>
      <c r="V27" t="s">
        <v>2295</v>
      </c>
      <c r="W27" t="s">
        <v>2300</v>
      </c>
      <c r="X27" t="s">
        <v>2288</v>
      </c>
      <c r="Y27" t="s">
        <v>2301</v>
      </c>
      <c r="Z27" t="s">
        <v>2309</v>
      </c>
      <c r="AA27">
        <v>14</v>
      </c>
      <c r="AB27" s="14">
        <v>120</v>
      </c>
      <c r="AC27" t="s">
        <v>2310</v>
      </c>
      <c r="AD27" t="s">
        <v>2311</v>
      </c>
      <c r="AE27" t="s">
        <v>2643</v>
      </c>
      <c r="AF27">
        <v>25</v>
      </c>
      <c r="AG27">
        <v>0</v>
      </c>
      <c r="AH27">
        <v>17</v>
      </c>
      <c r="AI27">
        <v>1</v>
      </c>
      <c r="AJ27">
        <v>1</v>
      </c>
      <c r="AK27">
        <v>0</v>
      </c>
      <c r="AL27">
        <v>1</v>
      </c>
      <c r="AM27" s="14">
        <v>0</v>
      </c>
      <c r="AN27" t="s">
        <v>2644</v>
      </c>
      <c r="AO27" s="12">
        <v>46023</v>
      </c>
      <c r="AP27">
        <v>2026</v>
      </c>
      <c r="AQ27">
        <v>1</v>
      </c>
      <c r="AR27" t="s">
        <v>2645</v>
      </c>
    </row>
    <row r="28" spans="1:44">
      <c r="A28" t="s">
        <v>427</v>
      </c>
      <c r="B28" s="12">
        <v>46042</v>
      </c>
      <c r="C28" s="12">
        <v>46030</v>
      </c>
      <c r="D28" t="s">
        <v>428</v>
      </c>
      <c r="E28" t="s">
        <v>281</v>
      </c>
      <c r="F28" t="s">
        <v>256</v>
      </c>
      <c r="G28" t="s">
        <v>429</v>
      </c>
      <c r="H28" t="s">
        <v>115</v>
      </c>
      <c r="I28" t="s">
        <v>258</v>
      </c>
      <c r="J28" s="13">
        <v>0.58333333333333337</v>
      </c>
      <c r="K28" s="13">
        <v>0.58611111111111114</v>
      </c>
      <c r="L28" s="13">
        <v>0.60277777777777775</v>
      </c>
      <c r="M28">
        <v>30</v>
      </c>
      <c r="N28" s="14">
        <v>95</v>
      </c>
      <c r="O28" t="s">
        <v>195</v>
      </c>
      <c r="P28">
        <v>3</v>
      </c>
      <c r="Q28" t="s">
        <v>318</v>
      </c>
      <c r="R28" t="s">
        <v>263</v>
      </c>
      <c r="S28">
        <v>0</v>
      </c>
      <c r="T28">
        <v>0</v>
      </c>
      <c r="U28" t="s">
        <v>2290</v>
      </c>
      <c r="V28" t="s">
        <v>2291</v>
      </c>
      <c r="W28" t="s">
        <v>2292</v>
      </c>
      <c r="X28" t="s">
        <v>2288</v>
      </c>
      <c r="Y28" t="s">
        <v>2293</v>
      </c>
      <c r="Z28" t="s">
        <v>2312</v>
      </c>
      <c r="AA28">
        <v>21</v>
      </c>
      <c r="AB28" s="14">
        <v>95</v>
      </c>
      <c r="AC28" t="s">
        <v>2313</v>
      </c>
      <c r="AD28" t="s">
        <v>2314</v>
      </c>
      <c r="AE28" t="s">
        <v>2643</v>
      </c>
      <c r="AF28">
        <v>12</v>
      </c>
      <c r="AG28">
        <v>1</v>
      </c>
      <c r="AH28">
        <v>24</v>
      </c>
      <c r="AI28">
        <v>1</v>
      </c>
      <c r="AJ28">
        <v>1</v>
      </c>
      <c r="AK28">
        <v>0</v>
      </c>
      <c r="AL28">
        <v>1</v>
      </c>
      <c r="AM28" s="14">
        <v>0</v>
      </c>
      <c r="AN28" t="s">
        <v>2644</v>
      </c>
      <c r="AO28" s="12">
        <v>46023</v>
      </c>
      <c r="AP28">
        <v>2026</v>
      </c>
      <c r="AQ28">
        <v>1</v>
      </c>
      <c r="AR28" t="s">
        <v>2645</v>
      </c>
    </row>
    <row r="29" spans="1:44">
      <c r="A29" t="s">
        <v>432</v>
      </c>
      <c r="B29" s="12">
        <v>46025</v>
      </c>
      <c r="C29" s="12">
        <v>46008</v>
      </c>
      <c r="D29" t="s">
        <v>434</v>
      </c>
      <c r="E29" t="s">
        <v>268</v>
      </c>
      <c r="F29" t="s">
        <v>269</v>
      </c>
      <c r="G29" t="s">
        <v>435</v>
      </c>
      <c r="H29" t="s">
        <v>115</v>
      </c>
      <c r="I29" t="s">
        <v>271</v>
      </c>
      <c r="J29" s="13">
        <v>0.5625</v>
      </c>
      <c r="K29" s="13">
        <v>0.56111111111111112</v>
      </c>
      <c r="L29" s="13">
        <v>0.56944444444444442</v>
      </c>
      <c r="M29">
        <v>20</v>
      </c>
      <c r="N29" s="14">
        <v>80</v>
      </c>
      <c r="O29" t="s">
        <v>195</v>
      </c>
      <c r="P29">
        <v>4</v>
      </c>
      <c r="Q29" t="s">
        <v>305</v>
      </c>
      <c r="R29" t="s">
        <v>263</v>
      </c>
      <c r="S29">
        <v>0</v>
      </c>
      <c r="T29">
        <v>0</v>
      </c>
      <c r="U29" t="s">
        <v>2285</v>
      </c>
      <c r="V29" t="s">
        <v>2286</v>
      </c>
      <c r="W29" t="s">
        <v>2287</v>
      </c>
      <c r="X29" t="s">
        <v>2288</v>
      </c>
      <c r="Y29" t="s">
        <v>2289</v>
      </c>
      <c r="Z29" t="s">
        <v>2315</v>
      </c>
      <c r="AA29">
        <v>10</v>
      </c>
      <c r="AB29" s="14">
        <v>80</v>
      </c>
      <c r="AC29" t="s">
        <v>2316</v>
      </c>
      <c r="AD29" t="s">
        <v>2317</v>
      </c>
      <c r="AE29" t="s">
        <v>2643</v>
      </c>
      <c r="AF29">
        <v>17</v>
      </c>
      <c r="AG29">
        <v>0</v>
      </c>
      <c r="AH29">
        <v>12</v>
      </c>
      <c r="AI29">
        <v>1</v>
      </c>
      <c r="AJ29">
        <v>1</v>
      </c>
      <c r="AK29">
        <v>0</v>
      </c>
      <c r="AL29">
        <v>1</v>
      </c>
      <c r="AM29" s="14">
        <v>0</v>
      </c>
      <c r="AN29" t="s">
        <v>2644</v>
      </c>
      <c r="AO29" s="12">
        <v>46023</v>
      </c>
      <c r="AP29">
        <v>2026</v>
      </c>
      <c r="AQ29">
        <v>1</v>
      </c>
      <c r="AR29" t="s">
        <v>2645</v>
      </c>
    </row>
    <row r="30" spans="1:44">
      <c r="A30" t="s">
        <v>438</v>
      </c>
      <c r="B30" s="12">
        <v>46040</v>
      </c>
      <c r="C30" s="12">
        <v>46005</v>
      </c>
      <c r="D30" t="s">
        <v>441</v>
      </c>
      <c r="E30" t="s">
        <v>339</v>
      </c>
      <c r="F30" t="s">
        <v>256</v>
      </c>
      <c r="G30" t="s">
        <v>345</v>
      </c>
      <c r="H30" t="s">
        <v>115</v>
      </c>
      <c r="I30" t="s">
        <v>258</v>
      </c>
      <c r="J30" s="13">
        <v>0.41666666666666669</v>
      </c>
      <c r="K30" s="13">
        <v>0.42708333333333331</v>
      </c>
      <c r="L30" s="13">
        <v>0.44166666666666665</v>
      </c>
      <c r="M30">
        <v>45</v>
      </c>
      <c r="N30" s="14">
        <v>95</v>
      </c>
      <c r="O30" t="s">
        <v>195</v>
      </c>
      <c r="P30">
        <v>4</v>
      </c>
      <c r="Q30" t="s">
        <v>285</v>
      </c>
      <c r="R30" t="s">
        <v>263</v>
      </c>
      <c r="S30">
        <v>0</v>
      </c>
      <c r="T30">
        <v>0</v>
      </c>
      <c r="U30" t="s">
        <v>2294</v>
      </c>
      <c r="V30" t="s">
        <v>2295</v>
      </c>
      <c r="W30" t="s">
        <v>2296</v>
      </c>
      <c r="X30" t="s">
        <v>2297</v>
      </c>
      <c r="Y30" t="s">
        <v>2298</v>
      </c>
      <c r="Z30" t="s">
        <v>2312</v>
      </c>
      <c r="AA30">
        <v>21</v>
      </c>
      <c r="AB30" s="14">
        <v>95</v>
      </c>
      <c r="AC30" t="s">
        <v>2313</v>
      </c>
      <c r="AD30" t="s">
        <v>2314</v>
      </c>
      <c r="AE30" t="s">
        <v>2643</v>
      </c>
      <c r="AF30">
        <v>35</v>
      </c>
      <c r="AG30">
        <v>0</v>
      </c>
      <c r="AH30">
        <v>21</v>
      </c>
      <c r="AI30">
        <v>1</v>
      </c>
      <c r="AJ30">
        <v>1</v>
      </c>
      <c r="AK30">
        <v>0</v>
      </c>
      <c r="AL30">
        <v>1</v>
      </c>
      <c r="AM30" s="14">
        <v>0</v>
      </c>
      <c r="AN30" t="s">
        <v>2644</v>
      </c>
      <c r="AO30" s="12">
        <v>46023</v>
      </c>
      <c r="AP30">
        <v>2026</v>
      </c>
      <c r="AQ30">
        <v>1</v>
      </c>
      <c r="AR30" t="s">
        <v>2645</v>
      </c>
    </row>
    <row r="31" spans="1:44">
      <c r="A31" t="s">
        <v>444</v>
      </c>
      <c r="B31" s="12">
        <v>46050</v>
      </c>
      <c r="C31" s="12">
        <v>46048</v>
      </c>
      <c r="D31" t="s">
        <v>445</v>
      </c>
      <c r="E31" t="s">
        <v>281</v>
      </c>
      <c r="F31" t="s">
        <v>282</v>
      </c>
      <c r="G31" t="s">
        <v>446</v>
      </c>
      <c r="H31" t="s">
        <v>127</v>
      </c>
      <c r="I31" t="s">
        <v>258</v>
      </c>
      <c r="J31" s="13">
        <v>0.47916666666666669</v>
      </c>
      <c r="K31" s="13"/>
      <c r="L31" s="13"/>
      <c r="M31">
        <v>0</v>
      </c>
      <c r="N31" s="14">
        <v>120</v>
      </c>
      <c r="O31" t="s">
        <v>169</v>
      </c>
      <c r="Q31" t="s">
        <v>285</v>
      </c>
      <c r="R31" t="s">
        <v>263</v>
      </c>
      <c r="S31">
        <v>0</v>
      </c>
      <c r="T31">
        <v>0</v>
      </c>
      <c r="U31" t="s">
        <v>2290</v>
      </c>
      <c r="V31" t="s">
        <v>2291</v>
      </c>
      <c r="W31" t="s">
        <v>2292</v>
      </c>
      <c r="X31" t="s">
        <v>2288</v>
      </c>
      <c r="Y31" t="s">
        <v>2293</v>
      </c>
      <c r="Z31" t="s">
        <v>2309</v>
      </c>
      <c r="AA31">
        <v>14</v>
      </c>
      <c r="AB31" s="14">
        <v>120</v>
      </c>
      <c r="AC31" t="s">
        <v>2310</v>
      </c>
      <c r="AD31" t="s">
        <v>2311</v>
      </c>
      <c r="AE31" t="s">
        <v>2643</v>
      </c>
      <c r="AF31">
        <v>2</v>
      </c>
      <c r="AG31">
        <v>1</v>
      </c>
      <c r="AJ31">
        <v>0</v>
      </c>
      <c r="AL31">
        <v>1</v>
      </c>
      <c r="AM31" s="14">
        <v>0</v>
      </c>
      <c r="AN31" t="s">
        <v>2644</v>
      </c>
      <c r="AO31" s="12">
        <v>46023</v>
      </c>
      <c r="AP31">
        <v>2026</v>
      </c>
      <c r="AQ31">
        <v>1</v>
      </c>
      <c r="AR31" t="s">
        <v>2645</v>
      </c>
    </row>
    <row r="32" spans="1:44">
      <c r="A32" t="s">
        <v>448</v>
      </c>
      <c r="B32" s="12">
        <v>46041</v>
      </c>
      <c r="C32" s="12">
        <v>46016</v>
      </c>
      <c r="D32" t="s">
        <v>450</v>
      </c>
      <c r="E32" t="s">
        <v>281</v>
      </c>
      <c r="F32" t="s">
        <v>282</v>
      </c>
      <c r="G32" t="s">
        <v>283</v>
      </c>
      <c r="H32" t="s">
        <v>115</v>
      </c>
      <c r="I32" t="s">
        <v>271</v>
      </c>
      <c r="J32" s="13">
        <v>0.54166666666666663</v>
      </c>
      <c r="K32" s="13">
        <v>0.53819444444444442</v>
      </c>
      <c r="L32" s="13">
        <v>0.5625</v>
      </c>
      <c r="M32">
        <v>20</v>
      </c>
      <c r="N32" s="14">
        <v>120</v>
      </c>
      <c r="O32" t="s">
        <v>169</v>
      </c>
      <c r="P32">
        <v>5</v>
      </c>
      <c r="Q32" t="s">
        <v>326</v>
      </c>
      <c r="R32" t="s">
        <v>263</v>
      </c>
      <c r="S32">
        <v>0</v>
      </c>
      <c r="T32">
        <v>0</v>
      </c>
      <c r="U32" t="s">
        <v>2290</v>
      </c>
      <c r="V32" t="s">
        <v>2291</v>
      </c>
      <c r="W32" t="s">
        <v>2292</v>
      </c>
      <c r="X32" t="s">
        <v>2288</v>
      </c>
      <c r="Y32" t="s">
        <v>2293</v>
      </c>
      <c r="Z32" t="s">
        <v>2309</v>
      </c>
      <c r="AA32">
        <v>14</v>
      </c>
      <c r="AB32" s="14">
        <v>120</v>
      </c>
      <c r="AC32" t="s">
        <v>2310</v>
      </c>
      <c r="AD32" t="s">
        <v>2311</v>
      </c>
      <c r="AE32" t="s">
        <v>2643</v>
      </c>
      <c r="AF32">
        <v>25</v>
      </c>
      <c r="AG32">
        <v>0</v>
      </c>
      <c r="AH32">
        <v>35</v>
      </c>
      <c r="AI32">
        <v>0</v>
      </c>
      <c r="AJ32">
        <v>1</v>
      </c>
      <c r="AK32">
        <v>0</v>
      </c>
      <c r="AL32">
        <v>1</v>
      </c>
      <c r="AM32" s="14">
        <v>0</v>
      </c>
      <c r="AN32" t="s">
        <v>2644</v>
      </c>
      <c r="AO32" s="12">
        <v>46023</v>
      </c>
      <c r="AP32">
        <v>2026</v>
      </c>
      <c r="AQ32">
        <v>1</v>
      </c>
      <c r="AR32" t="s">
        <v>2645</v>
      </c>
    </row>
    <row r="33" spans="1:44">
      <c r="A33" t="s">
        <v>453</v>
      </c>
      <c r="B33" s="12">
        <v>46040</v>
      </c>
      <c r="C33" s="12">
        <v>46033</v>
      </c>
      <c r="D33" t="s">
        <v>454</v>
      </c>
      <c r="E33" t="s">
        <v>255</v>
      </c>
      <c r="F33" t="s">
        <v>282</v>
      </c>
      <c r="G33" t="s">
        <v>424</v>
      </c>
      <c r="H33" t="s">
        <v>115</v>
      </c>
      <c r="I33" t="s">
        <v>299</v>
      </c>
      <c r="J33" s="13">
        <v>0.39583333333333331</v>
      </c>
      <c r="K33" s="13">
        <v>0.39027777777777778</v>
      </c>
      <c r="L33" s="13">
        <v>0.39930555555555558</v>
      </c>
      <c r="M33">
        <v>60</v>
      </c>
      <c r="N33" s="14">
        <v>120</v>
      </c>
      <c r="O33" t="s">
        <v>195</v>
      </c>
      <c r="P33">
        <v>5</v>
      </c>
      <c r="Q33" t="s">
        <v>285</v>
      </c>
      <c r="R33" t="s">
        <v>263</v>
      </c>
      <c r="S33">
        <v>0</v>
      </c>
      <c r="T33">
        <v>0</v>
      </c>
      <c r="U33" t="s">
        <v>2299</v>
      </c>
      <c r="V33" t="s">
        <v>2295</v>
      </c>
      <c r="W33" t="s">
        <v>2300</v>
      </c>
      <c r="X33" t="s">
        <v>2288</v>
      </c>
      <c r="Y33" t="s">
        <v>2301</v>
      </c>
      <c r="Z33" t="s">
        <v>2309</v>
      </c>
      <c r="AA33">
        <v>14</v>
      </c>
      <c r="AB33" s="14">
        <v>120</v>
      </c>
      <c r="AC33" t="s">
        <v>2310</v>
      </c>
      <c r="AD33" t="s">
        <v>2311</v>
      </c>
      <c r="AE33" t="s">
        <v>2643</v>
      </c>
      <c r="AF33">
        <v>7</v>
      </c>
      <c r="AG33">
        <v>1</v>
      </c>
      <c r="AH33">
        <v>13</v>
      </c>
      <c r="AI33">
        <v>1</v>
      </c>
      <c r="AJ33">
        <v>1</v>
      </c>
      <c r="AK33">
        <v>0</v>
      </c>
      <c r="AL33">
        <v>1</v>
      </c>
      <c r="AM33" s="14">
        <v>0</v>
      </c>
      <c r="AN33" t="s">
        <v>2644</v>
      </c>
      <c r="AO33" s="12">
        <v>46023</v>
      </c>
      <c r="AP33">
        <v>2026</v>
      </c>
      <c r="AQ33">
        <v>1</v>
      </c>
      <c r="AR33" t="s">
        <v>2645</v>
      </c>
    </row>
    <row r="34" spans="1:44">
      <c r="A34" t="s">
        <v>457</v>
      </c>
      <c r="B34" s="12">
        <v>46023</v>
      </c>
      <c r="C34" s="12">
        <v>46020</v>
      </c>
      <c r="D34" t="s">
        <v>460</v>
      </c>
      <c r="E34" t="s">
        <v>339</v>
      </c>
      <c r="F34" t="s">
        <v>282</v>
      </c>
      <c r="G34" t="s">
        <v>461</v>
      </c>
      <c r="H34" t="s">
        <v>115</v>
      </c>
      <c r="I34" t="s">
        <v>316</v>
      </c>
      <c r="J34" s="13">
        <v>0.5</v>
      </c>
      <c r="K34" s="13">
        <v>0.50347222222222221</v>
      </c>
      <c r="L34" s="13">
        <v>0.51736111111111116</v>
      </c>
      <c r="M34">
        <v>60</v>
      </c>
      <c r="N34" s="14">
        <v>120</v>
      </c>
      <c r="O34" t="s">
        <v>195</v>
      </c>
      <c r="P34">
        <v>2</v>
      </c>
      <c r="Q34" t="s">
        <v>326</v>
      </c>
      <c r="R34" t="s">
        <v>263</v>
      </c>
      <c r="S34">
        <v>0</v>
      </c>
      <c r="T34">
        <v>0</v>
      </c>
      <c r="U34" t="s">
        <v>2294</v>
      </c>
      <c r="V34" t="s">
        <v>2295</v>
      </c>
      <c r="W34" t="s">
        <v>2296</v>
      </c>
      <c r="X34" t="s">
        <v>2297</v>
      </c>
      <c r="Y34" t="s">
        <v>2298</v>
      </c>
      <c r="Z34" t="s">
        <v>2309</v>
      </c>
      <c r="AA34">
        <v>14</v>
      </c>
      <c r="AB34" s="14">
        <v>120</v>
      </c>
      <c r="AC34" t="s">
        <v>2310</v>
      </c>
      <c r="AD34" t="s">
        <v>2311</v>
      </c>
      <c r="AE34" t="s">
        <v>2643</v>
      </c>
      <c r="AF34">
        <v>3</v>
      </c>
      <c r="AG34">
        <v>1</v>
      </c>
      <c r="AH34">
        <v>20</v>
      </c>
      <c r="AI34">
        <v>1</v>
      </c>
      <c r="AJ34">
        <v>1</v>
      </c>
      <c r="AK34">
        <v>0</v>
      </c>
      <c r="AL34">
        <v>1</v>
      </c>
      <c r="AM34" s="14">
        <v>0</v>
      </c>
      <c r="AN34" t="s">
        <v>2644</v>
      </c>
      <c r="AO34" s="12">
        <v>46023</v>
      </c>
      <c r="AP34">
        <v>2026</v>
      </c>
      <c r="AQ34">
        <v>1</v>
      </c>
      <c r="AR34" t="s">
        <v>2645</v>
      </c>
    </row>
    <row r="35" spans="1:44">
      <c r="A35" t="s">
        <v>463</v>
      </c>
      <c r="B35" s="12">
        <v>46042</v>
      </c>
      <c r="C35" s="12">
        <v>46027</v>
      </c>
      <c r="D35" t="s">
        <v>465</v>
      </c>
      <c r="E35" t="s">
        <v>339</v>
      </c>
      <c r="F35" t="s">
        <v>282</v>
      </c>
      <c r="G35" t="s">
        <v>461</v>
      </c>
      <c r="H35" t="s">
        <v>466</v>
      </c>
      <c r="I35" t="s">
        <v>299</v>
      </c>
      <c r="J35" s="13">
        <v>0.33333333333333331</v>
      </c>
      <c r="K35" s="13"/>
      <c r="L35" s="13"/>
      <c r="M35">
        <v>0</v>
      </c>
      <c r="N35" s="14">
        <v>120</v>
      </c>
      <c r="O35" t="s">
        <v>195</v>
      </c>
      <c r="Q35" t="s">
        <v>262</v>
      </c>
      <c r="R35" t="s">
        <v>263</v>
      </c>
      <c r="S35">
        <v>0</v>
      </c>
      <c r="T35">
        <v>0</v>
      </c>
      <c r="U35" t="s">
        <v>2294</v>
      </c>
      <c r="V35" t="s">
        <v>2295</v>
      </c>
      <c r="W35" t="s">
        <v>2296</v>
      </c>
      <c r="X35" t="s">
        <v>2297</v>
      </c>
      <c r="Y35" t="s">
        <v>2298</v>
      </c>
      <c r="Z35" t="s">
        <v>2309</v>
      </c>
      <c r="AA35">
        <v>14</v>
      </c>
      <c r="AB35" s="14">
        <v>120</v>
      </c>
      <c r="AC35" t="s">
        <v>2310</v>
      </c>
      <c r="AD35" t="s">
        <v>2311</v>
      </c>
      <c r="AE35" t="s">
        <v>2643</v>
      </c>
      <c r="AF35">
        <v>15</v>
      </c>
      <c r="AG35">
        <v>0</v>
      </c>
      <c r="AJ35">
        <v>0</v>
      </c>
      <c r="AL35">
        <v>1</v>
      </c>
      <c r="AM35" s="14">
        <v>0</v>
      </c>
      <c r="AN35" t="s">
        <v>2644</v>
      </c>
      <c r="AO35" s="12">
        <v>46023</v>
      </c>
      <c r="AP35">
        <v>2026</v>
      </c>
      <c r="AQ35">
        <v>1</v>
      </c>
      <c r="AR35" t="s">
        <v>2645</v>
      </c>
    </row>
    <row r="36" spans="1:44">
      <c r="A36" t="s">
        <v>467</v>
      </c>
      <c r="B36" s="12">
        <v>46047</v>
      </c>
      <c r="C36" s="12">
        <v>46039</v>
      </c>
      <c r="D36" t="s">
        <v>468</v>
      </c>
      <c r="E36" t="s">
        <v>339</v>
      </c>
      <c r="F36" t="s">
        <v>269</v>
      </c>
      <c r="G36" t="s">
        <v>340</v>
      </c>
      <c r="H36" t="s">
        <v>115</v>
      </c>
      <c r="I36" t="s">
        <v>258</v>
      </c>
      <c r="J36" s="13">
        <v>0.64583333333333337</v>
      </c>
      <c r="K36" s="13">
        <v>0.64652777777777781</v>
      </c>
      <c r="L36" s="13">
        <v>0.65555555555555556</v>
      </c>
      <c r="M36">
        <v>30</v>
      </c>
      <c r="N36" s="14">
        <v>80</v>
      </c>
      <c r="O36" t="s">
        <v>195</v>
      </c>
      <c r="P36">
        <v>4</v>
      </c>
      <c r="Q36" t="s">
        <v>262</v>
      </c>
      <c r="R36" t="s">
        <v>263</v>
      </c>
      <c r="S36">
        <v>0</v>
      </c>
      <c r="T36">
        <v>0</v>
      </c>
      <c r="U36" t="s">
        <v>2294</v>
      </c>
      <c r="V36" t="s">
        <v>2295</v>
      </c>
      <c r="W36" t="s">
        <v>2296</v>
      </c>
      <c r="X36" t="s">
        <v>2297</v>
      </c>
      <c r="Y36" t="s">
        <v>2298</v>
      </c>
      <c r="Z36" t="s">
        <v>2315</v>
      </c>
      <c r="AA36">
        <v>10</v>
      </c>
      <c r="AB36" s="14">
        <v>80</v>
      </c>
      <c r="AC36" t="s">
        <v>2316</v>
      </c>
      <c r="AD36" t="s">
        <v>2317</v>
      </c>
      <c r="AE36" t="s">
        <v>2643</v>
      </c>
      <c r="AF36">
        <v>8</v>
      </c>
      <c r="AG36">
        <v>1</v>
      </c>
      <c r="AH36">
        <v>13</v>
      </c>
      <c r="AI36">
        <v>1</v>
      </c>
      <c r="AJ36">
        <v>1</v>
      </c>
      <c r="AK36">
        <v>0</v>
      </c>
      <c r="AL36">
        <v>1</v>
      </c>
      <c r="AM36" s="14">
        <v>0</v>
      </c>
      <c r="AN36" t="s">
        <v>2644</v>
      </c>
      <c r="AO36" s="12">
        <v>46023</v>
      </c>
      <c r="AP36">
        <v>2026</v>
      </c>
      <c r="AQ36">
        <v>1</v>
      </c>
      <c r="AR36" t="s">
        <v>2645</v>
      </c>
    </row>
    <row r="37" spans="1:44">
      <c r="A37" t="s">
        <v>472</v>
      </c>
      <c r="B37" s="12">
        <v>46043</v>
      </c>
      <c r="C37" s="12">
        <v>46010</v>
      </c>
      <c r="D37" t="s">
        <v>475</v>
      </c>
      <c r="E37" t="s">
        <v>339</v>
      </c>
      <c r="F37" t="s">
        <v>409</v>
      </c>
      <c r="G37" t="s">
        <v>476</v>
      </c>
      <c r="H37" t="s">
        <v>115</v>
      </c>
      <c r="I37" t="s">
        <v>299</v>
      </c>
      <c r="J37" s="13">
        <v>0.66666666666666663</v>
      </c>
      <c r="K37" s="13">
        <v>0.67152777777777772</v>
      </c>
      <c r="L37" s="13">
        <v>0.67291666666666672</v>
      </c>
      <c r="M37">
        <v>20</v>
      </c>
      <c r="N37" s="14">
        <v>150</v>
      </c>
      <c r="O37" t="s">
        <v>195</v>
      </c>
      <c r="P37">
        <v>5</v>
      </c>
      <c r="Q37" t="s">
        <v>326</v>
      </c>
      <c r="R37" t="s">
        <v>263</v>
      </c>
      <c r="S37">
        <v>0</v>
      </c>
      <c r="T37">
        <v>0</v>
      </c>
      <c r="U37" t="s">
        <v>2294</v>
      </c>
      <c r="V37" t="s">
        <v>2295</v>
      </c>
      <c r="W37" t="s">
        <v>2296</v>
      </c>
      <c r="X37" t="s">
        <v>2297</v>
      </c>
      <c r="Y37" t="s">
        <v>2298</v>
      </c>
      <c r="Z37" t="s">
        <v>2318</v>
      </c>
      <c r="AA37">
        <v>28</v>
      </c>
      <c r="AB37" s="14">
        <v>150</v>
      </c>
      <c r="AC37" t="s">
        <v>2319</v>
      </c>
      <c r="AD37" t="s">
        <v>2320</v>
      </c>
      <c r="AE37" t="s">
        <v>2643</v>
      </c>
      <c r="AF37">
        <v>33</v>
      </c>
      <c r="AG37">
        <v>0</v>
      </c>
      <c r="AH37">
        <v>2</v>
      </c>
      <c r="AI37">
        <v>1</v>
      </c>
      <c r="AJ37">
        <v>1</v>
      </c>
      <c r="AK37">
        <v>0</v>
      </c>
      <c r="AL37">
        <v>1</v>
      </c>
      <c r="AM37" s="14">
        <v>0</v>
      </c>
      <c r="AN37" t="s">
        <v>2644</v>
      </c>
      <c r="AO37" s="12">
        <v>46023</v>
      </c>
      <c r="AP37">
        <v>2026</v>
      </c>
      <c r="AQ37">
        <v>1</v>
      </c>
      <c r="AR37" t="s">
        <v>2645</v>
      </c>
    </row>
    <row r="38" spans="1:44">
      <c r="A38" t="s">
        <v>479</v>
      </c>
      <c r="B38" s="12">
        <v>46033</v>
      </c>
      <c r="C38" s="12">
        <v>45985</v>
      </c>
      <c r="D38" t="s">
        <v>480</v>
      </c>
      <c r="E38" t="s">
        <v>339</v>
      </c>
      <c r="F38" t="s">
        <v>256</v>
      </c>
      <c r="G38" t="s">
        <v>403</v>
      </c>
      <c r="H38" t="s">
        <v>115</v>
      </c>
      <c r="I38" t="s">
        <v>316</v>
      </c>
      <c r="J38" s="13">
        <v>0.4375</v>
      </c>
      <c r="K38" s="13">
        <v>0.4465277777777778</v>
      </c>
      <c r="L38" s="13">
        <v>0.45</v>
      </c>
      <c r="M38">
        <v>20</v>
      </c>
      <c r="N38" s="14">
        <v>95</v>
      </c>
      <c r="O38" t="s">
        <v>195</v>
      </c>
      <c r="P38">
        <v>2</v>
      </c>
      <c r="Q38" t="s">
        <v>326</v>
      </c>
      <c r="R38" t="s">
        <v>263</v>
      </c>
      <c r="S38">
        <v>0</v>
      </c>
      <c r="T38">
        <v>0</v>
      </c>
      <c r="U38" t="s">
        <v>2294</v>
      </c>
      <c r="V38" t="s">
        <v>2295</v>
      </c>
      <c r="W38" t="s">
        <v>2296</v>
      </c>
      <c r="X38" t="s">
        <v>2297</v>
      </c>
      <c r="Y38" t="s">
        <v>2298</v>
      </c>
      <c r="Z38" t="s">
        <v>2312</v>
      </c>
      <c r="AA38">
        <v>21</v>
      </c>
      <c r="AB38" s="14">
        <v>95</v>
      </c>
      <c r="AC38" t="s">
        <v>2313</v>
      </c>
      <c r="AD38" t="s">
        <v>2314</v>
      </c>
      <c r="AE38" t="s">
        <v>2643</v>
      </c>
      <c r="AF38">
        <v>48</v>
      </c>
      <c r="AG38">
        <v>0</v>
      </c>
      <c r="AH38">
        <v>5</v>
      </c>
      <c r="AI38">
        <v>1</v>
      </c>
      <c r="AJ38">
        <v>1</v>
      </c>
      <c r="AK38">
        <v>0</v>
      </c>
      <c r="AL38">
        <v>1</v>
      </c>
      <c r="AM38" s="14">
        <v>0</v>
      </c>
      <c r="AN38" t="s">
        <v>2644</v>
      </c>
      <c r="AO38" s="12">
        <v>46023</v>
      </c>
      <c r="AP38">
        <v>2026</v>
      </c>
      <c r="AQ38">
        <v>1</v>
      </c>
      <c r="AR38" t="s">
        <v>2645</v>
      </c>
    </row>
    <row r="39" spans="1:44">
      <c r="A39" t="s">
        <v>484</v>
      </c>
      <c r="B39" s="12">
        <v>46048</v>
      </c>
      <c r="C39" s="12">
        <v>46001</v>
      </c>
      <c r="D39" t="s">
        <v>486</v>
      </c>
      <c r="E39" t="s">
        <v>281</v>
      </c>
      <c r="F39" t="s">
        <v>282</v>
      </c>
      <c r="G39" t="s">
        <v>446</v>
      </c>
      <c r="H39" t="s">
        <v>115</v>
      </c>
      <c r="I39" t="s">
        <v>299</v>
      </c>
      <c r="J39" s="13">
        <v>0.5625</v>
      </c>
      <c r="K39" s="13">
        <v>0.56041666666666667</v>
      </c>
      <c r="L39" s="13">
        <v>0.59027777777777779</v>
      </c>
      <c r="M39">
        <v>20</v>
      </c>
      <c r="N39" s="14">
        <v>120</v>
      </c>
      <c r="O39" t="s">
        <v>195</v>
      </c>
      <c r="P39">
        <v>4</v>
      </c>
      <c r="Q39" t="s">
        <v>305</v>
      </c>
      <c r="R39" t="s">
        <v>263</v>
      </c>
      <c r="S39">
        <v>0</v>
      </c>
      <c r="T39">
        <v>0</v>
      </c>
      <c r="U39" t="s">
        <v>2290</v>
      </c>
      <c r="V39" t="s">
        <v>2291</v>
      </c>
      <c r="W39" t="s">
        <v>2292</v>
      </c>
      <c r="X39" t="s">
        <v>2288</v>
      </c>
      <c r="Y39" t="s">
        <v>2293</v>
      </c>
      <c r="Z39" t="s">
        <v>2309</v>
      </c>
      <c r="AA39">
        <v>14</v>
      </c>
      <c r="AB39" s="14">
        <v>120</v>
      </c>
      <c r="AC39" t="s">
        <v>2310</v>
      </c>
      <c r="AD39" t="s">
        <v>2311</v>
      </c>
      <c r="AE39" t="s">
        <v>2643</v>
      </c>
      <c r="AF39">
        <v>47</v>
      </c>
      <c r="AG39">
        <v>0</v>
      </c>
      <c r="AH39">
        <v>43</v>
      </c>
      <c r="AI39">
        <v>0</v>
      </c>
      <c r="AJ39">
        <v>1</v>
      </c>
      <c r="AK39">
        <v>0</v>
      </c>
      <c r="AL39">
        <v>1</v>
      </c>
      <c r="AM39" s="14">
        <v>0</v>
      </c>
      <c r="AN39" t="s">
        <v>2644</v>
      </c>
      <c r="AO39" s="12">
        <v>46023</v>
      </c>
      <c r="AP39">
        <v>2026</v>
      </c>
      <c r="AQ39">
        <v>1</v>
      </c>
      <c r="AR39" t="s">
        <v>2645</v>
      </c>
    </row>
    <row r="40" spans="1:44">
      <c r="A40" t="s">
        <v>489</v>
      </c>
      <c r="B40" s="12">
        <v>46032</v>
      </c>
      <c r="C40" s="12">
        <v>46021</v>
      </c>
      <c r="D40" t="s">
        <v>408</v>
      </c>
      <c r="E40" t="s">
        <v>339</v>
      </c>
      <c r="F40" t="s">
        <v>282</v>
      </c>
      <c r="G40" t="s">
        <v>461</v>
      </c>
      <c r="H40" t="s">
        <v>115</v>
      </c>
      <c r="I40" t="s">
        <v>316</v>
      </c>
      <c r="J40" s="13">
        <v>0.5</v>
      </c>
      <c r="K40" s="13">
        <v>0.49930555555555556</v>
      </c>
      <c r="L40" s="13">
        <v>0.52500000000000002</v>
      </c>
      <c r="M40">
        <v>30</v>
      </c>
      <c r="N40" s="14">
        <v>120</v>
      </c>
      <c r="O40" t="s">
        <v>195</v>
      </c>
      <c r="P40">
        <v>4</v>
      </c>
      <c r="Q40" t="s">
        <v>318</v>
      </c>
      <c r="R40" t="s">
        <v>263</v>
      </c>
      <c r="S40">
        <v>0</v>
      </c>
      <c r="T40">
        <v>0</v>
      </c>
      <c r="U40" t="s">
        <v>2294</v>
      </c>
      <c r="V40" t="s">
        <v>2295</v>
      </c>
      <c r="W40" t="s">
        <v>2296</v>
      </c>
      <c r="X40" t="s">
        <v>2297</v>
      </c>
      <c r="Y40" t="s">
        <v>2298</v>
      </c>
      <c r="Z40" t="s">
        <v>2309</v>
      </c>
      <c r="AA40">
        <v>14</v>
      </c>
      <c r="AB40" s="14">
        <v>120</v>
      </c>
      <c r="AC40" t="s">
        <v>2310</v>
      </c>
      <c r="AD40" t="s">
        <v>2311</v>
      </c>
      <c r="AE40" t="s">
        <v>2643</v>
      </c>
      <c r="AF40">
        <v>11</v>
      </c>
      <c r="AG40">
        <v>1</v>
      </c>
      <c r="AH40">
        <v>37</v>
      </c>
      <c r="AI40">
        <v>0</v>
      </c>
      <c r="AJ40">
        <v>1</v>
      </c>
      <c r="AK40">
        <v>0</v>
      </c>
      <c r="AL40">
        <v>1</v>
      </c>
      <c r="AM40" s="14">
        <v>0</v>
      </c>
      <c r="AN40" t="s">
        <v>2644</v>
      </c>
      <c r="AO40" s="12">
        <v>46023</v>
      </c>
      <c r="AP40">
        <v>2026</v>
      </c>
      <c r="AQ40">
        <v>1</v>
      </c>
      <c r="AR40" t="s">
        <v>2645</v>
      </c>
    </row>
    <row r="41" spans="1:44">
      <c r="A41" t="s">
        <v>492</v>
      </c>
      <c r="B41" s="12">
        <v>46034</v>
      </c>
      <c r="C41" s="12">
        <v>45984</v>
      </c>
      <c r="D41" t="s">
        <v>495</v>
      </c>
      <c r="E41" t="s">
        <v>281</v>
      </c>
      <c r="F41" t="s">
        <v>409</v>
      </c>
      <c r="G41" t="s">
        <v>496</v>
      </c>
      <c r="H41" t="s">
        <v>115</v>
      </c>
      <c r="I41" t="s">
        <v>258</v>
      </c>
      <c r="J41" s="13">
        <v>0.58333333333333337</v>
      </c>
      <c r="K41" s="13">
        <v>0.59097222222222223</v>
      </c>
      <c r="L41" s="13">
        <v>0.60972222222222228</v>
      </c>
      <c r="M41">
        <v>30</v>
      </c>
      <c r="N41" s="14">
        <v>150</v>
      </c>
      <c r="O41" t="s">
        <v>195</v>
      </c>
      <c r="P41">
        <v>4</v>
      </c>
      <c r="Q41" t="s">
        <v>262</v>
      </c>
      <c r="R41" t="s">
        <v>263</v>
      </c>
      <c r="S41">
        <v>0</v>
      </c>
      <c r="T41">
        <v>0</v>
      </c>
      <c r="U41" t="s">
        <v>2290</v>
      </c>
      <c r="V41" t="s">
        <v>2291</v>
      </c>
      <c r="W41" t="s">
        <v>2292</v>
      </c>
      <c r="X41" t="s">
        <v>2288</v>
      </c>
      <c r="Y41" t="s">
        <v>2293</v>
      </c>
      <c r="Z41" t="s">
        <v>2318</v>
      </c>
      <c r="AA41">
        <v>28</v>
      </c>
      <c r="AB41" s="14">
        <v>150</v>
      </c>
      <c r="AC41" t="s">
        <v>2319</v>
      </c>
      <c r="AD41" t="s">
        <v>2320</v>
      </c>
      <c r="AE41" t="s">
        <v>2643</v>
      </c>
      <c r="AF41">
        <v>50</v>
      </c>
      <c r="AG41">
        <v>0</v>
      </c>
      <c r="AH41">
        <v>27</v>
      </c>
      <c r="AI41">
        <v>1</v>
      </c>
      <c r="AJ41">
        <v>1</v>
      </c>
      <c r="AK41">
        <v>0</v>
      </c>
      <c r="AL41">
        <v>1</v>
      </c>
      <c r="AM41" s="14">
        <v>0</v>
      </c>
      <c r="AN41" t="s">
        <v>2644</v>
      </c>
      <c r="AO41" s="12">
        <v>46023</v>
      </c>
      <c r="AP41">
        <v>2026</v>
      </c>
      <c r="AQ41">
        <v>1</v>
      </c>
      <c r="AR41" t="s">
        <v>2645</v>
      </c>
    </row>
    <row r="42" spans="1:44">
      <c r="A42" t="s">
        <v>499</v>
      </c>
      <c r="B42" s="12">
        <v>46026</v>
      </c>
      <c r="C42" s="12">
        <v>46010</v>
      </c>
      <c r="D42" t="s">
        <v>500</v>
      </c>
      <c r="E42" t="s">
        <v>339</v>
      </c>
      <c r="F42" t="s">
        <v>409</v>
      </c>
      <c r="G42" t="s">
        <v>501</v>
      </c>
      <c r="H42" t="s">
        <v>122</v>
      </c>
      <c r="I42" t="s">
        <v>299</v>
      </c>
      <c r="J42" s="13">
        <v>0.54166666666666663</v>
      </c>
      <c r="K42" s="13"/>
      <c r="L42" s="13"/>
      <c r="M42">
        <v>0</v>
      </c>
      <c r="N42" s="14">
        <v>150</v>
      </c>
      <c r="O42" t="s">
        <v>195</v>
      </c>
      <c r="Q42" t="s">
        <v>326</v>
      </c>
      <c r="R42" t="s">
        <v>263</v>
      </c>
      <c r="S42">
        <v>0</v>
      </c>
      <c r="T42">
        <v>0</v>
      </c>
      <c r="U42" t="s">
        <v>2294</v>
      </c>
      <c r="V42" t="s">
        <v>2295</v>
      </c>
      <c r="W42" t="s">
        <v>2296</v>
      </c>
      <c r="X42" t="s">
        <v>2297</v>
      </c>
      <c r="Y42" t="s">
        <v>2298</v>
      </c>
      <c r="Z42" t="s">
        <v>2318</v>
      </c>
      <c r="AA42">
        <v>28</v>
      </c>
      <c r="AB42" s="14">
        <v>150</v>
      </c>
      <c r="AC42" t="s">
        <v>2319</v>
      </c>
      <c r="AD42" t="s">
        <v>2320</v>
      </c>
      <c r="AE42" t="s">
        <v>2643</v>
      </c>
      <c r="AF42">
        <v>16</v>
      </c>
      <c r="AG42">
        <v>1</v>
      </c>
      <c r="AJ42">
        <v>1</v>
      </c>
      <c r="AK42">
        <v>1</v>
      </c>
      <c r="AL42">
        <v>1</v>
      </c>
      <c r="AM42" s="14">
        <v>0</v>
      </c>
      <c r="AN42" t="s">
        <v>2644</v>
      </c>
      <c r="AO42" s="12">
        <v>46023</v>
      </c>
      <c r="AP42">
        <v>2026</v>
      </c>
      <c r="AQ42">
        <v>1</v>
      </c>
      <c r="AR42" t="s">
        <v>2645</v>
      </c>
    </row>
    <row r="43" spans="1:44">
      <c r="A43" t="s">
        <v>502</v>
      </c>
      <c r="B43" s="12">
        <v>46050</v>
      </c>
      <c r="C43" s="12">
        <v>45999</v>
      </c>
      <c r="D43" t="s">
        <v>504</v>
      </c>
      <c r="E43" t="s">
        <v>268</v>
      </c>
      <c r="F43" t="s">
        <v>282</v>
      </c>
      <c r="G43" t="s">
        <v>505</v>
      </c>
      <c r="H43" t="s">
        <v>115</v>
      </c>
      <c r="I43" t="s">
        <v>299</v>
      </c>
      <c r="J43" s="13">
        <v>0.5625</v>
      </c>
      <c r="K43" s="13">
        <v>0.56944444444444442</v>
      </c>
      <c r="L43" s="13">
        <v>0.56319444444444444</v>
      </c>
      <c r="M43">
        <v>45</v>
      </c>
      <c r="N43" s="14">
        <v>120</v>
      </c>
      <c r="O43" t="s">
        <v>195</v>
      </c>
      <c r="P43">
        <v>4</v>
      </c>
      <c r="Q43" t="s">
        <v>326</v>
      </c>
      <c r="R43" t="s">
        <v>263</v>
      </c>
      <c r="S43">
        <v>0</v>
      </c>
      <c r="T43">
        <v>0</v>
      </c>
      <c r="U43" t="s">
        <v>2285</v>
      </c>
      <c r="V43" t="s">
        <v>2286</v>
      </c>
      <c r="W43" t="s">
        <v>2287</v>
      </c>
      <c r="X43" t="s">
        <v>2288</v>
      </c>
      <c r="Y43" t="s">
        <v>2289</v>
      </c>
      <c r="Z43" t="s">
        <v>2309</v>
      </c>
      <c r="AA43">
        <v>14</v>
      </c>
      <c r="AB43" s="14">
        <v>120</v>
      </c>
      <c r="AC43" t="s">
        <v>2310</v>
      </c>
      <c r="AD43" t="s">
        <v>2311</v>
      </c>
      <c r="AE43" t="s">
        <v>2643</v>
      </c>
      <c r="AF43">
        <v>51</v>
      </c>
      <c r="AG43">
        <v>0</v>
      </c>
      <c r="AJ43">
        <v>1</v>
      </c>
      <c r="AK43">
        <v>0</v>
      </c>
      <c r="AL43">
        <v>1</v>
      </c>
      <c r="AM43" s="14">
        <v>0</v>
      </c>
      <c r="AN43" t="s">
        <v>2644</v>
      </c>
      <c r="AO43" s="12">
        <v>46023</v>
      </c>
      <c r="AP43">
        <v>2026</v>
      </c>
      <c r="AQ43">
        <v>1</v>
      </c>
      <c r="AR43" t="s">
        <v>2645</v>
      </c>
    </row>
    <row r="44" spans="1:44">
      <c r="A44" t="s">
        <v>506</v>
      </c>
      <c r="B44" s="12">
        <v>46050</v>
      </c>
      <c r="C44" s="12">
        <v>46003</v>
      </c>
      <c r="D44" t="s">
        <v>508</v>
      </c>
      <c r="E44" t="s">
        <v>281</v>
      </c>
      <c r="F44" t="s">
        <v>256</v>
      </c>
      <c r="G44" t="s">
        <v>429</v>
      </c>
      <c r="H44" t="s">
        <v>122</v>
      </c>
      <c r="I44" t="s">
        <v>258</v>
      </c>
      <c r="J44" s="13">
        <v>0.375</v>
      </c>
      <c r="K44" s="13"/>
      <c r="L44" s="13"/>
      <c r="M44">
        <v>0</v>
      </c>
      <c r="N44" s="14">
        <v>95</v>
      </c>
      <c r="O44" t="s">
        <v>195</v>
      </c>
      <c r="Q44" t="s">
        <v>318</v>
      </c>
      <c r="R44" t="s">
        <v>263</v>
      </c>
      <c r="S44">
        <v>0</v>
      </c>
      <c r="T44">
        <v>0</v>
      </c>
      <c r="U44" t="s">
        <v>2290</v>
      </c>
      <c r="V44" t="s">
        <v>2291</v>
      </c>
      <c r="W44" t="s">
        <v>2292</v>
      </c>
      <c r="X44" t="s">
        <v>2288</v>
      </c>
      <c r="Y44" t="s">
        <v>2293</v>
      </c>
      <c r="Z44" t="s">
        <v>2312</v>
      </c>
      <c r="AA44">
        <v>21</v>
      </c>
      <c r="AB44" s="14">
        <v>95</v>
      </c>
      <c r="AC44" t="s">
        <v>2313</v>
      </c>
      <c r="AD44" t="s">
        <v>2314</v>
      </c>
      <c r="AE44" t="s">
        <v>2643</v>
      </c>
      <c r="AF44">
        <v>47</v>
      </c>
      <c r="AG44">
        <v>0</v>
      </c>
      <c r="AJ44">
        <v>1</v>
      </c>
      <c r="AK44">
        <v>1</v>
      </c>
      <c r="AL44">
        <v>1</v>
      </c>
      <c r="AM44" s="14">
        <v>0</v>
      </c>
      <c r="AN44" t="s">
        <v>2644</v>
      </c>
      <c r="AO44" s="12">
        <v>46023</v>
      </c>
      <c r="AP44">
        <v>2026</v>
      </c>
      <c r="AQ44">
        <v>1</v>
      </c>
      <c r="AR44" t="s">
        <v>2645</v>
      </c>
    </row>
    <row r="45" spans="1:44">
      <c r="A45" t="s">
        <v>509</v>
      </c>
      <c r="B45" s="12">
        <v>46023</v>
      </c>
      <c r="C45" s="12">
        <v>45985</v>
      </c>
      <c r="D45" t="s">
        <v>367</v>
      </c>
      <c r="E45" t="s">
        <v>281</v>
      </c>
      <c r="F45" t="s">
        <v>269</v>
      </c>
      <c r="G45" t="s">
        <v>363</v>
      </c>
      <c r="H45" t="s">
        <v>115</v>
      </c>
      <c r="I45" t="s">
        <v>271</v>
      </c>
      <c r="J45" s="13">
        <v>0.45833333333333331</v>
      </c>
      <c r="K45" s="13">
        <v>0.46458333333333335</v>
      </c>
      <c r="L45" s="13">
        <v>0.46111111111111114</v>
      </c>
      <c r="M45">
        <v>30</v>
      </c>
      <c r="N45" s="14">
        <v>80</v>
      </c>
      <c r="O45" t="s">
        <v>195</v>
      </c>
      <c r="P45">
        <v>4</v>
      </c>
      <c r="Q45" t="s">
        <v>262</v>
      </c>
      <c r="R45" t="s">
        <v>263</v>
      </c>
      <c r="S45">
        <v>0</v>
      </c>
      <c r="T45">
        <v>0</v>
      </c>
      <c r="U45" t="s">
        <v>2290</v>
      </c>
      <c r="V45" t="s">
        <v>2291</v>
      </c>
      <c r="W45" t="s">
        <v>2292</v>
      </c>
      <c r="X45" t="s">
        <v>2288</v>
      </c>
      <c r="Y45" t="s">
        <v>2293</v>
      </c>
      <c r="Z45" t="s">
        <v>2315</v>
      </c>
      <c r="AA45">
        <v>10</v>
      </c>
      <c r="AB45" s="14">
        <v>80</v>
      </c>
      <c r="AC45" t="s">
        <v>2316</v>
      </c>
      <c r="AD45" t="s">
        <v>2317</v>
      </c>
      <c r="AE45" t="s">
        <v>2643</v>
      </c>
      <c r="AF45">
        <v>38</v>
      </c>
      <c r="AG45">
        <v>0</v>
      </c>
      <c r="AJ45">
        <v>1</v>
      </c>
      <c r="AK45">
        <v>0</v>
      </c>
      <c r="AL45">
        <v>1</v>
      </c>
      <c r="AM45" s="14">
        <v>0</v>
      </c>
      <c r="AN45" t="s">
        <v>2644</v>
      </c>
      <c r="AO45" s="12">
        <v>46023</v>
      </c>
      <c r="AP45">
        <v>2026</v>
      </c>
      <c r="AQ45">
        <v>1</v>
      </c>
      <c r="AR45" t="s">
        <v>2645</v>
      </c>
    </row>
    <row r="46" spans="1:44">
      <c r="A46" t="s">
        <v>512</v>
      </c>
      <c r="B46" s="12">
        <v>46053</v>
      </c>
      <c r="C46" s="12">
        <v>46000</v>
      </c>
      <c r="D46" t="s">
        <v>514</v>
      </c>
      <c r="E46" t="s">
        <v>281</v>
      </c>
      <c r="F46" t="s">
        <v>256</v>
      </c>
      <c r="G46" t="s">
        <v>429</v>
      </c>
      <c r="H46" t="s">
        <v>115</v>
      </c>
      <c r="I46" t="s">
        <v>316</v>
      </c>
      <c r="J46" s="13">
        <v>0.66666666666666663</v>
      </c>
      <c r="K46" s="13">
        <v>0.66666666666666663</v>
      </c>
      <c r="L46" s="13">
        <v>0.69374999999999998</v>
      </c>
      <c r="M46">
        <v>30</v>
      </c>
      <c r="N46" s="14">
        <v>95</v>
      </c>
      <c r="O46" t="s">
        <v>169</v>
      </c>
      <c r="P46">
        <v>2</v>
      </c>
      <c r="Q46" t="s">
        <v>318</v>
      </c>
      <c r="R46" t="s">
        <v>263</v>
      </c>
      <c r="S46">
        <v>0</v>
      </c>
      <c r="T46">
        <v>0</v>
      </c>
      <c r="U46" t="s">
        <v>2290</v>
      </c>
      <c r="V46" t="s">
        <v>2291</v>
      </c>
      <c r="W46" t="s">
        <v>2292</v>
      </c>
      <c r="X46" t="s">
        <v>2288</v>
      </c>
      <c r="Y46" t="s">
        <v>2293</v>
      </c>
      <c r="Z46" t="s">
        <v>2312</v>
      </c>
      <c r="AA46">
        <v>21</v>
      </c>
      <c r="AB46" s="14">
        <v>95</v>
      </c>
      <c r="AC46" t="s">
        <v>2313</v>
      </c>
      <c r="AD46" t="s">
        <v>2314</v>
      </c>
      <c r="AE46" t="s">
        <v>2643</v>
      </c>
      <c r="AF46">
        <v>53</v>
      </c>
      <c r="AG46">
        <v>0</v>
      </c>
      <c r="AH46">
        <v>39</v>
      </c>
      <c r="AI46">
        <v>0</v>
      </c>
      <c r="AJ46">
        <v>1</v>
      </c>
      <c r="AK46">
        <v>0</v>
      </c>
      <c r="AL46">
        <v>1</v>
      </c>
      <c r="AM46" s="14">
        <v>0</v>
      </c>
      <c r="AN46" t="s">
        <v>2644</v>
      </c>
      <c r="AO46" s="12">
        <v>46023</v>
      </c>
      <c r="AP46">
        <v>2026</v>
      </c>
      <c r="AQ46">
        <v>1</v>
      </c>
      <c r="AR46" t="s">
        <v>2645</v>
      </c>
    </row>
    <row r="47" spans="1:44">
      <c r="A47" t="s">
        <v>515</v>
      </c>
      <c r="B47" s="12">
        <v>46026</v>
      </c>
      <c r="C47" s="12">
        <v>45997</v>
      </c>
      <c r="D47" t="s">
        <v>280</v>
      </c>
      <c r="E47" t="s">
        <v>281</v>
      </c>
      <c r="F47" t="s">
        <v>269</v>
      </c>
      <c r="G47" t="s">
        <v>363</v>
      </c>
      <c r="H47" t="s">
        <v>127</v>
      </c>
      <c r="I47" t="s">
        <v>271</v>
      </c>
      <c r="J47" s="13">
        <v>0.5</v>
      </c>
      <c r="K47" s="13"/>
      <c r="L47" s="13"/>
      <c r="M47">
        <v>0</v>
      </c>
      <c r="N47" s="14">
        <v>80</v>
      </c>
      <c r="O47" t="s">
        <v>195</v>
      </c>
      <c r="Q47" t="s">
        <v>305</v>
      </c>
      <c r="R47" t="s">
        <v>263</v>
      </c>
      <c r="S47">
        <v>0</v>
      </c>
      <c r="T47">
        <v>0</v>
      </c>
      <c r="U47" t="s">
        <v>2290</v>
      </c>
      <c r="V47" t="s">
        <v>2291</v>
      </c>
      <c r="W47" t="s">
        <v>2292</v>
      </c>
      <c r="X47" t="s">
        <v>2288</v>
      </c>
      <c r="Y47" t="s">
        <v>2293</v>
      </c>
      <c r="Z47" t="s">
        <v>2315</v>
      </c>
      <c r="AA47">
        <v>10</v>
      </c>
      <c r="AB47" s="14">
        <v>80</v>
      </c>
      <c r="AC47" t="s">
        <v>2316</v>
      </c>
      <c r="AD47" t="s">
        <v>2317</v>
      </c>
      <c r="AE47" t="s">
        <v>2643</v>
      </c>
      <c r="AF47">
        <v>29</v>
      </c>
      <c r="AG47">
        <v>0</v>
      </c>
      <c r="AJ47">
        <v>0</v>
      </c>
      <c r="AL47">
        <v>1</v>
      </c>
      <c r="AM47" s="14">
        <v>0</v>
      </c>
      <c r="AN47" t="s">
        <v>2644</v>
      </c>
      <c r="AO47" s="12">
        <v>46023</v>
      </c>
      <c r="AP47">
        <v>2026</v>
      </c>
      <c r="AQ47">
        <v>1</v>
      </c>
      <c r="AR47" t="s">
        <v>2645</v>
      </c>
    </row>
    <row r="48" spans="1:44">
      <c r="A48" t="s">
        <v>516</v>
      </c>
      <c r="B48" s="12">
        <v>46027</v>
      </c>
      <c r="C48" s="12">
        <v>45995</v>
      </c>
      <c r="D48" t="s">
        <v>518</v>
      </c>
      <c r="E48" t="s">
        <v>339</v>
      </c>
      <c r="F48" t="s">
        <v>409</v>
      </c>
      <c r="G48" t="s">
        <v>501</v>
      </c>
      <c r="H48" t="s">
        <v>115</v>
      </c>
      <c r="I48" t="s">
        <v>299</v>
      </c>
      <c r="J48" s="13">
        <v>0.45833333333333331</v>
      </c>
      <c r="K48" s="13">
        <v>0.46458333333333335</v>
      </c>
      <c r="L48" s="13">
        <v>0.47499999999999998</v>
      </c>
      <c r="M48">
        <v>60</v>
      </c>
      <c r="N48" s="14">
        <v>150</v>
      </c>
      <c r="O48" t="s">
        <v>195</v>
      </c>
      <c r="P48">
        <v>3</v>
      </c>
      <c r="Q48" t="s">
        <v>326</v>
      </c>
      <c r="R48" t="s">
        <v>263</v>
      </c>
      <c r="S48">
        <v>0</v>
      </c>
      <c r="T48">
        <v>0</v>
      </c>
      <c r="U48" t="s">
        <v>2294</v>
      </c>
      <c r="V48" t="s">
        <v>2295</v>
      </c>
      <c r="W48" t="s">
        <v>2296</v>
      </c>
      <c r="X48" t="s">
        <v>2297</v>
      </c>
      <c r="Y48" t="s">
        <v>2298</v>
      </c>
      <c r="Z48" t="s">
        <v>2318</v>
      </c>
      <c r="AA48">
        <v>28</v>
      </c>
      <c r="AB48" s="14">
        <v>150</v>
      </c>
      <c r="AC48" t="s">
        <v>2319</v>
      </c>
      <c r="AD48" t="s">
        <v>2320</v>
      </c>
      <c r="AE48" t="s">
        <v>2643</v>
      </c>
      <c r="AF48">
        <v>32</v>
      </c>
      <c r="AG48">
        <v>0</v>
      </c>
      <c r="AH48">
        <v>15</v>
      </c>
      <c r="AI48">
        <v>1</v>
      </c>
      <c r="AJ48">
        <v>1</v>
      </c>
      <c r="AK48">
        <v>0</v>
      </c>
      <c r="AL48">
        <v>1</v>
      </c>
      <c r="AM48" s="14">
        <v>0</v>
      </c>
      <c r="AN48" t="s">
        <v>2644</v>
      </c>
      <c r="AO48" s="12">
        <v>46023</v>
      </c>
      <c r="AP48">
        <v>2026</v>
      </c>
      <c r="AQ48">
        <v>1</v>
      </c>
      <c r="AR48" t="s">
        <v>2645</v>
      </c>
    </row>
    <row r="49" spans="1:44">
      <c r="A49" t="s">
        <v>521</v>
      </c>
      <c r="B49" s="12">
        <v>46045</v>
      </c>
      <c r="C49" s="12">
        <v>46030</v>
      </c>
      <c r="D49" t="s">
        <v>523</v>
      </c>
      <c r="E49" t="s">
        <v>268</v>
      </c>
      <c r="F49" t="s">
        <v>282</v>
      </c>
      <c r="G49" t="s">
        <v>524</v>
      </c>
      <c r="H49" t="s">
        <v>122</v>
      </c>
      <c r="I49" t="s">
        <v>271</v>
      </c>
      <c r="J49" s="13">
        <v>0.60416666666666663</v>
      </c>
      <c r="K49" s="13"/>
      <c r="L49" s="13"/>
      <c r="M49">
        <v>0</v>
      </c>
      <c r="N49" s="14">
        <v>120</v>
      </c>
      <c r="O49" t="s">
        <v>195</v>
      </c>
      <c r="Q49" t="s">
        <v>326</v>
      </c>
      <c r="R49" t="s">
        <v>263</v>
      </c>
      <c r="S49">
        <v>0</v>
      </c>
      <c r="T49">
        <v>0</v>
      </c>
      <c r="U49" t="s">
        <v>2285</v>
      </c>
      <c r="V49" t="s">
        <v>2286</v>
      </c>
      <c r="W49" t="s">
        <v>2287</v>
      </c>
      <c r="X49" t="s">
        <v>2288</v>
      </c>
      <c r="Y49" t="s">
        <v>2289</v>
      </c>
      <c r="Z49" t="s">
        <v>2309</v>
      </c>
      <c r="AA49">
        <v>14</v>
      </c>
      <c r="AB49" s="14">
        <v>120</v>
      </c>
      <c r="AC49" t="s">
        <v>2310</v>
      </c>
      <c r="AD49" t="s">
        <v>2311</v>
      </c>
      <c r="AE49" t="s">
        <v>2643</v>
      </c>
      <c r="AF49">
        <v>15</v>
      </c>
      <c r="AG49">
        <v>0</v>
      </c>
      <c r="AJ49">
        <v>1</v>
      </c>
      <c r="AK49">
        <v>1</v>
      </c>
      <c r="AL49">
        <v>1</v>
      </c>
      <c r="AM49" s="14">
        <v>0</v>
      </c>
      <c r="AN49" t="s">
        <v>2644</v>
      </c>
      <c r="AO49" s="12">
        <v>46023</v>
      </c>
      <c r="AP49">
        <v>2026</v>
      </c>
      <c r="AQ49">
        <v>1</v>
      </c>
      <c r="AR49" t="s">
        <v>2645</v>
      </c>
    </row>
    <row r="50" spans="1:44">
      <c r="A50" t="s">
        <v>526</v>
      </c>
      <c r="B50" s="12">
        <v>46038</v>
      </c>
      <c r="C50" s="12">
        <v>45999</v>
      </c>
      <c r="D50" t="s">
        <v>527</v>
      </c>
      <c r="E50" t="s">
        <v>339</v>
      </c>
      <c r="F50" t="s">
        <v>269</v>
      </c>
      <c r="G50" t="s">
        <v>528</v>
      </c>
      <c r="H50" t="s">
        <v>115</v>
      </c>
      <c r="I50" t="s">
        <v>316</v>
      </c>
      <c r="J50" s="13">
        <v>0.625</v>
      </c>
      <c r="K50" s="13">
        <v>0.62152777777777779</v>
      </c>
      <c r="L50" s="13">
        <v>0.64097222222222228</v>
      </c>
      <c r="M50">
        <v>30</v>
      </c>
      <c r="N50" s="14">
        <v>80</v>
      </c>
      <c r="O50" t="s">
        <v>169</v>
      </c>
      <c r="P50">
        <v>4</v>
      </c>
      <c r="Q50" t="s">
        <v>285</v>
      </c>
      <c r="R50" t="s">
        <v>263</v>
      </c>
      <c r="S50">
        <v>0</v>
      </c>
      <c r="T50">
        <v>0</v>
      </c>
      <c r="U50" t="s">
        <v>2294</v>
      </c>
      <c r="V50" t="s">
        <v>2295</v>
      </c>
      <c r="W50" t="s">
        <v>2296</v>
      </c>
      <c r="X50" t="s">
        <v>2297</v>
      </c>
      <c r="Y50" t="s">
        <v>2298</v>
      </c>
      <c r="Z50" t="s">
        <v>2315</v>
      </c>
      <c r="AA50">
        <v>10</v>
      </c>
      <c r="AB50" s="14">
        <v>80</v>
      </c>
      <c r="AC50" t="s">
        <v>2316</v>
      </c>
      <c r="AD50" t="s">
        <v>2317</v>
      </c>
      <c r="AE50" t="s">
        <v>2643</v>
      </c>
      <c r="AF50">
        <v>39</v>
      </c>
      <c r="AG50">
        <v>0</v>
      </c>
      <c r="AH50">
        <v>28</v>
      </c>
      <c r="AI50">
        <v>1</v>
      </c>
      <c r="AJ50">
        <v>1</v>
      </c>
      <c r="AK50">
        <v>0</v>
      </c>
      <c r="AL50">
        <v>1</v>
      </c>
      <c r="AM50" s="14">
        <v>0</v>
      </c>
      <c r="AN50" t="s">
        <v>2644</v>
      </c>
      <c r="AO50" s="12">
        <v>46023</v>
      </c>
      <c r="AP50">
        <v>2026</v>
      </c>
      <c r="AQ50">
        <v>1</v>
      </c>
      <c r="AR50" t="s">
        <v>2645</v>
      </c>
    </row>
    <row r="51" spans="1:44">
      <c r="A51" t="s">
        <v>532</v>
      </c>
      <c r="B51" s="12">
        <v>46032</v>
      </c>
      <c r="C51" s="12">
        <v>45998</v>
      </c>
      <c r="D51" t="s">
        <v>534</v>
      </c>
      <c r="E51" t="s">
        <v>281</v>
      </c>
      <c r="F51" t="s">
        <v>409</v>
      </c>
      <c r="G51" t="s">
        <v>535</v>
      </c>
      <c r="H51" t="s">
        <v>115</v>
      </c>
      <c r="I51" t="s">
        <v>258</v>
      </c>
      <c r="J51" s="13">
        <v>0.41666666666666669</v>
      </c>
      <c r="K51" s="13">
        <v>0.4201388888888889</v>
      </c>
      <c r="L51" s="13">
        <v>0.44027777777777777</v>
      </c>
      <c r="M51">
        <v>30</v>
      </c>
      <c r="N51" s="14">
        <v>150</v>
      </c>
      <c r="O51" t="s">
        <v>195</v>
      </c>
      <c r="P51">
        <v>4</v>
      </c>
      <c r="Q51" t="s">
        <v>318</v>
      </c>
      <c r="R51" t="s">
        <v>263</v>
      </c>
      <c r="S51">
        <v>0</v>
      </c>
      <c r="T51">
        <v>0</v>
      </c>
      <c r="U51" t="s">
        <v>2290</v>
      </c>
      <c r="V51" t="s">
        <v>2291</v>
      </c>
      <c r="W51" t="s">
        <v>2292</v>
      </c>
      <c r="X51" t="s">
        <v>2288</v>
      </c>
      <c r="Y51" t="s">
        <v>2293</v>
      </c>
      <c r="Z51" t="s">
        <v>2318</v>
      </c>
      <c r="AA51">
        <v>28</v>
      </c>
      <c r="AB51" s="14">
        <v>150</v>
      </c>
      <c r="AC51" t="s">
        <v>2319</v>
      </c>
      <c r="AD51" t="s">
        <v>2320</v>
      </c>
      <c r="AE51" t="s">
        <v>2643</v>
      </c>
      <c r="AF51">
        <v>34</v>
      </c>
      <c r="AG51">
        <v>0</v>
      </c>
      <c r="AH51">
        <v>29</v>
      </c>
      <c r="AI51">
        <v>1</v>
      </c>
      <c r="AJ51">
        <v>1</v>
      </c>
      <c r="AK51">
        <v>0</v>
      </c>
      <c r="AL51">
        <v>1</v>
      </c>
      <c r="AM51" s="14">
        <v>0</v>
      </c>
      <c r="AN51" t="s">
        <v>2644</v>
      </c>
      <c r="AO51" s="12">
        <v>46023</v>
      </c>
      <c r="AP51">
        <v>2026</v>
      </c>
      <c r="AQ51">
        <v>1</v>
      </c>
      <c r="AR51" t="s">
        <v>2645</v>
      </c>
    </row>
    <row r="52" spans="1:44">
      <c r="A52" t="s">
        <v>538</v>
      </c>
      <c r="B52" s="12">
        <v>46043</v>
      </c>
      <c r="C52" s="12">
        <v>46041</v>
      </c>
      <c r="D52" t="s">
        <v>418</v>
      </c>
      <c r="E52" t="s">
        <v>281</v>
      </c>
      <c r="F52" t="s">
        <v>282</v>
      </c>
      <c r="G52" t="s">
        <v>283</v>
      </c>
      <c r="H52" t="s">
        <v>127</v>
      </c>
      <c r="I52" t="s">
        <v>258</v>
      </c>
      <c r="J52" s="13">
        <v>0.64583333333333337</v>
      </c>
      <c r="K52" s="13"/>
      <c r="L52" s="13"/>
      <c r="M52">
        <v>0</v>
      </c>
      <c r="N52" s="14">
        <v>120</v>
      </c>
      <c r="O52" t="s">
        <v>195</v>
      </c>
      <c r="Q52" t="s">
        <v>318</v>
      </c>
      <c r="R52" t="s">
        <v>263</v>
      </c>
      <c r="S52">
        <v>0</v>
      </c>
      <c r="T52">
        <v>0</v>
      </c>
      <c r="U52" t="s">
        <v>2290</v>
      </c>
      <c r="V52" t="s">
        <v>2291</v>
      </c>
      <c r="W52" t="s">
        <v>2292</v>
      </c>
      <c r="X52" t="s">
        <v>2288</v>
      </c>
      <c r="Y52" t="s">
        <v>2293</v>
      </c>
      <c r="Z52" t="s">
        <v>2309</v>
      </c>
      <c r="AA52">
        <v>14</v>
      </c>
      <c r="AB52" s="14">
        <v>120</v>
      </c>
      <c r="AC52" t="s">
        <v>2310</v>
      </c>
      <c r="AD52" t="s">
        <v>2311</v>
      </c>
      <c r="AE52" t="s">
        <v>2643</v>
      </c>
      <c r="AF52">
        <v>2</v>
      </c>
      <c r="AG52">
        <v>1</v>
      </c>
      <c r="AJ52">
        <v>0</v>
      </c>
      <c r="AL52">
        <v>1</v>
      </c>
      <c r="AM52" s="14">
        <v>0</v>
      </c>
      <c r="AN52" t="s">
        <v>2644</v>
      </c>
      <c r="AO52" s="12">
        <v>46023</v>
      </c>
      <c r="AP52">
        <v>2026</v>
      </c>
      <c r="AQ52">
        <v>1</v>
      </c>
      <c r="AR52" t="s">
        <v>2645</v>
      </c>
    </row>
    <row r="53" spans="1:44">
      <c r="A53" t="s">
        <v>539</v>
      </c>
      <c r="B53" s="12">
        <v>46041</v>
      </c>
      <c r="C53" s="12">
        <v>46019</v>
      </c>
      <c r="D53" t="s">
        <v>541</v>
      </c>
      <c r="E53" t="s">
        <v>255</v>
      </c>
      <c r="F53" t="s">
        <v>269</v>
      </c>
      <c r="G53" t="s">
        <v>542</v>
      </c>
      <c r="H53" t="s">
        <v>115</v>
      </c>
      <c r="I53" t="s">
        <v>258</v>
      </c>
      <c r="J53" s="13">
        <v>0.375</v>
      </c>
      <c r="K53" s="13">
        <v>0.38333333333333336</v>
      </c>
      <c r="L53" s="13">
        <v>0.37569444444444444</v>
      </c>
      <c r="M53">
        <v>30</v>
      </c>
      <c r="N53" s="14">
        <v>80</v>
      </c>
      <c r="O53" t="s">
        <v>195</v>
      </c>
      <c r="P53">
        <v>5</v>
      </c>
      <c r="Q53" t="s">
        <v>326</v>
      </c>
      <c r="R53" t="s">
        <v>263</v>
      </c>
      <c r="S53">
        <v>0</v>
      </c>
      <c r="T53">
        <v>0</v>
      </c>
      <c r="U53" t="s">
        <v>2299</v>
      </c>
      <c r="V53" t="s">
        <v>2295</v>
      </c>
      <c r="W53" t="s">
        <v>2300</v>
      </c>
      <c r="X53" t="s">
        <v>2288</v>
      </c>
      <c r="Y53" t="s">
        <v>2301</v>
      </c>
      <c r="Z53" t="s">
        <v>2315</v>
      </c>
      <c r="AA53">
        <v>10</v>
      </c>
      <c r="AB53" s="14">
        <v>80</v>
      </c>
      <c r="AC53" t="s">
        <v>2316</v>
      </c>
      <c r="AD53" t="s">
        <v>2317</v>
      </c>
      <c r="AE53" t="s">
        <v>2643</v>
      </c>
      <c r="AF53">
        <v>22</v>
      </c>
      <c r="AG53">
        <v>0</v>
      </c>
      <c r="AJ53">
        <v>1</v>
      </c>
      <c r="AK53">
        <v>0</v>
      </c>
      <c r="AL53">
        <v>1</v>
      </c>
      <c r="AM53" s="14">
        <v>0</v>
      </c>
      <c r="AN53" t="s">
        <v>2644</v>
      </c>
      <c r="AO53" s="12">
        <v>46023</v>
      </c>
      <c r="AP53">
        <v>2026</v>
      </c>
      <c r="AQ53">
        <v>1</v>
      </c>
      <c r="AR53" t="s">
        <v>2645</v>
      </c>
    </row>
    <row r="54" spans="1:44">
      <c r="A54" t="s">
        <v>545</v>
      </c>
      <c r="B54" s="12">
        <v>46041</v>
      </c>
      <c r="C54" s="12">
        <v>45991</v>
      </c>
      <c r="D54" t="s">
        <v>546</v>
      </c>
      <c r="E54" t="s">
        <v>281</v>
      </c>
      <c r="F54" t="s">
        <v>409</v>
      </c>
      <c r="G54" t="s">
        <v>535</v>
      </c>
      <c r="H54" t="s">
        <v>115</v>
      </c>
      <c r="I54" t="s">
        <v>299</v>
      </c>
      <c r="J54" s="13">
        <v>0.47916666666666669</v>
      </c>
      <c r="K54" s="13">
        <v>0.47847222222222224</v>
      </c>
      <c r="L54" s="13">
        <v>0.48402777777777778</v>
      </c>
      <c r="M54">
        <v>60</v>
      </c>
      <c r="N54" s="14">
        <v>150</v>
      </c>
      <c r="O54" t="s">
        <v>195</v>
      </c>
      <c r="P54">
        <v>5</v>
      </c>
      <c r="Q54" t="s">
        <v>318</v>
      </c>
      <c r="R54" t="s">
        <v>263</v>
      </c>
      <c r="S54">
        <v>0</v>
      </c>
      <c r="T54">
        <v>0</v>
      </c>
      <c r="U54" t="s">
        <v>2290</v>
      </c>
      <c r="V54" t="s">
        <v>2291</v>
      </c>
      <c r="W54" t="s">
        <v>2292</v>
      </c>
      <c r="X54" t="s">
        <v>2288</v>
      </c>
      <c r="Y54" t="s">
        <v>2293</v>
      </c>
      <c r="Z54" t="s">
        <v>2318</v>
      </c>
      <c r="AA54">
        <v>28</v>
      </c>
      <c r="AB54" s="14">
        <v>150</v>
      </c>
      <c r="AC54" t="s">
        <v>2319</v>
      </c>
      <c r="AD54" t="s">
        <v>2320</v>
      </c>
      <c r="AE54" t="s">
        <v>2643</v>
      </c>
      <c r="AF54">
        <v>50</v>
      </c>
      <c r="AG54">
        <v>0</v>
      </c>
      <c r="AH54">
        <v>8</v>
      </c>
      <c r="AI54">
        <v>1</v>
      </c>
      <c r="AJ54">
        <v>1</v>
      </c>
      <c r="AK54">
        <v>0</v>
      </c>
      <c r="AL54">
        <v>1</v>
      </c>
      <c r="AM54" s="14">
        <v>0</v>
      </c>
      <c r="AN54" t="s">
        <v>2644</v>
      </c>
      <c r="AO54" s="12">
        <v>46023</v>
      </c>
      <c r="AP54">
        <v>2026</v>
      </c>
      <c r="AQ54">
        <v>1</v>
      </c>
      <c r="AR54" t="s">
        <v>2645</v>
      </c>
    </row>
    <row r="55" spans="1:44">
      <c r="A55" t="s">
        <v>550</v>
      </c>
      <c r="B55" s="12">
        <v>46039</v>
      </c>
      <c r="C55" s="12">
        <v>45998</v>
      </c>
      <c r="D55" t="s">
        <v>551</v>
      </c>
      <c r="E55" t="s">
        <v>268</v>
      </c>
      <c r="F55" t="s">
        <v>409</v>
      </c>
      <c r="G55" t="s">
        <v>552</v>
      </c>
      <c r="H55" t="s">
        <v>115</v>
      </c>
      <c r="I55" t="s">
        <v>271</v>
      </c>
      <c r="J55" s="13">
        <v>0.4375</v>
      </c>
      <c r="K55" s="13">
        <v>0.43263888888888891</v>
      </c>
      <c r="L55" s="13">
        <v>0.44583333333333336</v>
      </c>
      <c r="M55">
        <v>60</v>
      </c>
      <c r="N55" s="14">
        <v>150</v>
      </c>
      <c r="O55" t="s">
        <v>169</v>
      </c>
      <c r="P55">
        <v>2</v>
      </c>
      <c r="Q55" t="s">
        <v>305</v>
      </c>
      <c r="R55" t="s">
        <v>263</v>
      </c>
      <c r="S55">
        <v>0</v>
      </c>
      <c r="T55">
        <v>0</v>
      </c>
      <c r="U55" t="s">
        <v>2285</v>
      </c>
      <c r="V55" t="s">
        <v>2286</v>
      </c>
      <c r="W55" t="s">
        <v>2287</v>
      </c>
      <c r="X55" t="s">
        <v>2288</v>
      </c>
      <c r="Y55" t="s">
        <v>2289</v>
      </c>
      <c r="Z55" t="s">
        <v>2318</v>
      </c>
      <c r="AA55">
        <v>28</v>
      </c>
      <c r="AB55" s="14">
        <v>150</v>
      </c>
      <c r="AC55" t="s">
        <v>2319</v>
      </c>
      <c r="AD55" t="s">
        <v>2320</v>
      </c>
      <c r="AE55" t="s">
        <v>2643</v>
      </c>
      <c r="AF55">
        <v>41</v>
      </c>
      <c r="AG55">
        <v>0</v>
      </c>
      <c r="AH55">
        <v>19</v>
      </c>
      <c r="AI55">
        <v>1</v>
      </c>
      <c r="AJ55">
        <v>1</v>
      </c>
      <c r="AK55">
        <v>0</v>
      </c>
      <c r="AL55">
        <v>1</v>
      </c>
      <c r="AM55" s="14">
        <v>0</v>
      </c>
      <c r="AN55" t="s">
        <v>2644</v>
      </c>
      <c r="AO55" s="12">
        <v>46023</v>
      </c>
      <c r="AP55">
        <v>2026</v>
      </c>
      <c r="AQ55">
        <v>1</v>
      </c>
      <c r="AR55" t="s">
        <v>2645</v>
      </c>
    </row>
    <row r="56" spans="1:44">
      <c r="A56" t="s">
        <v>555</v>
      </c>
      <c r="B56" s="12">
        <v>46048</v>
      </c>
      <c r="C56" s="12">
        <v>46021</v>
      </c>
      <c r="D56" t="s">
        <v>518</v>
      </c>
      <c r="E56" t="s">
        <v>281</v>
      </c>
      <c r="F56" t="s">
        <v>282</v>
      </c>
      <c r="G56" t="s">
        <v>446</v>
      </c>
      <c r="H56" t="s">
        <v>115</v>
      </c>
      <c r="I56" t="s">
        <v>271</v>
      </c>
      <c r="J56" s="13">
        <v>0.54166666666666663</v>
      </c>
      <c r="K56" s="13">
        <v>0.54583333333333328</v>
      </c>
      <c r="L56" s="13">
        <v>0.56041666666666667</v>
      </c>
      <c r="M56">
        <v>20</v>
      </c>
      <c r="N56" s="14">
        <v>120</v>
      </c>
      <c r="O56" t="s">
        <v>195</v>
      </c>
      <c r="P56">
        <v>2</v>
      </c>
      <c r="Q56" t="s">
        <v>318</v>
      </c>
      <c r="R56" t="s">
        <v>263</v>
      </c>
      <c r="S56">
        <v>0</v>
      </c>
      <c r="T56">
        <v>0</v>
      </c>
      <c r="U56" t="s">
        <v>2290</v>
      </c>
      <c r="V56" t="s">
        <v>2291</v>
      </c>
      <c r="W56" t="s">
        <v>2292</v>
      </c>
      <c r="X56" t="s">
        <v>2288</v>
      </c>
      <c r="Y56" t="s">
        <v>2293</v>
      </c>
      <c r="Z56" t="s">
        <v>2309</v>
      </c>
      <c r="AA56">
        <v>14</v>
      </c>
      <c r="AB56" s="14">
        <v>120</v>
      </c>
      <c r="AC56" t="s">
        <v>2310</v>
      </c>
      <c r="AD56" t="s">
        <v>2311</v>
      </c>
      <c r="AE56" t="s">
        <v>2643</v>
      </c>
      <c r="AF56">
        <v>27</v>
      </c>
      <c r="AG56">
        <v>0</v>
      </c>
      <c r="AH56">
        <v>21</v>
      </c>
      <c r="AI56">
        <v>1</v>
      </c>
      <c r="AJ56">
        <v>1</v>
      </c>
      <c r="AK56">
        <v>0</v>
      </c>
      <c r="AL56">
        <v>1</v>
      </c>
      <c r="AM56" s="14">
        <v>0</v>
      </c>
      <c r="AN56" t="s">
        <v>2644</v>
      </c>
      <c r="AO56" s="12">
        <v>46023</v>
      </c>
      <c r="AP56">
        <v>2026</v>
      </c>
      <c r="AQ56">
        <v>1</v>
      </c>
      <c r="AR56" t="s">
        <v>2645</v>
      </c>
    </row>
    <row r="57" spans="1:44">
      <c r="A57" t="s">
        <v>557</v>
      </c>
      <c r="B57" s="12">
        <v>46053</v>
      </c>
      <c r="C57" s="12">
        <v>46040</v>
      </c>
      <c r="D57" t="s">
        <v>558</v>
      </c>
      <c r="E57" t="s">
        <v>281</v>
      </c>
      <c r="F57" t="s">
        <v>269</v>
      </c>
      <c r="G57" t="s">
        <v>322</v>
      </c>
      <c r="H57" t="s">
        <v>115</v>
      </c>
      <c r="I57" t="s">
        <v>258</v>
      </c>
      <c r="J57" s="13">
        <v>0.375</v>
      </c>
      <c r="K57" s="13">
        <v>0.38263888888888886</v>
      </c>
      <c r="L57" s="13">
        <v>0.39930555555555558</v>
      </c>
      <c r="M57">
        <v>30</v>
      </c>
      <c r="N57" s="14">
        <v>80</v>
      </c>
      <c r="O57" t="s">
        <v>195</v>
      </c>
      <c r="P57">
        <v>2</v>
      </c>
      <c r="Q57" t="s">
        <v>326</v>
      </c>
      <c r="R57" t="s">
        <v>263</v>
      </c>
      <c r="S57">
        <v>0</v>
      </c>
      <c r="T57">
        <v>0</v>
      </c>
      <c r="U57" t="s">
        <v>2290</v>
      </c>
      <c r="V57" t="s">
        <v>2291</v>
      </c>
      <c r="W57" t="s">
        <v>2292</v>
      </c>
      <c r="X57" t="s">
        <v>2288</v>
      </c>
      <c r="Y57" t="s">
        <v>2293</v>
      </c>
      <c r="Z57" t="s">
        <v>2315</v>
      </c>
      <c r="AA57">
        <v>10</v>
      </c>
      <c r="AB57" s="14">
        <v>80</v>
      </c>
      <c r="AC57" t="s">
        <v>2316</v>
      </c>
      <c r="AD57" t="s">
        <v>2317</v>
      </c>
      <c r="AE57" t="s">
        <v>2643</v>
      </c>
      <c r="AF57">
        <v>13</v>
      </c>
      <c r="AG57">
        <v>0</v>
      </c>
      <c r="AH57">
        <v>24</v>
      </c>
      <c r="AI57">
        <v>1</v>
      </c>
      <c r="AJ57">
        <v>1</v>
      </c>
      <c r="AK57">
        <v>0</v>
      </c>
      <c r="AL57">
        <v>1</v>
      </c>
      <c r="AM57" s="14">
        <v>0</v>
      </c>
      <c r="AN57" t="s">
        <v>2644</v>
      </c>
      <c r="AO57" s="12">
        <v>46023</v>
      </c>
      <c r="AP57">
        <v>2026</v>
      </c>
      <c r="AQ57">
        <v>1</v>
      </c>
      <c r="AR57" t="s">
        <v>2645</v>
      </c>
    </row>
    <row r="58" spans="1:44">
      <c r="A58" t="s">
        <v>560</v>
      </c>
      <c r="B58" s="12">
        <v>46037</v>
      </c>
      <c r="C58" s="12">
        <v>46018</v>
      </c>
      <c r="D58" t="s">
        <v>563</v>
      </c>
      <c r="E58" t="s">
        <v>339</v>
      </c>
      <c r="F58" t="s">
        <v>282</v>
      </c>
      <c r="G58" t="s">
        <v>564</v>
      </c>
      <c r="H58" t="s">
        <v>115</v>
      </c>
      <c r="I58" t="s">
        <v>316</v>
      </c>
      <c r="J58" s="13">
        <v>0.58333333333333337</v>
      </c>
      <c r="K58" s="13">
        <v>0.57638888888888884</v>
      </c>
      <c r="L58" s="13">
        <v>0.6</v>
      </c>
      <c r="M58">
        <v>30</v>
      </c>
      <c r="N58" s="14">
        <v>120</v>
      </c>
      <c r="O58" t="s">
        <v>195</v>
      </c>
      <c r="P58">
        <v>5</v>
      </c>
      <c r="Q58" t="s">
        <v>262</v>
      </c>
      <c r="R58" t="s">
        <v>263</v>
      </c>
      <c r="S58">
        <v>0</v>
      </c>
      <c r="T58">
        <v>0</v>
      </c>
      <c r="U58" t="s">
        <v>2294</v>
      </c>
      <c r="V58" t="s">
        <v>2295</v>
      </c>
      <c r="W58" t="s">
        <v>2296</v>
      </c>
      <c r="X58" t="s">
        <v>2297</v>
      </c>
      <c r="Y58" t="s">
        <v>2298</v>
      </c>
      <c r="Z58" t="s">
        <v>2309</v>
      </c>
      <c r="AA58">
        <v>14</v>
      </c>
      <c r="AB58" s="14">
        <v>120</v>
      </c>
      <c r="AC58" t="s">
        <v>2310</v>
      </c>
      <c r="AD58" t="s">
        <v>2311</v>
      </c>
      <c r="AE58" t="s">
        <v>2643</v>
      </c>
      <c r="AF58">
        <v>19</v>
      </c>
      <c r="AG58">
        <v>0</v>
      </c>
      <c r="AH58">
        <v>34</v>
      </c>
      <c r="AI58">
        <v>0</v>
      </c>
      <c r="AJ58">
        <v>1</v>
      </c>
      <c r="AK58">
        <v>0</v>
      </c>
      <c r="AL58">
        <v>1</v>
      </c>
      <c r="AM58" s="14">
        <v>0</v>
      </c>
      <c r="AN58" t="s">
        <v>2644</v>
      </c>
      <c r="AO58" s="12">
        <v>46023</v>
      </c>
      <c r="AP58">
        <v>2026</v>
      </c>
      <c r="AQ58">
        <v>1</v>
      </c>
      <c r="AR58" t="s">
        <v>2645</v>
      </c>
    </row>
    <row r="59" spans="1:44">
      <c r="A59" t="s">
        <v>567</v>
      </c>
      <c r="B59" s="12">
        <v>46050</v>
      </c>
      <c r="C59" s="12">
        <v>46032</v>
      </c>
      <c r="D59" t="s">
        <v>568</v>
      </c>
      <c r="E59" t="s">
        <v>339</v>
      </c>
      <c r="F59" t="s">
        <v>297</v>
      </c>
      <c r="G59" t="s">
        <v>569</v>
      </c>
      <c r="H59" t="s">
        <v>115</v>
      </c>
      <c r="I59" t="s">
        <v>271</v>
      </c>
      <c r="J59" s="13">
        <v>0.52083333333333337</v>
      </c>
      <c r="K59" s="13">
        <v>0.52013888888888893</v>
      </c>
      <c r="L59" s="13">
        <v>0.52986111111111112</v>
      </c>
      <c r="M59">
        <v>30</v>
      </c>
      <c r="N59" s="14">
        <v>65</v>
      </c>
      <c r="O59" t="s">
        <v>195</v>
      </c>
      <c r="P59">
        <v>4</v>
      </c>
      <c r="Q59" t="s">
        <v>318</v>
      </c>
      <c r="R59" t="s">
        <v>263</v>
      </c>
      <c r="S59">
        <v>0</v>
      </c>
      <c r="T59">
        <v>0</v>
      </c>
      <c r="U59" t="s">
        <v>2294</v>
      </c>
      <c r="V59" t="s">
        <v>2295</v>
      </c>
      <c r="W59" t="s">
        <v>2296</v>
      </c>
      <c r="X59" t="s">
        <v>2297</v>
      </c>
      <c r="Y59" t="s">
        <v>2298</v>
      </c>
      <c r="Z59" t="s">
        <v>2306</v>
      </c>
      <c r="AA59">
        <v>7</v>
      </c>
      <c r="AB59" s="14">
        <v>65</v>
      </c>
      <c r="AC59" t="s">
        <v>2307</v>
      </c>
      <c r="AD59" t="s">
        <v>2308</v>
      </c>
      <c r="AE59" t="s">
        <v>2643</v>
      </c>
      <c r="AF59">
        <v>18</v>
      </c>
      <c r="AG59">
        <v>0</v>
      </c>
      <c r="AH59">
        <v>14</v>
      </c>
      <c r="AI59">
        <v>1</v>
      </c>
      <c r="AJ59">
        <v>1</v>
      </c>
      <c r="AK59">
        <v>0</v>
      </c>
      <c r="AL59">
        <v>1</v>
      </c>
      <c r="AM59" s="14">
        <v>0</v>
      </c>
      <c r="AN59" t="s">
        <v>2644</v>
      </c>
      <c r="AO59" s="12">
        <v>46023</v>
      </c>
      <c r="AP59">
        <v>2026</v>
      </c>
      <c r="AQ59">
        <v>1</v>
      </c>
      <c r="AR59" t="s">
        <v>2645</v>
      </c>
    </row>
    <row r="60" spans="1:44">
      <c r="A60" t="s">
        <v>572</v>
      </c>
      <c r="B60" s="12">
        <v>46029</v>
      </c>
      <c r="C60" s="12">
        <v>45994</v>
      </c>
      <c r="D60" t="s">
        <v>575</v>
      </c>
      <c r="E60" t="s">
        <v>255</v>
      </c>
      <c r="F60" t="s">
        <v>297</v>
      </c>
      <c r="G60" t="s">
        <v>331</v>
      </c>
      <c r="H60" t="s">
        <v>122</v>
      </c>
      <c r="I60" t="s">
        <v>299</v>
      </c>
      <c r="J60" s="13">
        <v>0.47916666666666669</v>
      </c>
      <c r="K60" s="13"/>
      <c r="L60" s="13"/>
      <c r="M60">
        <v>0</v>
      </c>
      <c r="N60" s="14">
        <v>65</v>
      </c>
      <c r="O60" t="s">
        <v>195</v>
      </c>
      <c r="Q60" t="s">
        <v>262</v>
      </c>
      <c r="R60" t="s">
        <v>263</v>
      </c>
      <c r="S60">
        <v>0</v>
      </c>
      <c r="T60">
        <v>0</v>
      </c>
      <c r="U60" t="s">
        <v>2299</v>
      </c>
      <c r="V60" t="s">
        <v>2295</v>
      </c>
      <c r="W60" t="s">
        <v>2300</v>
      </c>
      <c r="X60" t="s">
        <v>2288</v>
      </c>
      <c r="Y60" t="s">
        <v>2301</v>
      </c>
      <c r="Z60" t="s">
        <v>2306</v>
      </c>
      <c r="AA60">
        <v>7</v>
      </c>
      <c r="AB60" s="14">
        <v>65</v>
      </c>
      <c r="AC60" t="s">
        <v>2307</v>
      </c>
      <c r="AD60" t="s">
        <v>2308</v>
      </c>
      <c r="AE60" t="s">
        <v>2643</v>
      </c>
      <c r="AF60">
        <v>35</v>
      </c>
      <c r="AG60">
        <v>0</v>
      </c>
      <c r="AJ60">
        <v>1</v>
      </c>
      <c r="AK60">
        <v>1</v>
      </c>
      <c r="AL60">
        <v>1</v>
      </c>
      <c r="AM60" s="14">
        <v>0</v>
      </c>
      <c r="AN60" t="s">
        <v>2644</v>
      </c>
      <c r="AO60" s="12">
        <v>46023</v>
      </c>
      <c r="AP60">
        <v>2026</v>
      </c>
      <c r="AQ60">
        <v>1</v>
      </c>
      <c r="AR60" t="s">
        <v>2645</v>
      </c>
    </row>
    <row r="61" spans="1:44">
      <c r="A61" t="s">
        <v>576</v>
      </c>
      <c r="B61" s="12">
        <v>46023</v>
      </c>
      <c r="C61" s="12">
        <v>46003</v>
      </c>
      <c r="D61" t="s">
        <v>577</v>
      </c>
      <c r="E61" t="s">
        <v>255</v>
      </c>
      <c r="F61" t="s">
        <v>256</v>
      </c>
      <c r="G61" t="s">
        <v>398</v>
      </c>
      <c r="H61" t="s">
        <v>127</v>
      </c>
      <c r="I61" t="s">
        <v>258</v>
      </c>
      <c r="J61" s="13">
        <v>0.41666666666666669</v>
      </c>
      <c r="K61" s="13"/>
      <c r="L61" s="13"/>
      <c r="M61">
        <v>0</v>
      </c>
      <c r="N61" s="14">
        <v>95</v>
      </c>
      <c r="O61" t="s">
        <v>195</v>
      </c>
      <c r="Q61" t="s">
        <v>318</v>
      </c>
      <c r="R61" t="s">
        <v>263</v>
      </c>
      <c r="S61">
        <v>0</v>
      </c>
      <c r="T61">
        <v>0</v>
      </c>
      <c r="U61" t="s">
        <v>2299</v>
      </c>
      <c r="V61" t="s">
        <v>2295</v>
      </c>
      <c r="W61" t="s">
        <v>2300</v>
      </c>
      <c r="X61" t="s">
        <v>2288</v>
      </c>
      <c r="Y61" t="s">
        <v>2301</v>
      </c>
      <c r="Z61" t="s">
        <v>2312</v>
      </c>
      <c r="AA61">
        <v>21</v>
      </c>
      <c r="AB61" s="14">
        <v>95</v>
      </c>
      <c r="AC61" t="s">
        <v>2313</v>
      </c>
      <c r="AD61" t="s">
        <v>2314</v>
      </c>
      <c r="AE61" t="s">
        <v>2643</v>
      </c>
      <c r="AF61">
        <v>20</v>
      </c>
      <c r="AG61">
        <v>1</v>
      </c>
      <c r="AJ61">
        <v>0</v>
      </c>
      <c r="AL61">
        <v>1</v>
      </c>
      <c r="AM61" s="14">
        <v>0</v>
      </c>
      <c r="AN61" t="s">
        <v>2644</v>
      </c>
      <c r="AO61" s="12">
        <v>46023</v>
      </c>
      <c r="AP61">
        <v>2026</v>
      </c>
      <c r="AQ61">
        <v>1</v>
      </c>
      <c r="AR61" t="s">
        <v>2645</v>
      </c>
    </row>
    <row r="62" spans="1:44">
      <c r="A62" t="s">
        <v>578</v>
      </c>
      <c r="B62" s="12">
        <v>46034</v>
      </c>
      <c r="C62" s="12">
        <v>46010</v>
      </c>
      <c r="D62" t="s">
        <v>579</v>
      </c>
      <c r="E62" t="s">
        <v>281</v>
      </c>
      <c r="F62" t="s">
        <v>297</v>
      </c>
      <c r="G62" t="s">
        <v>298</v>
      </c>
      <c r="H62" t="s">
        <v>127</v>
      </c>
      <c r="I62" t="s">
        <v>299</v>
      </c>
      <c r="J62" s="13">
        <v>0.33333333333333331</v>
      </c>
      <c r="K62" s="13"/>
      <c r="L62" s="13"/>
      <c r="M62">
        <v>0</v>
      </c>
      <c r="N62" s="14">
        <v>65</v>
      </c>
      <c r="O62" t="s">
        <v>195</v>
      </c>
      <c r="Q62" t="s">
        <v>326</v>
      </c>
      <c r="R62" t="s">
        <v>263</v>
      </c>
      <c r="S62">
        <v>0</v>
      </c>
      <c r="T62">
        <v>0</v>
      </c>
      <c r="U62" t="s">
        <v>2290</v>
      </c>
      <c r="V62" t="s">
        <v>2291</v>
      </c>
      <c r="W62" t="s">
        <v>2292</v>
      </c>
      <c r="X62" t="s">
        <v>2288</v>
      </c>
      <c r="Y62" t="s">
        <v>2293</v>
      </c>
      <c r="Z62" t="s">
        <v>2306</v>
      </c>
      <c r="AA62">
        <v>7</v>
      </c>
      <c r="AB62" s="14">
        <v>65</v>
      </c>
      <c r="AC62" t="s">
        <v>2307</v>
      </c>
      <c r="AD62" t="s">
        <v>2308</v>
      </c>
      <c r="AE62" t="s">
        <v>2643</v>
      </c>
      <c r="AF62">
        <v>24</v>
      </c>
      <c r="AG62">
        <v>0</v>
      </c>
      <c r="AJ62">
        <v>0</v>
      </c>
      <c r="AL62">
        <v>1</v>
      </c>
      <c r="AM62" s="14">
        <v>0</v>
      </c>
      <c r="AN62" t="s">
        <v>2644</v>
      </c>
      <c r="AO62" s="12">
        <v>46023</v>
      </c>
      <c r="AP62">
        <v>2026</v>
      </c>
      <c r="AQ62">
        <v>1</v>
      </c>
      <c r="AR62" t="s">
        <v>2645</v>
      </c>
    </row>
    <row r="63" spans="1:44">
      <c r="A63" t="s">
        <v>581</v>
      </c>
      <c r="B63" s="12">
        <v>46052</v>
      </c>
      <c r="C63" s="12">
        <v>46012</v>
      </c>
      <c r="D63" t="s">
        <v>582</v>
      </c>
      <c r="E63" t="s">
        <v>268</v>
      </c>
      <c r="F63" t="s">
        <v>297</v>
      </c>
      <c r="G63" t="s">
        <v>583</v>
      </c>
      <c r="H63" t="s">
        <v>115</v>
      </c>
      <c r="I63" t="s">
        <v>299</v>
      </c>
      <c r="J63" s="13">
        <v>0.375</v>
      </c>
      <c r="K63" s="13">
        <v>0.38333333333333336</v>
      </c>
      <c r="L63" s="13">
        <v>0.38333333333333336</v>
      </c>
      <c r="M63">
        <v>30</v>
      </c>
      <c r="N63" s="14">
        <v>65</v>
      </c>
      <c r="O63" t="s">
        <v>169</v>
      </c>
      <c r="P63">
        <v>2</v>
      </c>
      <c r="Q63" t="s">
        <v>318</v>
      </c>
      <c r="R63" t="s">
        <v>263</v>
      </c>
      <c r="S63">
        <v>0</v>
      </c>
      <c r="T63">
        <v>0</v>
      </c>
      <c r="U63" t="s">
        <v>2285</v>
      </c>
      <c r="V63" t="s">
        <v>2286</v>
      </c>
      <c r="W63" t="s">
        <v>2287</v>
      </c>
      <c r="X63" t="s">
        <v>2288</v>
      </c>
      <c r="Y63" t="s">
        <v>2289</v>
      </c>
      <c r="Z63" t="s">
        <v>2306</v>
      </c>
      <c r="AA63">
        <v>7</v>
      </c>
      <c r="AB63" s="14">
        <v>65</v>
      </c>
      <c r="AC63" t="s">
        <v>2307</v>
      </c>
      <c r="AD63" t="s">
        <v>2308</v>
      </c>
      <c r="AE63" t="s">
        <v>2643</v>
      </c>
      <c r="AF63">
        <v>40</v>
      </c>
      <c r="AG63">
        <v>0</v>
      </c>
      <c r="AH63">
        <v>0</v>
      </c>
      <c r="AI63">
        <v>1</v>
      </c>
      <c r="AJ63">
        <v>1</v>
      </c>
      <c r="AK63">
        <v>0</v>
      </c>
      <c r="AL63">
        <v>1</v>
      </c>
      <c r="AM63" s="14">
        <v>0</v>
      </c>
      <c r="AN63" t="s">
        <v>2644</v>
      </c>
      <c r="AO63" s="12">
        <v>46023</v>
      </c>
      <c r="AP63">
        <v>2026</v>
      </c>
      <c r="AQ63">
        <v>1</v>
      </c>
      <c r="AR63" t="s">
        <v>2645</v>
      </c>
    </row>
    <row r="64" spans="1:44">
      <c r="A64" t="s">
        <v>584</v>
      </c>
      <c r="B64" s="12">
        <v>46046</v>
      </c>
      <c r="C64" s="12">
        <v>46019</v>
      </c>
      <c r="D64" t="s">
        <v>586</v>
      </c>
      <c r="E64" t="s">
        <v>268</v>
      </c>
      <c r="F64" t="s">
        <v>409</v>
      </c>
      <c r="G64" t="s">
        <v>587</v>
      </c>
      <c r="H64" t="s">
        <v>115</v>
      </c>
      <c r="I64" t="s">
        <v>258</v>
      </c>
      <c r="J64" s="13">
        <v>0.45833333333333331</v>
      </c>
      <c r="K64" s="13">
        <v>0.46250000000000002</v>
      </c>
      <c r="L64" s="13">
        <v>0.47152777777777777</v>
      </c>
      <c r="M64">
        <v>45</v>
      </c>
      <c r="N64" s="14">
        <v>150</v>
      </c>
      <c r="O64" t="s">
        <v>195</v>
      </c>
      <c r="P64">
        <v>4</v>
      </c>
      <c r="Q64" t="s">
        <v>318</v>
      </c>
      <c r="R64" t="s">
        <v>263</v>
      </c>
      <c r="S64">
        <v>0</v>
      </c>
      <c r="T64">
        <v>0</v>
      </c>
      <c r="U64" t="s">
        <v>2285</v>
      </c>
      <c r="V64" t="s">
        <v>2286</v>
      </c>
      <c r="W64" t="s">
        <v>2287</v>
      </c>
      <c r="X64" t="s">
        <v>2288</v>
      </c>
      <c r="Y64" t="s">
        <v>2289</v>
      </c>
      <c r="Z64" t="s">
        <v>2318</v>
      </c>
      <c r="AA64">
        <v>28</v>
      </c>
      <c r="AB64" s="14">
        <v>150</v>
      </c>
      <c r="AC64" t="s">
        <v>2319</v>
      </c>
      <c r="AD64" t="s">
        <v>2320</v>
      </c>
      <c r="AE64" t="s">
        <v>2643</v>
      </c>
      <c r="AF64">
        <v>27</v>
      </c>
      <c r="AG64">
        <v>1</v>
      </c>
      <c r="AH64">
        <v>13</v>
      </c>
      <c r="AI64">
        <v>1</v>
      </c>
      <c r="AJ64">
        <v>1</v>
      </c>
      <c r="AK64">
        <v>0</v>
      </c>
      <c r="AL64">
        <v>1</v>
      </c>
      <c r="AM64" s="14">
        <v>0</v>
      </c>
      <c r="AN64" t="s">
        <v>2644</v>
      </c>
      <c r="AO64" s="12">
        <v>46023</v>
      </c>
      <c r="AP64">
        <v>2026</v>
      </c>
      <c r="AQ64">
        <v>1</v>
      </c>
      <c r="AR64" t="s">
        <v>2645</v>
      </c>
    </row>
    <row r="65" spans="1:44">
      <c r="A65" t="s">
        <v>590</v>
      </c>
      <c r="B65" s="12">
        <v>46041</v>
      </c>
      <c r="C65" s="12">
        <v>46006</v>
      </c>
      <c r="D65" t="s">
        <v>592</v>
      </c>
      <c r="E65" t="s">
        <v>268</v>
      </c>
      <c r="F65" t="s">
        <v>256</v>
      </c>
      <c r="G65" t="s">
        <v>419</v>
      </c>
      <c r="H65" t="s">
        <v>122</v>
      </c>
      <c r="I65" t="s">
        <v>258</v>
      </c>
      <c r="J65" s="13">
        <v>0.45833333333333331</v>
      </c>
      <c r="K65" s="13"/>
      <c r="L65" s="13"/>
      <c r="M65">
        <v>0</v>
      </c>
      <c r="N65" s="14">
        <v>95</v>
      </c>
      <c r="O65" t="s">
        <v>195</v>
      </c>
      <c r="Q65" t="s">
        <v>318</v>
      </c>
      <c r="R65" t="s">
        <v>263</v>
      </c>
      <c r="S65">
        <v>0</v>
      </c>
      <c r="T65">
        <v>0</v>
      </c>
      <c r="U65" t="s">
        <v>2285</v>
      </c>
      <c r="V65" t="s">
        <v>2286</v>
      </c>
      <c r="W65" t="s">
        <v>2287</v>
      </c>
      <c r="X65" t="s">
        <v>2288</v>
      </c>
      <c r="Y65" t="s">
        <v>2289</v>
      </c>
      <c r="Z65" t="s">
        <v>2312</v>
      </c>
      <c r="AA65">
        <v>21</v>
      </c>
      <c r="AB65" s="14">
        <v>95</v>
      </c>
      <c r="AC65" t="s">
        <v>2313</v>
      </c>
      <c r="AD65" t="s">
        <v>2314</v>
      </c>
      <c r="AE65" t="s">
        <v>2643</v>
      </c>
      <c r="AF65">
        <v>35</v>
      </c>
      <c r="AG65">
        <v>0</v>
      </c>
      <c r="AJ65">
        <v>1</v>
      </c>
      <c r="AK65">
        <v>1</v>
      </c>
      <c r="AL65">
        <v>1</v>
      </c>
      <c r="AM65" s="14">
        <v>0</v>
      </c>
      <c r="AN65" t="s">
        <v>2644</v>
      </c>
      <c r="AO65" s="12">
        <v>46023</v>
      </c>
      <c r="AP65">
        <v>2026</v>
      </c>
      <c r="AQ65">
        <v>1</v>
      </c>
      <c r="AR65" t="s">
        <v>2645</v>
      </c>
    </row>
    <row r="66" spans="1:44">
      <c r="A66" t="s">
        <v>593</v>
      </c>
      <c r="B66" s="12">
        <v>46023</v>
      </c>
      <c r="C66" s="12">
        <v>46008</v>
      </c>
      <c r="D66" t="s">
        <v>594</v>
      </c>
      <c r="E66" t="s">
        <v>268</v>
      </c>
      <c r="F66" t="s">
        <v>409</v>
      </c>
      <c r="G66" t="s">
        <v>587</v>
      </c>
      <c r="H66" t="s">
        <v>115</v>
      </c>
      <c r="I66" t="s">
        <v>271</v>
      </c>
      <c r="J66" s="13">
        <v>0.41666666666666669</v>
      </c>
      <c r="K66" s="13">
        <v>0.42499999999999999</v>
      </c>
      <c r="L66" s="13">
        <v>0.44305555555555554</v>
      </c>
      <c r="M66">
        <v>60</v>
      </c>
      <c r="N66" s="14">
        <v>150</v>
      </c>
      <c r="O66" t="s">
        <v>195</v>
      </c>
      <c r="P66">
        <v>2</v>
      </c>
      <c r="Q66" t="s">
        <v>305</v>
      </c>
      <c r="R66" t="s">
        <v>263</v>
      </c>
      <c r="S66">
        <v>0</v>
      </c>
      <c r="T66">
        <v>0</v>
      </c>
      <c r="U66" t="s">
        <v>2285</v>
      </c>
      <c r="V66" t="s">
        <v>2286</v>
      </c>
      <c r="W66" t="s">
        <v>2287</v>
      </c>
      <c r="X66" t="s">
        <v>2288</v>
      </c>
      <c r="Y66" t="s">
        <v>2289</v>
      </c>
      <c r="Z66" t="s">
        <v>2318</v>
      </c>
      <c r="AA66">
        <v>28</v>
      </c>
      <c r="AB66" s="14">
        <v>150</v>
      </c>
      <c r="AC66" t="s">
        <v>2319</v>
      </c>
      <c r="AD66" t="s">
        <v>2320</v>
      </c>
      <c r="AE66" t="s">
        <v>2643</v>
      </c>
      <c r="AF66">
        <v>15</v>
      </c>
      <c r="AG66">
        <v>1</v>
      </c>
      <c r="AH66">
        <v>26</v>
      </c>
      <c r="AI66">
        <v>1</v>
      </c>
      <c r="AJ66">
        <v>1</v>
      </c>
      <c r="AK66">
        <v>0</v>
      </c>
      <c r="AL66">
        <v>1</v>
      </c>
      <c r="AM66" s="14">
        <v>0</v>
      </c>
      <c r="AN66" t="s">
        <v>2644</v>
      </c>
      <c r="AO66" s="12">
        <v>46023</v>
      </c>
      <c r="AP66">
        <v>2026</v>
      </c>
      <c r="AQ66">
        <v>1</v>
      </c>
      <c r="AR66" t="s">
        <v>2645</v>
      </c>
    </row>
    <row r="67" spans="1:44">
      <c r="A67" t="s">
        <v>597</v>
      </c>
      <c r="B67" s="12">
        <v>46039</v>
      </c>
      <c r="C67" s="12">
        <v>45999</v>
      </c>
      <c r="D67" t="s">
        <v>289</v>
      </c>
      <c r="E67" t="s">
        <v>281</v>
      </c>
      <c r="F67" t="s">
        <v>297</v>
      </c>
      <c r="G67" t="s">
        <v>298</v>
      </c>
      <c r="H67" t="s">
        <v>115</v>
      </c>
      <c r="I67" t="s">
        <v>258</v>
      </c>
      <c r="J67" s="13">
        <v>0.625</v>
      </c>
      <c r="K67" s="13">
        <v>0.63541666666666663</v>
      </c>
      <c r="L67" s="13">
        <v>0.62847222222222221</v>
      </c>
      <c r="M67">
        <v>20</v>
      </c>
      <c r="N67" s="14">
        <v>65</v>
      </c>
      <c r="O67" t="s">
        <v>195</v>
      </c>
      <c r="P67">
        <v>4</v>
      </c>
      <c r="Q67" t="s">
        <v>326</v>
      </c>
      <c r="R67" t="s">
        <v>263</v>
      </c>
      <c r="S67">
        <v>0</v>
      </c>
      <c r="T67">
        <v>0</v>
      </c>
      <c r="U67" t="s">
        <v>2290</v>
      </c>
      <c r="V67" t="s">
        <v>2291</v>
      </c>
      <c r="W67" t="s">
        <v>2292</v>
      </c>
      <c r="X67" t="s">
        <v>2288</v>
      </c>
      <c r="Y67" t="s">
        <v>2293</v>
      </c>
      <c r="Z67" t="s">
        <v>2306</v>
      </c>
      <c r="AA67">
        <v>7</v>
      </c>
      <c r="AB67" s="14">
        <v>65</v>
      </c>
      <c r="AC67" t="s">
        <v>2307</v>
      </c>
      <c r="AD67" t="s">
        <v>2308</v>
      </c>
      <c r="AE67" t="s">
        <v>2643</v>
      </c>
      <c r="AF67">
        <v>40</v>
      </c>
      <c r="AG67">
        <v>0</v>
      </c>
      <c r="AJ67">
        <v>1</v>
      </c>
      <c r="AK67">
        <v>0</v>
      </c>
      <c r="AL67">
        <v>1</v>
      </c>
      <c r="AM67" s="14">
        <v>0</v>
      </c>
      <c r="AN67" t="s">
        <v>2644</v>
      </c>
      <c r="AO67" s="12">
        <v>46023</v>
      </c>
      <c r="AP67">
        <v>2026</v>
      </c>
      <c r="AQ67">
        <v>1</v>
      </c>
      <c r="AR67" t="s">
        <v>2645</v>
      </c>
    </row>
    <row r="68" spans="1:44">
      <c r="A68" t="s">
        <v>600</v>
      </c>
      <c r="B68" s="12">
        <v>46037</v>
      </c>
      <c r="C68" s="12">
        <v>46036</v>
      </c>
      <c r="D68" t="s">
        <v>601</v>
      </c>
      <c r="E68" t="s">
        <v>339</v>
      </c>
      <c r="F68" t="s">
        <v>282</v>
      </c>
      <c r="G68" t="s">
        <v>564</v>
      </c>
      <c r="H68" t="s">
        <v>115</v>
      </c>
      <c r="I68" t="s">
        <v>316</v>
      </c>
      <c r="J68" s="13">
        <v>0.66666666666666663</v>
      </c>
      <c r="K68" s="13">
        <v>0.67500000000000004</v>
      </c>
      <c r="L68" s="13">
        <v>0.68611111111111112</v>
      </c>
      <c r="M68">
        <v>45</v>
      </c>
      <c r="N68" s="14">
        <v>120</v>
      </c>
      <c r="O68" t="s">
        <v>195</v>
      </c>
      <c r="P68">
        <v>2</v>
      </c>
      <c r="Q68" t="s">
        <v>318</v>
      </c>
      <c r="R68" t="s">
        <v>263</v>
      </c>
      <c r="S68">
        <v>0</v>
      </c>
      <c r="T68">
        <v>0</v>
      </c>
      <c r="U68" t="s">
        <v>2294</v>
      </c>
      <c r="V68" t="s">
        <v>2295</v>
      </c>
      <c r="W68" t="s">
        <v>2296</v>
      </c>
      <c r="X68" t="s">
        <v>2297</v>
      </c>
      <c r="Y68" t="s">
        <v>2298</v>
      </c>
      <c r="Z68" t="s">
        <v>2309</v>
      </c>
      <c r="AA68">
        <v>14</v>
      </c>
      <c r="AB68" s="14">
        <v>120</v>
      </c>
      <c r="AC68" t="s">
        <v>2310</v>
      </c>
      <c r="AD68" t="s">
        <v>2311</v>
      </c>
      <c r="AE68" t="s">
        <v>2643</v>
      </c>
      <c r="AF68">
        <v>1</v>
      </c>
      <c r="AG68">
        <v>1</v>
      </c>
      <c r="AH68">
        <v>16</v>
      </c>
      <c r="AI68">
        <v>1</v>
      </c>
      <c r="AJ68">
        <v>1</v>
      </c>
      <c r="AK68">
        <v>0</v>
      </c>
      <c r="AL68">
        <v>1</v>
      </c>
      <c r="AM68" s="14">
        <v>0</v>
      </c>
      <c r="AN68" t="s">
        <v>2644</v>
      </c>
      <c r="AO68" s="12">
        <v>46023</v>
      </c>
      <c r="AP68">
        <v>2026</v>
      </c>
      <c r="AQ68">
        <v>1</v>
      </c>
      <c r="AR68" t="s">
        <v>2645</v>
      </c>
    </row>
    <row r="69" spans="1:44">
      <c r="A69" t="s">
        <v>605</v>
      </c>
      <c r="B69" s="12">
        <v>46053</v>
      </c>
      <c r="C69" s="12">
        <v>46013</v>
      </c>
      <c r="D69" t="s">
        <v>296</v>
      </c>
      <c r="E69" t="s">
        <v>268</v>
      </c>
      <c r="F69" t="s">
        <v>297</v>
      </c>
      <c r="G69" t="s">
        <v>583</v>
      </c>
      <c r="H69" t="s">
        <v>115</v>
      </c>
      <c r="I69" t="s">
        <v>299</v>
      </c>
      <c r="J69" s="13">
        <v>0.54166666666666663</v>
      </c>
      <c r="K69" s="13">
        <v>0.54722222222222228</v>
      </c>
      <c r="L69" s="13">
        <v>0.54652777777777772</v>
      </c>
      <c r="M69">
        <v>30</v>
      </c>
      <c r="N69" s="14">
        <v>65</v>
      </c>
      <c r="O69" t="s">
        <v>195</v>
      </c>
      <c r="P69">
        <v>3</v>
      </c>
      <c r="Q69" t="s">
        <v>305</v>
      </c>
      <c r="R69" t="s">
        <v>263</v>
      </c>
      <c r="S69">
        <v>0</v>
      </c>
      <c r="T69">
        <v>0</v>
      </c>
      <c r="U69" t="s">
        <v>2285</v>
      </c>
      <c r="V69" t="s">
        <v>2286</v>
      </c>
      <c r="W69" t="s">
        <v>2287</v>
      </c>
      <c r="X69" t="s">
        <v>2288</v>
      </c>
      <c r="Y69" t="s">
        <v>2289</v>
      </c>
      <c r="Z69" t="s">
        <v>2306</v>
      </c>
      <c r="AA69">
        <v>7</v>
      </c>
      <c r="AB69" s="14">
        <v>65</v>
      </c>
      <c r="AC69" t="s">
        <v>2307</v>
      </c>
      <c r="AD69" t="s">
        <v>2308</v>
      </c>
      <c r="AE69" t="s">
        <v>2643</v>
      </c>
      <c r="AF69">
        <v>40</v>
      </c>
      <c r="AG69">
        <v>0</v>
      </c>
      <c r="AJ69">
        <v>1</v>
      </c>
      <c r="AK69">
        <v>0</v>
      </c>
      <c r="AL69">
        <v>1</v>
      </c>
      <c r="AM69" s="14">
        <v>0</v>
      </c>
      <c r="AN69" t="s">
        <v>2644</v>
      </c>
      <c r="AO69" s="12">
        <v>46023</v>
      </c>
      <c r="AP69">
        <v>2026</v>
      </c>
      <c r="AQ69">
        <v>1</v>
      </c>
      <c r="AR69" t="s">
        <v>2645</v>
      </c>
    </row>
    <row r="70" spans="1:44">
      <c r="A70" t="s">
        <v>608</v>
      </c>
      <c r="B70" s="12">
        <v>46026</v>
      </c>
      <c r="C70" s="12">
        <v>45975</v>
      </c>
      <c r="D70" t="s">
        <v>610</v>
      </c>
      <c r="E70" t="s">
        <v>339</v>
      </c>
      <c r="F70" t="s">
        <v>409</v>
      </c>
      <c r="G70" t="s">
        <v>476</v>
      </c>
      <c r="H70" t="s">
        <v>115</v>
      </c>
      <c r="I70" t="s">
        <v>258</v>
      </c>
      <c r="J70" s="13">
        <v>0.41666666666666669</v>
      </c>
      <c r="K70" s="13">
        <v>0.4284722222222222</v>
      </c>
      <c r="L70" s="13">
        <v>0.43819444444444444</v>
      </c>
      <c r="M70">
        <v>20</v>
      </c>
      <c r="N70" s="14">
        <v>150</v>
      </c>
      <c r="O70" t="s">
        <v>195</v>
      </c>
      <c r="P70">
        <v>5</v>
      </c>
      <c r="Q70" t="s">
        <v>326</v>
      </c>
      <c r="R70" t="s">
        <v>263</v>
      </c>
      <c r="S70">
        <v>0</v>
      </c>
      <c r="T70">
        <v>0</v>
      </c>
      <c r="U70" t="s">
        <v>2294</v>
      </c>
      <c r="V70" t="s">
        <v>2295</v>
      </c>
      <c r="W70" t="s">
        <v>2296</v>
      </c>
      <c r="X70" t="s">
        <v>2297</v>
      </c>
      <c r="Y70" t="s">
        <v>2298</v>
      </c>
      <c r="Z70" t="s">
        <v>2318</v>
      </c>
      <c r="AA70">
        <v>28</v>
      </c>
      <c r="AB70" s="14">
        <v>150</v>
      </c>
      <c r="AC70" t="s">
        <v>2319</v>
      </c>
      <c r="AD70" t="s">
        <v>2320</v>
      </c>
      <c r="AE70" t="s">
        <v>2643</v>
      </c>
      <c r="AF70">
        <v>51</v>
      </c>
      <c r="AG70">
        <v>0</v>
      </c>
      <c r="AH70">
        <v>14</v>
      </c>
      <c r="AI70">
        <v>1</v>
      </c>
      <c r="AJ70">
        <v>1</v>
      </c>
      <c r="AK70">
        <v>0</v>
      </c>
      <c r="AL70">
        <v>1</v>
      </c>
      <c r="AM70" s="14">
        <v>0</v>
      </c>
      <c r="AN70" t="s">
        <v>2644</v>
      </c>
      <c r="AO70" s="12">
        <v>46023</v>
      </c>
      <c r="AP70">
        <v>2026</v>
      </c>
      <c r="AQ70">
        <v>1</v>
      </c>
      <c r="AR70" t="s">
        <v>2645</v>
      </c>
    </row>
    <row r="71" spans="1:44">
      <c r="A71" t="s">
        <v>613</v>
      </c>
      <c r="B71" s="12">
        <v>46050</v>
      </c>
      <c r="C71" s="12">
        <v>46007</v>
      </c>
      <c r="D71" t="s">
        <v>615</v>
      </c>
      <c r="E71" t="s">
        <v>339</v>
      </c>
      <c r="F71" t="s">
        <v>409</v>
      </c>
      <c r="G71" t="s">
        <v>476</v>
      </c>
      <c r="H71" t="s">
        <v>115</v>
      </c>
      <c r="I71" t="s">
        <v>258</v>
      </c>
      <c r="J71" s="13">
        <v>0.64583333333333337</v>
      </c>
      <c r="K71" s="13">
        <v>0.65625</v>
      </c>
      <c r="L71" s="13">
        <v>0.66805555555555551</v>
      </c>
      <c r="M71">
        <v>60</v>
      </c>
      <c r="N71" s="14">
        <v>150</v>
      </c>
      <c r="O71" t="s">
        <v>169</v>
      </c>
      <c r="P71">
        <v>5</v>
      </c>
      <c r="Q71" t="s">
        <v>285</v>
      </c>
      <c r="R71" t="s">
        <v>263</v>
      </c>
      <c r="S71">
        <v>0</v>
      </c>
      <c r="T71">
        <v>0</v>
      </c>
      <c r="U71" t="s">
        <v>2294</v>
      </c>
      <c r="V71" t="s">
        <v>2295</v>
      </c>
      <c r="W71" t="s">
        <v>2296</v>
      </c>
      <c r="X71" t="s">
        <v>2297</v>
      </c>
      <c r="Y71" t="s">
        <v>2298</v>
      </c>
      <c r="Z71" t="s">
        <v>2318</v>
      </c>
      <c r="AA71">
        <v>28</v>
      </c>
      <c r="AB71" s="14">
        <v>150</v>
      </c>
      <c r="AC71" t="s">
        <v>2319</v>
      </c>
      <c r="AD71" t="s">
        <v>2320</v>
      </c>
      <c r="AE71" t="s">
        <v>2643</v>
      </c>
      <c r="AF71">
        <v>43</v>
      </c>
      <c r="AG71">
        <v>0</v>
      </c>
      <c r="AH71">
        <v>17</v>
      </c>
      <c r="AI71">
        <v>1</v>
      </c>
      <c r="AJ71">
        <v>1</v>
      </c>
      <c r="AK71">
        <v>0</v>
      </c>
      <c r="AL71">
        <v>1</v>
      </c>
      <c r="AM71" s="14">
        <v>0</v>
      </c>
      <c r="AN71" t="s">
        <v>2644</v>
      </c>
      <c r="AO71" s="12">
        <v>46023</v>
      </c>
      <c r="AP71">
        <v>2026</v>
      </c>
      <c r="AQ71">
        <v>1</v>
      </c>
      <c r="AR71" t="s">
        <v>2645</v>
      </c>
    </row>
    <row r="72" spans="1:44">
      <c r="A72" t="s">
        <v>618</v>
      </c>
      <c r="B72" s="12">
        <v>46046</v>
      </c>
      <c r="C72" s="12">
        <v>46037</v>
      </c>
      <c r="D72" t="s">
        <v>362</v>
      </c>
      <c r="E72" t="s">
        <v>268</v>
      </c>
      <c r="F72" t="s">
        <v>256</v>
      </c>
      <c r="G72" t="s">
        <v>419</v>
      </c>
      <c r="H72" t="s">
        <v>115</v>
      </c>
      <c r="I72" t="s">
        <v>258</v>
      </c>
      <c r="J72" s="13">
        <v>0.5625</v>
      </c>
      <c r="K72" s="13">
        <v>0.56666666666666665</v>
      </c>
      <c r="L72" s="13">
        <v>0.56874999999999998</v>
      </c>
      <c r="M72">
        <v>20</v>
      </c>
      <c r="N72" s="14">
        <v>95</v>
      </c>
      <c r="O72" t="s">
        <v>195</v>
      </c>
      <c r="P72">
        <v>2</v>
      </c>
      <c r="Q72" t="s">
        <v>262</v>
      </c>
      <c r="R72" t="s">
        <v>263</v>
      </c>
      <c r="S72">
        <v>0</v>
      </c>
      <c r="T72">
        <v>0</v>
      </c>
      <c r="U72" t="s">
        <v>2285</v>
      </c>
      <c r="V72" t="s">
        <v>2286</v>
      </c>
      <c r="W72" t="s">
        <v>2287</v>
      </c>
      <c r="X72" t="s">
        <v>2288</v>
      </c>
      <c r="Y72" t="s">
        <v>2289</v>
      </c>
      <c r="Z72" t="s">
        <v>2312</v>
      </c>
      <c r="AA72">
        <v>21</v>
      </c>
      <c r="AB72" s="14">
        <v>95</v>
      </c>
      <c r="AC72" t="s">
        <v>2313</v>
      </c>
      <c r="AD72" t="s">
        <v>2314</v>
      </c>
      <c r="AE72" t="s">
        <v>2643</v>
      </c>
      <c r="AF72">
        <v>9</v>
      </c>
      <c r="AG72">
        <v>1</v>
      </c>
      <c r="AH72">
        <v>3</v>
      </c>
      <c r="AI72">
        <v>1</v>
      </c>
      <c r="AJ72">
        <v>1</v>
      </c>
      <c r="AK72">
        <v>0</v>
      </c>
      <c r="AL72">
        <v>1</v>
      </c>
      <c r="AM72" s="14">
        <v>0</v>
      </c>
      <c r="AN72" t="s">
        <v>2644</v>
      </c>
      <c r="AO72" s="12">
        <v>46023</v>
      </c>
      <c r="AP72">
        <v>2026</v>
      </c>
      <c r="AQ72">
        <v>1</v>
      </c>
      <c r="AR72" t="s">
        <v>2645</v>
      </c>
    </row>
    <row r="73" spans="1:44">
      <c r="A73" t="s">
        <v>620</v>
      </c>
      <c r="B73" s="12">
        <v>46038</v>
      </c>
      <c r="C73" s="12">
        <v>46024</v>
      </c>
      <c r="D73" t="s">
        <v>622</v>
      </c>
      <c r="E73" t="s">
        <v>268</v>
      </c>
      <c r="F73" t="s">
        <v>256</v>
      </c>
      <c r="G73" t="s">
        <v>419</v>
      </c>
      <c r="H73" t="s">
        <v>122</v>
      </c>
      <c r="I73" t="s">
        <v>258</v>
      </c>
      <c r="J73" s="13">
        <v>0.39583333333333331</v>
      </c>
      <c r="K73" s="13"/>
      <c r="L73" s="13"/>
      <c r="M73">
        <v>0</v>
      </c>
      <c r="N73" s="14">
        <v>95</v>
      </c>
      <c r="O73" t="s">
        <v>195</v>
      </c>
      <c r="Q73" t="s">
        <v>262</v>
      </c>
      <c r="R73" t="s">
        <v>263</v>
      </c>
      <c r="S73">
        <v>0</v>
      </c>
      <c r="T73">
        <v>0</v>
      </c>
      <c r="U73" t="s">
        <v>2285</v>
      </c>
      <c r="V73" t="s">
        <v>2286</v>
      </c>
      <c r="W73" t="s">
        <v>2287</v>
      </c>
      <c r="X73" t="s">
        <v>2288</v>
      </c>
      <c r="Y73" t="s">
        <v>2289</v>
      </c>
      <c r="Z73" t="s">
        <v>2312</v>
      </c>
      <c r="AA73">
        <v>21</v>
      </c>
      <c r="AB73" s="14">
        <v>95</v>
      </c>
      <c r="AC73" t="s">
        <v>2313</v>
      </c>
      <c r="AD73" t="s">
        <v>2314</v>
      </c>
      <c r="AE73" t="s">
        <v>2643</v>
      </c>
      <c r="AF73">
        <v>14</v>
      </c>
      <c r="AG73">
        <v>1</v>
      </c>
      <c r="AJ73">
        <v>1</v>
      </c>
      <c r="AK73">
        <v>1</v>
      </c>
      <c r="AL73">
        <v>1</v>
      </c>
      <c r="AM73" s="14">
        <v>0</v>
      </c>
      <c r="AN73" t="s">
        <v>2644</v>
      </c>
      <c r="AO73" s="12">
        <v>46023</v>
      </c>
      <c r="AP73">
        <v>2026</v>
      </c>
      <c r="AQ73">
        <v>1</v>
      </c>
      <c r="AR73" t="s">
        <v>2645</v>
      </c>
    </row>
    <row r="74" spans="1:44">
      <c r="A74" t="s">
        <v>623</v>
      </c>
      <c r="B74" s="12">
        <v>46044</v>
      </c>
      <c r="C74" s="12">
        <v>46022</v>
      </c>
      <c r="D74" t="s">
        <v>624</v>
      </c>
      <c r="E74" t="s">
        <v>255</v>
      </c>
      <c r="F74" t="s">
        <v>256</v>
      </c>
      <c r="G74" t="s">
        <v>257</v>
      </c>
      <c r="H74" t="s">
        <v>115</v>
      </c>
      <c r="I74" t="s">
        <v>316</v>
      </c>
      <c r="J74" s="13">
        <v>0.47916666666666669</v>
      </c>
      <c r="K74" s="13">
        <v>0.47986111111111113</v>
      </c>
      <c r="L74" s="13">
        <v>0.50624999999999998</v>
      </c>
      <c r="M74">
        <v>60</v>
      </c>
      <c r="N74" s="14">
        <v>95</v>
      </c>
      <c r="O74" t="s">
        <v>195</v>
      </c>
      <c r="P74">
        <v>5</v>
      </c>
      <c r="Q74" t="s">
        <v>326</v>
      </c>
      <c r="R74" t="s">
        <v>263</v>
      </c>
      <c r="S74">
        <v>0</v>
      </c>
      <c r="T74">
        <v>0</v>
      </c>
      <c r="U74" t="s">
        <v>2299</v>
      </c>
      <c r="V74" t="s">
        <v>2295</v>
      </c>
      <c r="W74" t="s">
        <v>2300</v>
      </c>
      <c r="X74" t="s">
        <v>2288</v>
      </c>
      <c r="Y74" t="s">
        <v>2301</v>
      </c>
      <c r="Z74" t="s">
        <v>2312</v>
      </c>
      <c r="AA74">
        <v>21</v>
      </c>
      <c r="AB74" s="14">
        <v>95</v>
      </c>
      <c r="AC74" t="s">
        <v>2313</v>
      </c>
      <c r="AD74" t="s">
        <v>2314</v>
      </c>
      <c r="AE74" t="s">
        <v>2643</v>
      </c>
      <c r="AF74">
        <v>22</v>
      </c>
      <c r="AG74">
        <v>0</v>
      </c>
      <c r="AH74">
        <v>38</v>
      </c>
      <c r="AI74">
        <v>0</v>
      </c>
      <c r="AJ74">
        <v>1</v>
      </c>
      <c r="AK74">
        <v>0</v>
      </c>
      <c r="AL74">
        <v>1</v>
      </c>
      <c r="AM74" s="14">
        <v>0</v>
      </c>
      <c r="AN74" t="s">
        <v>2644</v>
      </c>
      <c r="AO74" s="12">
        <v>46023</v>
      </c>
      <c r="AP74">
        <v>2026</v>
      </c>
      <c r="AQ74">
        <v>1</v>
      </c>
      <c r="AR74" t="s">
        <v>2645</v>
      </c>
    </row>
    <row r="75" spans="1:44">
      <c r="A75" t="s">
        <v>627</v>
      </c>
      <c r="B75" s="12">
        <v>46040</v>
      </c>
      <c r="C75" s="12">
        <v>45993</v>
      </c>
      <c r="D75" t="s">
        <v>460</v>
      </c>
      <c r="E75" t="s">
        <v>268</v>
      </c>
      <c r="F75" t="s">
        <v>297</v>
      </c>
      <c r="G75" t="s">
        <v>628</v>
      </c>
      <c r="H75" t="s">
        <v>115</v>
      </c>
      <c r="I75" t="s">
        <v>299</v>
      </c>
      <c r="J75" s="13">
        <v>0.66666666666666663</v>
      </c>
      <c r="K75" s="13">
        <v>0.6743055555555556</v>
      </c>
      <c r="L75" s="13">
        <v>0.67361111111111116</v>
      </c>
      <c r="M75">
        <v>30</v>
      </c>
      <c r="N75" s="14">
        <v>65</v>
      </c>
      <c r="O75" t="s">
        <v>169</v>
      </c>
      <c r="P75">
        <v>2</v>
      </c>
      <c r="Q75" t="s">
        <v>318</v>
      </c>
      <c r="R75" t="s">
        <v>263</v>
      </c>
      <c r="S75">
        <v>0</v>
      </c>
      <c r="T75">
        <v>0</v>
      </c>
      <c r="U75" t="s">
        <v>2285</v>
      </c>
      <c r="V75" t="s">
        <v>2286</v>
      </c>
      <c r="W75" t="s">
        <v>2287</v>
      </c>
      <c r="X75" t="s">
        <v>2288</v>
      </c>
      <c r="Y75" t="s">
        <v>2289</v>
      </c>
      <c r="Z75" t="s">
        <v>2306</v>
      </c>
      <c r="AA75">
        <v>7</v>
      </c>
      <c r="AB75" s="14">
        <v>65</v>
      </c>
      <c r="AC75" t="s">
        <v>2307</v>
      </c>
      <c r="AD75" t="s">
        <v>2308</v>
      </c>
      <c r="AE75" t="s">
        <v>2643</v>
      </c>
      <c r="AF75">
        <v>47</v>
      </c>
      <c r="AG75">
        <v>0</v>
      </c>
      <c r="AJ75">
        <v>1</v>
      </c>
      <c r="AK75">
        <v>0</v>
      </c>
      <c r="AL75">
        <v>1</v>
      </c>
      <c r="AM75" s="14">
        <v>0</v>
      </c>
      <c r="AN75" t="s">
        <v>2644</v>
      </c>
      <c r="AO75" s="12">
        <v>46023</v>
      </c>
      <c r="AP75">
        <v>2026</v>
      </c>
      <c r="AQ75">
        <v>1</v>
      </c>
      <c r="AR75" t="s">
        <v>2645</v>
      </c>
    </row>
    <row r="76" spans="1:44">
      <c r="A76" t="s">
        <v>632</v>
      </c>
      <c r="B76" s="12">
        <v>46029</v>
      </c>
      <c r="C76" s="12">
        <v>46020</v>
      </c>
      <c r="D76" t="s">
        <v>634</v>
      </c>
      <c r="E76" t="s">
        <v>339</v>
      </c>
      <c r="F76" t="s">
        <v>256</v>
      </c>
      <c r="G76" t="s">
        <v>345</v>
      </c>
      <c r="H76" t="s">
        <v>115</v>
      </c>
      <c r="I76" t="s">
        <v>299</v>
      </c>
      <c r="J76" s="13">
        <v>0.45833333333333331</v>
      </c>
      <c r="K76" s="13">
        <v>0.46736111111111112</v>
      </c>
      <c r="L76" s="13">
        <v>0.48194444444444445</v>
      </c>
      <c r="M76">
        <v>45</v>
      </c>
      <c r="N76" s="14">
        <v>95</v>
      </c>
      <c r="O76" t="s">
        <v>169</v>
      </c>
      <c r="P76">
        <v>3</v>
      </c>
      <c r="Q76" t="s">
        <v>326</v>
      </c>
      <c r="R76" t="s">
        <v>263</v>
      </c>
      <c r="S76">
        <v>0</v>
      </c>
      <c r="T76">
        <v>0</v>
      </c>
      <c r="U76" t="s">
        <v>2294</v>
      </c>
      <c r="V76" t="s">
        <v>2295</v>
      </c>
      <c r="W76" t="s">
        <v>2296</v>
      </c>
      <c r="X76" t="s">
        <v>2297</v>
      </c>
      <c r="Y76" t="s">
        <v>2298</v>
      </c>
      <c r="Z76" t="s">
        <v>2312</v>
      </c>
      <c r="AA76">
        <v>21</v>
      </c>
      <c r="AB76" s="14">
        <v>95</v>
      </c>
      <c r="AC76" t="s">
        <v>2313</v>
      </c>
      <c r="AD76" t="s">
        <v>2314</v>
      </c>
      <c r="AE76" t="s">
        <v>2643</v>
      </c>
      <c r="AF76">
        <v>9</v>
      </c>
      <c r="AG76">
        <v>1</v>
      </c>
      <c r="AH76">
        <v>21</v>
      </c>
      <c r="AI76">
        <v>1</v>
      </c>
      <c r="AJ76">
        <v>1</v>
      </c>
      <c r="AK76">
        <v>0</v>
      </c>
      <c r="AL76">
        <v>1</v>
      </c>
      <c r="AM76" s="14">
        <v>0</v>
      </c>
      <c r="AN76" t="s">
        <v>2644</v>
      </c>
      <c r="AO76" s="12">
        <v>46023</v>
      </c>
      <c r="AP76">
        <v>2026</v>
      </c>
      <c r="AQ76">
        <v>1</v>
      </c>
      <c r="AR76" t="s">
        <v>2645</v>
      </c>
    </row>
    <row r="77" spans="1:44">
      <c r="A77" t="s">
        <v>637</v>
      </c>
      <c r="B77" s="12">
        <v>46023</v>
      </c>
      <c r="C77" s="12">
        <v>46017</v>
      </c>
      <c r="D77" t="s">
        <v>638</v>
      </c>
      <c r="E77" t="s">
        <v>255</v>
      </c>
      <c r="F77" t="s">
        <v>297</v>
      </c>
      <c r="G77" t="s">
        <v>639</v>
      </c>
      <c r="H77" t="s">
        <v>115</v>
      </c>
      <c r="I77" t="s">
        <v>299</v>
      </c>
      <c r="J77" s="13">
        <v>0.64583333333333337</v>
      </c>
      <c r="K77" s="13">
        <v>0.65833333333333333</v>
      </c>
      <c r="L77" s="13">
        <v>0.65833333333333333</v>
      </c>
      <c r="M77">
        <v>30</v>
      </c>
      <c r="N77" s="14">
        <v>65</v>
      </c>
      <c r="O77" t="s">
        <v>169</v>
      </c>
      <c r="P77">
        <v>4</v>
      </c>
      <c r="Q77" t="s">
        <v>326</v>
      </c>
      <c r="R77" t="s">
        <v>263</v>
      </c>
      <c r="S77">
        <v>0</v>
      </c>
      <c r="T77">
        <v>0</v>
      </c>
      <c r="U77" t="s">
        <v>2299</v>
      </c>
      <c r="V77" t="s">
        <v>2295</v>
      </c>
      <c r="W77" t="s">
        <v>2300</v>
      </c>
      <c r="X77" t="s">
        <v>2288</v>
      </c>
      <c r="Y77" t="s">
        <v>2301</v>
      </c>
      <c r="Z77" t="s">
        <v>2306</v>
      </c>
      <c r="AA77">
        <v>7</v>
      </c>
      <c r="AB77" s="14">
        <v>65</v>
      </c>
      <c r="AC77" t="s">
        <v>2307</v>
      </c>
      <c r="AD77" t="s">
        <v>2308</v>
      </c>
      <c r="AE77" t="s">
        <v>2643</v>
      </c>
      <c r="AF77">
        <v>6</v>
      </c>
      <c r="AG77">
        <v>1</v>
      </c>
      <c r="AH77">
        <v>0</v>
      </c>
      <c r="AI77">
        <v>1</v>
      </c>
      <c r="AJ77">
        <v>1</v>
      </c>
      <c r="AK77">
        <v>0</v>
      </c>
      <c r="AL77">
        <v>1</v>
      </c>
      <c r="AM77" s="14">
        <v>0</v>
      </c>
      <c r="AN77" t="s">
        <v>2644</v>
      </c>
      <c r="AO77" s="12">
        <v>46023</v>
      </c>
      <c r="AP77">
        <v>2026</v>
      </c>
      <c r="AQ77">
        <v>1</v>
      </c>
      <c r="AR77" t="s">
        <v>2645</v>
      </c>
    </row>
    <row r="78" spans="1:44">
      <c r="A78" t="s">
        <v>641</v>
      </c>
      <c r="B78" s="12">
        <v>46043</v>
      </c>
      <c r="C78" s="12">
        <v>46030</v>
      </c>
      <c r="D78" t="s">
        <v>642</v>
      </c>
      <c r="E78" t="s">
        <v>281</v>
      </c>
      <c r="F78" t="s">
        <v>282</v>
      </c>
      <c r="G78" t="s">
        <v>283</v>
      </c>
      <c r="H78" t="s">
        <v>115</v>
      </c>
      <c r="I78" t="s">
        <v>271</v>
      </c>
      <c r="J78" s="13">
        <v>0.35416666666666669</v>
      </c>
      <c r="K78" s="13">
        <v>0.36319444444444443</v>
      </c>
      <c r="L78" s="13">
        <v>0.37430555555555556</v>
      </c>
      <c r="M78">
        <v>20</v>
      </c>
      <c r="N78" s="14">
        <v>120</v>
      </c>
      <c r="O78" t="s">
        <v>195</v>
      </c>
      <c r="P78">
        <v>5</v>
      </c>
      <c r="Q78" t="s">
        <v>285</v>
      </c>
      <c r="R78" t="s">
        <v>263</v>
      </c>
      <c r="S78">
        <v>0</v>
      </c>
      <c r="T78">
        <v>0</v>
      </c>
      <c r="U78" t="s">
        <v>2290</v>
      </c>
      <c r="V78" t="s">
        <v>2291</v>
      </c>
      <c r="W78" t="s">
        <v>2292</v>
      </c>
      <c r="X78" t="s">
        <v>2288</v>
      </c>
      <c r="Y78" t="s">
        <v>2293</v>
      </c>
      <c r="Z78" t="s">
        <v>2309</v>
      </c>
      <c r="AA78">
        <v>14</v>
      </c>
      <c r="AB78" s="14">
        <v>120</v>
      </c>
      <c r="AC78" t="s">
        <v>2310</v>
      </c>
      <c r="AD78" t="s">
        <v>2311</v>
      </c>
      <c r="AE78" t="s">
        <v>2643</v>
      </c>
      <c r="AF78">
        <v>13</v>
      </c>
      <c r="AG78">
        <v>1</v>
      </c>
      <c r="AH78">
        <v>16</v>
      </c>
      <c r="AI78">
        <v>1</v>
      </c>
      <c r="AJ78">
        <v>1</v>
      </c>
      <c r="AK78">
        <v>0</v>
      </c>
      <c r="AL78">
        <v>1</v>
      </c>
      <c r="AM78" s="14">
        <v>0</v>
      </c>
      <c r="AN78" t="s">
        <v>2644</v>
      </c>
      <c r="AO78" s="12">
        <v>46023</v>
      </c>
      <c r="AP78">
        <v>2026</v>
      </c>
      <c r="AQ78">
        <v>1</v>
      </c>
      <c r="AR78" t="s">
        <v>2645</v>
      </c>
    </row>
    <row r="79" spans="1:44">
      <c r="A79" t="s">
        <v>645</v>
      </c>
      <c r="B79" s="12">
        <v>46024</v>
      </c>
      <c r="C79" s="12">
        <v>46014</v>
      </c>
      <c r="D79" t="s">
        <v>647</v>
      </c>
      <c r="E79" t="s">
        <v>255</v>
      </c>
      <c r="F79" t="s">
        <v>409</v>
      </c>
      <c r="G79" t="s">
        <v>648</v>
      </c>
      <c r="H79" t="s">
        <v>115</v>
      </c>
      <c r="I79" t="s">
        <v>258</v>
      </c>
      <c r="J79" s="13">
        <v>0.33333333333333331</v>
      </c>
      <c r="K79" s="13">
        <v>0.3263888888888889</v>
      </c>
      <c r="L79" s="13">
        <v>0.33750000000000002</v>
      </c>
      <c r="M79">
        <v>30</v>
      </c>
      <c r="N79" s="14">
        <v>150</v>
      </c>
      <c r="O79" t="s">
        <v>195</v>
      </c>
      <c r="P79">
        <v>3</v>
      </c>
      <c r="Q79" t="s">
        <v>285</v>
      </c>
      <c r="R79" t="s">
        <v>263</v>
      </c>
      <c r="S79">
        <v>0</v>
      </c>
      <c r="T79">
        <v>0</v>
      </c>
      <c r="U79" t="s">
        <v>2299</v>
      </c>
      <c r="V79" t="s">
        <v>2295</v>
      </c>
      <c r="W79" t="s">
        <v>2300</v>
      </c>
      <c r="X79" t="s">
        <v>2288</v>
      </c>
      <c r="Y79" t="s">
        <v>2301</v>
      </c>
      <c r="Z79" t="s">
        <v>2318</v>
      </c>
      <c r="AA79">
        <v>28</v>
      </c>
      <c r="AB79" s="14">
        <v>150</v>
      </c>
      <c r="AC79" t="s">
        <v>2319</v>
      </c>
      <c r="AD79" t="s">
        <v>2320</v>
      </c>
      <c r="AE79" t="s">
        <v>2643</v>
      </c>
      <c r="AF79">
        <v>10</v>
      </c>
      <c r="AG79">
        <v>1</v>
      </c>
      <c r="AH79">
        <v>16</v>
      </c>
      <c r="AI79">
        <v>1</v>
      </c>
      <c r="AJ79">
        <v>1</v>
      </c>
      <c r="AK79">
        <v>0</v>
      </c>
      <c r="AL79">
        <v>1</v>
      </c>
      <c r="AM79" s="14">
        <v>0</v>
      </c>
      <c r="AN79" t="s">
        <v>2644</v>
      </c>
      <c r="AO79" s="12">
        <v>46023</v>
      </c>
      <c r="AP79">
        <v>2026</v>
      </c>
      <c r="AQ79">
        <v>1</v>
      </c>
      <c r="AR79" t="s">
        <v>2645</v>
      </c>
    </row>
    <row r="80" spans="1:44">
      <c r="A80" t="s">
        <v>651</v>
      </c>
      <c r="B80" s="12">
        <v>46053</v>
      </c>
      <c r="C80" s="12">
        <v>46001</v>
      </c>
      <c r="D80" t="s">
        <v>634</v>
      </c>
      <c r="E80" t="s">
        <v>268</v>
      </c>
      <c r="G80" t="s">
        <v>419</v>
      </c>
      <c r="H80" t="s">
        <v>115</v>
      </c>
      <c r="I80" t="s">
        <v>316</v>
      </c>
      <c r="J80" s="13">
        <v>0.33333333333333331</v>
      </c>
      <c r="K80" s="13">
        <v>0.32777777777777778</v>
      </c>
      <c r="L80" s="13">
        <v>0.34930555555555554</v>
      </c>
      <c r="M80">
        <v>30</v>
      </c>
      <c r="N80" s="14">
        <v>95</v>
      </c>
      <c r="O80" t="s">
        <v>169</v>
      </c>
      <c r="P80">
        <v>4</v>
      </c>
      <c r="Q80" t="s">
        <v>318</v>
      </c>
      <c r="R80" t="s">
        <v>263</v>
      </c>
      <c r="S80">
        <v>0</v>
      </c>
      <c r="T80">
        <v>1</v>
      </c>
      <c r="U80" t="s">
        <v>2285</v>
      </c>
      <c r="V80" t="s">
        <v>2286</v>
      </c>
      <c r="W80" t="s">
        <v>2287</v>
      </c>
      <c r="X80" t="s">
        <v>2288</v>
      </c>
      <c r="Y80" t="s">
        <v>2289</v>
      </c>
      <c r="AE80" t="s">
        <v>2646</v>
      </c>
      <c r="AF80">
        <v>52</v>
      </c>
      <c r="AH80">
        <v>31</v>
      </c>
      <c r="AI80">
        <v>0</v>
      </c>
      <c r="AJ80">
        <v>1</v>
      </c>
      <c r="AK80">
        <v>0</v>
      </c>
      <c r="AL80">
        <v>1</v>
      </c>
      <c r="AN80" t="s">
        <v>2647</v>
      </c>
      <c r="AO80" s="12">
        <v>46023</v>
      </c>
      <c r="AP80">
        <v>2026</v>
      </c>
      <c r="AQ80">
        <v>1</v>
      </c>
      <c r="AR80" t="s">
        <v>2645</v>
      </c>
    </row>
    <row r="81" spans="1:44">
      <c r="A81" t="s">
        <v>654</v>
      </c>
      <c r="B81" s="12">
        <v>46048</v>
      </c>
      <c r="C81" s="12">
        <v>46046</v>
      </c>
      <c r="D81" t="s">
        <v>655</v>
      </c>
      <c r="E81" t="s">
        <v>268</v>
      </c>
      <c r="F81" t="s">
        <v>409</v>
      </c>
      <c r="G81" t="s">
        <v>552</v>
      </c>
      <c r="H81" t="s">
        <v>115</v>
      </c>
      <c r="I81" t="s">
        <v>299</v>
      </c>
      <c r="J81" s="13">
        <v>0.52083333333333337</v>
      </c>
      <c r="K81" s="13">
        <v>0.53263888888888888</v>
      </c>
      <c r="L81" s="13">
        <v>0.53125</v>
      </c>
      <c r="M81">
        <v>30</v>
      </c>
      <c r="N81" s="14">
        <v>150</v>
      </c>
      <c r="O81" t="s">
        <v>195</v>
      </c>
      <c r="P81">
        <v>5</v>
      </c>
      <c r="Q81" t="s">
        <v>305</v>
      </c>
      <c r="R81" t="s">
        <v>263</v>
      </c>
      <c r="S81">
        <v>0</v>
      </c>
      <c r="T81">
        <v>0</v>
      </c>
      <c r="U81" t="s">
        <v>2285</v>
      </c>
      <c r="V81" t="s">
        <v>2286</v>
      </c>
      <c r="W81" t="s">
        <v>2287</v>
      </c>
      <c r="X81" t="s">
        <v>2288</v>
      </c>
      <c r="Y81" t="s">
        <v>2289</v>
      </c>
      <c r="Z81" t="s">
        <v>2318</v>
      </c>
      <c r="AA81">
        <v>28</v>
      </c>
      <c r="AB81" s="14">
        <v>150</v>
      </c>
      <c r="AC81" t="s">
        <v>2319</v>
      </c>
      <c r="AD81" t="s">
        <v>2320</v>
      </c>
      <c r="AE81" t="s">
        <v>2643</v>
      </c>
      <c r="AF81">
        <v>2</v>
      </c>
      <c r="AG81">
        <v>1</v>
      </c>
      <c r="AJ81">
        <v>1</v>
      </c>
      <c r="AK81">
        <v>0</v>
      </c>
      <c r="AL81">
        <v>1</v>
      </c>
      <c r="AM81" s="14">
        <v>0</v>
      </c>
      <c r="AN81" t="s">
        <v>2644</v>
      </c>
      <c r="AO81" s="12">
        <v>46023</v>
      </c>
      <c r="AP81">
        <v>2026</v>
      </c>
      <c r="AQ81">
        <v>1</v>
      </c>
      <c r="AR81" t="s">
        <v>2645</v>
      </c>
    </row>
    <row r="82" spans="1:44">
      <c r="A82" t="s">
        <v>658</v>
      </c>
      <c r="B82" s="12">
        <v>46048</v>
      </c>
      <c r="C82" s="12">
        <v>46045</v>
      </c>
      <c r="D82" t="s">
        <v>659</v>
      </c>
      <c r="E82" t="s">
        <v>255</v>
      </c>
      <c r="F82" t="s">
        <v>256</v>
      </c>
      <c r="G82" t="s">
        <v>398</v>
      </c>
      <c r="H82" t="s">
        <v>115</v>
      </c>
      <c r="I82" t="s">
        <v>271</v>
      </c>
      <c r="J82" s="13">
        <v>0.47916666666666669</v>
      </c>
      <c r="K82" s="13">
        <v>0.48472222222222222</v>
      </c>
      <c r="L82" s="13">
        <v>0.49930555555555556</v>
      </c>
      <c r="M82">
        <v>30</v>
      </c>
      <c r="N82" s="14">
        <v>95</v>
      </c>
      <c r="O82" t="s">
        <v>195</v>
      </c>
      <c r="P82">
        <v>2</v>
      </c>
      <c r="Q82" t="s">
        <v>318</v>
      </c>
      <c r="R82" t="s">
        <v>263</v>
      </c>
      <c r="S82">
        <v>0</v>
      </c>
      <c r="T82">
        <v>0</v>
      </c>
      <c r="U82" t="s">
        <v>2299</v>
      </c>
      <c r="V82" t="s">
        <v>2295</v>
      </c>
      <c r="W82" t="s">
        <v>2300</v>
      </c>
      <c r="X82" t="s">
        <v>2288</v>
      </c>
      <c r="Y82" t="s">
        <v>2301</v>
      </c>
      <c r="Z82" t="s">
        <v>2312</v>
      </c>
      <c r="AA82">
        <v>21</v>
      </c>
      <c r="AB82" s="14">
        <v>95</v>
      </c>
      <c r="AC82" t="s">
        <v>2313</v>
      </c>
      <c r="AD82" t="s">
        <v>2314</v>
      </c>
      <c r="AE82" t="s">
        <v>2643</v>
      </c>
      <c r="AF82">
        <v>3</v>
      </c>
      <c r="AG82">
        <v>1</v>
      </c>
      <c r="AH82">
        <v>21</v>
      </c>
      <c r="AI82">
        <v>1</v>
      </c>
      <c r="AJ82">
        <v>1</v>
      </c>
      <c r="AK82">
        <v>0</v>
      </c>
      <c r="AL82">
        <v>1</v>
      </c>
      <c r="AM82" s="14">
        <v>0</v>
      </c>
      <c r="AN82" t="s">
        <v>2644</v>
      </c>
      <c r="AO82" s="12">
        <v>46023</v>
      </c>
      <c r="AP82">
        <v>2026</v>
      </c>
      <c r="AQ82">
        <v>1</v>
      </c>
      <c r="AR82" t="s">
        <v>2645</v>
      </c>
    </row>
    <row r="83" spans="1:44">
      <c r="A83" t="s">
        <v>661</v>
      </c>
      <c r="B83" s="12">
        <v>46024</v>
      </c>
      <c r="C83" s="12">
        <v>46000</v>
      </c>
      <c r="D83" t="s">
        <v>367</v>
      </c>
      <c r="E83" t="s">
        <v>339</v>
      </c>
      <c r="F83" t="s">
        <v>282</v>
      </c>
      <c r="G83" t="s">
        <v>564</v>
      </c>
      <c r="H83" t="s">
        <v>122</v>
      </c>
      <c r="I83" t="s">
        <v>299</v>
      </c>
      <c r="J83" s="13">
        <v>0.35416666666666669</v>
      </c>
      <c r="K83" s="13"/>
      <c r="L83" s="13"/>
      <c r="M83">
        <v>0</v>
      </c>
      <c r="N83" s="14">
        <v>120</v>
      </c>
      <c r="O83" t="s">
        <v>195</v>
      </c>
      <c r="Q83" t="s">
        <v>305</v>
      </c>
      <c r="R83" t="s">
        <v>263</v>
      </c>
      <c r="S83">
        <v>0</v>
      </c>
      <c r="T83">
        <v>0</v>
      </c>
      <c r="U83" t="s">
        <v>2294</v>
      </c>
      <c r="V83" t="s">
        <v>2295</v>
      </c>
      <c r="W83" t="s">
        <v>2296</v>
      </c>
      <c r="X83" t="s">
        <v>2297</v>
      </c>
      <c r="Y83" t="s">
        <v>2298</v>
      </c>
      <c r="Z83" t="s">
        <v>2309</v>
      </c>
      <c r="AA83">
        <v>14</v>
      </c>
      <c r="AB83" s="14">
        <v>120</v>
      </c>
      <c r="AC83" t="s">
        <v>2310</v>
      </c>
      <c r="AD83" t="s">
        <v>2311</v>
      </c>
      <c r="AE83" t="s">
        <v>2643</v>
      </c>
      <c r="AF83">
        <v>24</v>
      </c>
      <c r="AG83">
        <v>0</v>
      </c>
      <c r="AJ83">
        <v>1</v>
      </c>
      <c r="AK83">
        <v>1</v>
      </c>
      <c r="AL83">
        <v>1</v>
      </c>
      <c r="AM83" s="14">
        <v>0</v>
      </c>
      <c r="AN83" t="s">
        <v>2644</v>
      </c>
      <c r="AO83" s="12">
        <v>46023</v>
      </c>
      <c r="AP83">
        <v>2026</v>
      </c>
      <c r="AQ83">
        <v>1</v>
      </c>
      <c r="AR83" t="s">
        <v>2645</v>
      </c>
    </row>
    <row r="84" spans="1:44">
      <c r="A84" t="s">
        <v>662</v>
      </c>
      <c r="B84" s="12">
        <v>46048</v>
      </c>
      <c r="C84" s="12">
        <v>46039</v>
      </c>
      <c r="D84" t="s">
        <v>634</v>
      </c>
      <c r="E84" t="s">
        <v>281</v>
      </c>
      <c r="F84" t="s">
        <v>269</v>
      </c>
      <c r="G84" t="s">
        <v>363</v>
      </c>
      <c r="H84" t="s">
        <v>115</v>
      </c>
      <c r="I84" t="s">
        <v>271</v>
      </c>
      <c r="J84" s="13">
        <v>0.54166666666666663</v>
      </c>
      <c r="K84" s="13">
        <v>0.54166666666666663</v>
      </c>
      <c r="L84" s="13">
        <v>0.54236111111111107</v>
      </c>
      <c r="M84">
        <v>20</v>
      </c>
      <c r="N84" s="14">
        <v>80</v>
      </c>
      <c r="O84" t="s">
        <v>195</v>
      </c>
      <c r="Q84" t="s">
        <v>318</v>
      </c>
      <c r="R84" t="s">
        <v>263</v>
      </c>
      <c r="S84">
        <v>0</v>
      </c>
      <c r="T84">
        <v>0</v>
      </c>
      <c r="U84" t="s">
        <v>2290</v>
      </c>
      <c r="V84" t="s">
        <v>2291</v>
      </c>
      <c r="W84" t="s">
        <v>2292</v>
      </c>
      <c r="X84" t="s">
        <v>2288</v>
      </c>
      <c r="Y84" t="s">
        <v>2293</v>
      </c>
      <c r="Z84" t="s">
        <v>2315</v>
      </c>
      <c r="AA84">
        <v>10</v>
      </c>
      <c r="AB84" s="14">
        <v>80</v>
      </c>
      <c r="AC84" t="s">
        <v>2316</v>
      </c>
      <c r="AD84" t="s">
        <v>2317</v>
      </c>
      <c r="AE84" t="s">
        <v>2643</v>
      </c>
      <c r="AF84">
        <v>9</v>
      </c>
      <c r="AG84">
        <v>1</v>
      </c>
      <c r="AH84">
        <v>1</v>
      </c>
      <c r="AI84">
        <v>1</v>
      </c>
      <c r="AJ84">
        <v>1</v>
      </c>
      <c r="AK84">
        <v>0</v>
      </c>
      <c r="AL84">
        <v>1</v>
      </c>
      <c r="AM84" s="14">
        <v>0</v>
      </c>
      <c r="AN84" t="s">
        <v>2644</v>
      </c>
      <c r="AO84" s="12">
        <v>46023</v>
      </c>
      <c r="AP84">
        <v>2026</v>
      </c>
      <c r="AQ84">
        <v>1</v>
      </c>
      <c r="AR84" t="s">
        <v>2645</v>
      </c>
    </row>
    <row r="85" spans="1:44">
      <c r="A85" t="s">
        <v>665</v>
      </c>
      <c r="B85" s="12">
        <v>46051</v>
      </c>
      <c r="C85" s="12">
        <v>46035</v>
      </c>
      <c r="D85" t="s">
        <v>667</v>
      </c>
      <c r="E85" t="s">
        <v>281</v>
      </c>
      <c r="F85" t="s">
        <v>409</v>
      </c>
      <c r="G85" t="s">
        <v>535</v>
      </c>
      <c r="H85" t="s">
        <v>115</v>
      </c>
      <c r="I85" t="s">
        <v>299</v>
      </c>
      <c r="J85" s="13">
        <v>0.625</v>
      </c>
      <c r="K85" s="13">
        <v>0.63194444444444442</v>
      </c>
      <c r="L85" s="13">
        <v>0.64930555555555558</v>
      </c>
      <c r="M85">
        <v>60</v>
      </c>
      <c r="N85" s="14">
        <v>150</v>
      </c>
      <c r="O85" t="s">
        <v>195</v>
      </c>
      <c r="P85">
        <v>2</v>
      </c>
      <c r="Q85" t="s">
        <v>262</v>
      </c>
      <c r="R85" t="s">
        <v>263</v>
      </c>
      <c r="S85">
        <v>0</v>
      </c>
      <c r="T85">
        <v>0</v>
      </c>
      <c r="U85" t="s">
        <v>2290</v>
      </c>
      <c r="V85" t="s">
        <v>2291</v>
      </c>
      <c r="W85" t="s">
        <v>2292</v>
      </c>
      <c r="X85" t="s">
        <v>2288</v>
      </c>
      <c r="Y85" t="s">
        <v>2293</v>
      </c>
      <c r="Z85" t="s">
        <v>2318</v>
      </c>
      <c r="AA85">
        <v>28</v>
      </c>
      <c r="AB85" s="14">
        <v>150</v>
      </c>
      <c r="AC85" t="s">
        <v>2319</v>
      </c>
      <c r="AD85" t="s">
        <v>2320</v>
      </c>
      <c r="AE85" t="s">
        <v>2643</v>
      </c>
      <c r="AF85">
        <v>16</v>
      </c>
      <c r="AG85">
        <v>1</v>
      </c>
      <c r="AH85">
        <v>25</v>
      </c>
      <c r="AI85">
        <v>1</v>
      </c>
      <c r="AJ85">
        <v>1</v>
      </c>
      <c r="AK85">
        <v>0</v>
      </c>
      <c r="AL85">
        <v>1</v>
      </c>
      <c r="AM85" s="14">
        <v>0</v>
      </c>
      <c r="AN85" t="s">
        <v>2644</v>
      </c>
      <c r="AO85" s="12">
        <v>46023</v>
      </c>
      <c r="AP85">
        <v>2026</v>
      </c>
      <c r="AQ85">
        <v>1</v>
      </c>
      <c r="AR85" t="s">
        <v>2645</v>
      </c>
    </row>
    <row r="86" spans="1:44">
      <c r="A86" t="s">
        <v>670</v>
      </c>
      <c r="B86" s="12">
        <v>46051</v>
      </c>
      <c r="C86" s="12">
        <v>46037</v>
      </c>
      <c r="D86" t="s">
        <v>514</v>
      </c>
      <c r="E86" t="s">
        <v>339</v>
      </c>
      <c r="F86" t="s">
        <v>269</v>
      </c>
      <c r="G86" t="s">
        <v>340</v>
      </c>
      <c r="H86" t="s">
        <v>115</v>
      </c>
      <c r="I86" t="s">
        <v>258</v>
      </c>
      <c r="J86" s="13">
        <v>0.375</v>
      </c>
      <c r="K86" s="13">
        <v>0.38124999999999998</v>
      </c>
      <c r="L86" s="13">
        <v>0.39305555555555555</v>
      </c>
      <c r="M86">
        <v>45</v>
      </c>
      <c r="N86" s="14">
        <v>80</v>
      </c>
      <c r="O86" t="s">
        <v>195</v>
      </c>
      <c r="P86">
        <v>5</v>
      </c>
      <c r="Q86" t="s">
        <v>318</v>
      </c>
      <c r="R86" t="s">
        <v>263</v>
      </c>
      <c r="S86">
        <v>0</v>
      </c>
      <c r="T86">
        <v>0</v>
      </c>
      <c r="U86" t="s">
        <v>2294</v>
      </c>
      <c r="V86" t="s">
        <v>2295</v>
      </c>
      <c r="W86" t="s">
        <v>2296</v>
      </c>
      <c r="X86" t="s">
        <v>2297</v>
      </c>
      <c r="Y86" t="s">
        <v>2298</v>
      </c>
      <c r="Z86" t="s">
        <v>2315</v>
      </c>
      <c r="AA86">
        <v>10</v>
      </c>
      <c r="AB86" s="14">
        <v>80</v>
      </c>
      <c r="AC86" t="s">
        <v>2316</v>
      </c>
      <c r="AD86" t="s">
        <v>2317</v>
      </c>
      <c r="AE86" t="s">
        <v>2643</v>
      </c>
      <c r="AF86">
        <v>14</v>
      </c>
      <c r="AG86">
        <v>0</v>
      </c>
      <c r="AH86">
        <v>17</v>
      </c>
      <c r="AI86">
        <v>1</v>
      </c>
      <c r="AJ86">
        <v>1</v>
      </c>
      <c r="AK86">
        <v>0</v>
      </c>
      <c r="AL86">
        <v>1</v>
      </c>
      <c r="AM86" s="14">
        <v>0</v>
      </c>
      <c r="AN86" t="s">
        <v>2644</v>
      </c>
      <c r="AO86" s="12">
        <v>46023</v>
      </c>
      <c r="AP86">
        <v>2026</v>
      </c>
      <c r="AQ86">
        <v>1</v>
      </c>
      <c r="AR86" t="s">
        <v>2645</v>
      </c>
    </row>
    <row r="87" spans="1:44">
      <c r="A87" t="s">
        <v>672</v>
      </c>
      <c r="B87" s="12">
        <v>46050</v>
      </c>
      <c r="C87" s="12">
        <v>46002</v>
      </c>
      <c r="D87" t="s">
        <v>673</v>
      </c>
      <c r="E87" t="s">
        <v>339</v>
      </c>
      <c r="F87" t="s">
        <v>282</v>
      </c>
      <c r="G87" t="s">
        <v>564</v>
      </c>
      <c r="H87" t="s">
        <v>466</v>
      </c>
      <c r="I87" t="s">
        <v>299</v>
      </c>
      <c r="J87" s="13">
        <v>0.39583333333333331</v>
      </c>
      <c r="K87" s="13"/>
      <c r="L87" s="13"/>
      <c r="M87">
        <v>0</v>
      </c>
      <c r="N87" s="14">
        <v>120</v>
      </c>
      <c r="O87" t="s">
        <v>195</v>
      </c>
      <c r="Q87" t="s">
        <v>305</v>
      </c>
      <c r="R87" t="s">
        <v>263</v>
      </c>
      <c r="S87">
        <v>0</v>
      </c>
      <c r="T87">
        <v>0</v>
      </c>
      <c r="U87" t="s">
        <v>2294</v>
      </c>
      <c r="V87" t="s">
        <v>2295</v>
      </c>
      <c r="W87" t="s">
        <v>2296</v>
      </c>
      <c r="X87" t="s">
        <v>2297</v>
      </c>
      <c r="Y87" t="s">
        <v>2298</v>
      </c>
      <c r="Z87" t="s">
        <v>2309</v>
      </c>
      <c r="AA87">
        <v>14</v>
      </c>
      <c r="AB87" s="14">
        <v>120</v>
      </c>
      <c r="AC87" t="s">
        <v>2310</v>
      </c>
      <c r="AD87" t="s">
        <v>2311</v>
      </c>
      <c r="AE87" t="s">
        <v>2643</v>
      </c>
      <c r="AF87">
        <v>48</v>
      </c>
      <c r="AG87">
        <v>0</v>
      </c>
      <c r="AJ87">
        <v>0</v>
      </c>
      <c r="AL87">
        <v>1</v>
      </c>
      <c r="AM87" s="14">
        <v>0</v>
      </c>
      <c r="AN87" t="s">
        <v>2644</v>
      </c>
      <c r="AO87" s="12">
        <v>46023</v>
      </c>
      <c r="AP87">
        <v>2026</v>
      </c>
      <c r="AQ87">
        <v>1</v>
      </c>
      <c r="AR87" t="s">
        <v>2645</v>
      </c>
    </row>
    <row r="88" spans="1:44">
      <c r="A88" t="s">
        <v>675</v>
      </c>
      <c r="B88" s="12">
        <v>46033</v>
      </c>
      <c r="C88" s="12">
        <v>45992</v>
      </c>
      <c r="D88" t="s">
        <v>677</v>
      </c>
      <c r="E88" t="s">
        <v>281</v>
      </c>
      <c r="F88" t="s">
        <v>282</v>
      </c>
      <c r="G88" t="s">
        <v>446</v>
      </c>
      <c r="H88" t="s">
        <v>115</v>
      </c>
      <c r="I88" t="s">
        <v>316</v>
      </c>
      <c r="J88" s="13">
        <v>0.39583333333333331</v>
      </c>
      <c r="K88" s="13">
        <v>0.40416666666666667</v>
      </c>
      <c r="L88" s="13">
        <v>0.4</v>
      </c>
      <c r="M88">
        <v>30</v>
      </c>
      <c r="N88" s="14">
        <v>120</v>
      </c>
      <c r="O88" t="s">
        <v>195</v>
      </c>
      <c r="P88">
        <v>4</v>
      </c>
      <c r="Q88" t="s">
        <v>305</v>
      </c>
      <c r="R88" t="s">
        <v>263</v>
      </c>
      <c r="S88">
        <v>0</v>
      </c>
      <c r="T88">
        <v>0</v>
      </c>
      <c r="U88" t="s">
        <v>2290</v>
      </c>
      <c r="V88" t="s">
        <v>2291</v>
      </c>
      <c r="W88" t="s">
        <v>2292</v>
      </c>
      <c r="X88" t="s">
        <v>2288</v>
      </c>
      <c r="Y88" t="s">
        <v>2293</v>
      </c>
      <c r="Z88" t="s">
        <v>2309</v>
      </c>
      <c r="AA88">
        <v>14</v>
      </c>
      <c r="AB88" s="14">
        <v>120</v>
      </c>
      <c r="AC88" t="s">
        <v>2310</v>
      </c>
      <c r="AD88" t="s">
        <v>2311</v>
      </c>
      <c r="AE88" t="s">
        <v>2643</v>
      </c>
      <c r="AF88">
        <v>41</v>
      </c>
      <c r="AG88">
        <v>0</v>
      </c>
      <c r="AJ88">
        <v>1</v>
      </c>
      <c r="AK88">
        <v>0</v>
      </c>
      <c r="AL88">
        <v>1</v>
      </c>
      <c r="AM88" s="14">
        <v>0</v>
      </c>
      <c r="AN88" t="s">
        <v>2644</v>
      </c>
      <c r="AO88" s="12">
        <v>46023</v>
      </c>
      <c r="AP88">
        <v>2026</v>
      </c>
      <c r="AQ88">
        <v>1</v>
      </c>
      <c r="AR88" t="s">
        <v>2645</v>
      </c>
    </row>
    <row r="89" spans="1:44">
      <c r="A89" t="s">
        <v>680</v>
      </c>
      <c r="B89" s="12">
        <v>46027</v>
      </c>
      <c r="C89" s="12">
        <v>46004</v>
      </c>
      <c r="D89" t="s">
        <v>682</v>
      </c>
      <c r="E89" t="s">
        <v>268</v>
      </c>
      <c r="F89" t="s">
        <v>282</v>
      </c>
      <c r="G89" t="s">
        <v>524</v>
      </c>
      <c r="H89" t="s">
        <v>115</v>
      </c>
      <c r="I89" t="s">
        <v>258</v>
      </c>
      <c r="J89" s="13">
        <v>0.4375</v>
      </c>
      <c r="K89" s="13">
        <v>0.44374999999999998</v>
      </c>
      <c r="L89" s="13">
        <v>0.44583333333333336</v>
      </c>
      <c r="M89">
        <v>30</v>
      </c>
      <c r="N89" s="14">
        <v>120</v>
      </c>
      <c r="O89" t="s">
        <v>195</v>
      </c>
      <c r="P89">
        <v>3</v>
      </c>
      <c r="Q89" t="s">
        <v>285</v>
      </c>
      <c r="R89" t="s">
        <v>263</v>
      </c>
      <c r="S89">
        <v>0</v>
      </c>
      <c r="T89">
        <v>0</v>
      </c>
      <c r="U89" t="s">
        <v>2285</v>
      </c>
      <c r="V89" t="s">
        <v>2286</v>
      </c>
      <c r="W89" t="s">
        <v>2287</v>
      </c>
      <c r="X89" t="s">
        <v>2288</v>
      </c>
      <c r="Y89" t="s">
        <v>2289</v>
      </c>
      <c r="Z89" t="s">
        <v>2309</v>
      </c>
      <c r="AA89">
        <v>14</v>
      </c>
      <c r="AB89" s="14">
        <v>120</v>
      </c>
      <c r="AC89" t="s">
        <v>2310</v>
      </c>
      <c r="AD89" t="s">
        <v>2311</v>
      </c>
      <c r="AE89" t="s">
        <v>2643</v>
      </c>
      <c r="AF89">
        <v>23</v>
      </c>
      <c r="AG89">
        <v>0</v>
      </c>
      <c r="AH89">
        <v>3</v>
      </c>
      <c r="AI89">
        <v>1</v>
      </c>
      <c r="AJ89">
        <v>1</v>
      </c>
      <c r="AK89">
        <v>0</v>
      </c>
      <c r="AL89">
        <v>1</v>
      </c>
      <c r="AM89" s="14">
        <v>0</v>
      </c>
      <c r="AN89" t="s">
        <v>2644</v>
      </c>
      <c r="AO89" s="12">
        <v>46023</v>
      </c>
      <c r="AP89">
        <v>2026</v>
      </c>
      <c r="AQ89">
        <v>1</v>
      </c>
      <c r="AR89" t="s">
        <v>2645</v>
      </c>
    </row>
    <row r="90" spans="1:44">
      <c r="A90" t="s">
        <v>684</v>
      </c>
      <c r="B90" s="12">
        <v>46053</v>
      </c>
      <c r="C90" s="12">
        <v>46022</v>
      </c>
      <c r="D90" t="s">
        <v>685</v>
      </c>
      <c r="E90" t="s">
        <v>255</v>
      </c>
      <c r="F90" t="s">
        <v>282</v>
      </c>
      <c r="G90" t="s">
        <v>290</v>
      </c>
      <c r="H90" t="s">
        <v>122</v>
      </c>
      <c r="I90" t="s">
        <v>299</v>
      </c>
      <c r="J90" s="13">
        <v>0.5625</v>
      </c>
      <c r="K90" s="13"/>
      <c r="L90" s="13"/>
      <c r="M90">
        <v>45</v>
      </c>
      <c r="N90" s="14">
        <v>120</v>
      </c>
      <c r="O90" t="s">
        <v>195</v>
      </c>
      <c r="Q90" t="s">
        <v>326</v>
      </c>
      <c r="R90" t="s">
        <v>263</v>
      </c>
      <c r="S90">
        <v>0</v>
      </c>
      <c r="T90">
        <v>0</v>
      </c>
      <c r="U90" t="s">
        <v>2299</v>
      </c>
      <c r="V90" t="s">
        <v>2295</v>
      </c>
      <c r="W90" t="s">
        <v>2300</v>
      </c>
      <c r="X90" t="s">
        <v>2288</v>
      </c>
      <c r="Y90" t="s">
        <v>2301</v>
      </c>
      <c r="Z90" t="s">
        <v>2309</v>
      </c>
      <c r="AA90">
        <v>14</v>
      </c>
      <c r="AB90" s="14">
        <v>120</v>
      </c>
      <c r="AC90" t="s">
        <v>2310</v>
      </c>
      <c r="AD90" t="s">
        <v>2311</v>
      </c>
      <c r="AE90" t="s">
        <v>2643</v>
      </c>
      <c r="AF90">
        <v>31</v>
      </c>
      <c r="AG90">
        <v>0</v>
      </c>
      <c r="AJ90">
        <v>1</v>
      </c>
      <c r="AK90">
        <v>1</v>
      </c>
      <c r="AL90">
        <v>1</v>
      </c>
      <c r="AM90" s="14">
        <v>0</v>
      </c>
      <c r="AN90" t="s">
        <v>2644</v>
      </c>
      <c r="AO90" s="12">
        <v>46023</v>
      </c>
      <c r="AP90">
        <v>2026</v>
      </c>
      <c r="AQ90">
        <v>1</v>
      </c>
      <c r="AR90" t="s">
        <v>2645</v>
      </c>
    </row>
    <row r="91" spans="1:44">
      <c r="A91" t="s">
        <v>687</v>
      </c>
      <c r="B91" s="12">
        <v>46035</v>
      </c>
      <c r="C91" s="12">
        <v>46016</v>
      </c>
      <c r="D91" t="s">
        <v>372</v>
      </c>
      <c r="E91" t="s">
        <v>268</v>
      </c>
      <c r="F91" t="s">
        <v>282</v>
      </c>
      <c r="G91" t="s">
        <v>505</v>
      </c>
      <c r="H91" t="s">
        <v>115</v>
      </c>
      <c r="I91" t="s">
        <v>271</v>
      </c>
      <c r="J91" s="13">
        <v>0.52083333333333337</v>
      </c>
      <c r="K91" s="13">
        <v>0.51875000000000004</v>
      </c>
      <c r="L91" s="13">
        <v>0.54513888888888884</v>
      </c>
      <c r="M91">
        <v>20</v>
      </c>
      <c r="N91" s="14">
        <v>120</v>
      </c>
      <c r="O91" t="s">
        <v>195</v>
      </c>
      <c r="P91">
        <v>3</v>
      </c>
      <c r="Q91" t="s">
        <v>285</v>
      </c>
      <c r="R91" t="s">
        <v>263</v>
      </c>
      <c r="S91">
        <v>0</v>
      </c>
      <c r="T91">
        <v>0</v>
      </c>
      <c r="U91" t="s">
        <v>2285</v>
      </c>
      <c r="V91" t="s">
        <v>2286</v>
      </c>
      <c r="W91" t="s">
        <v>2287</v>
      </c>
      <c r="X91" t="s">
        <v>2288</v>
      </c>
      <c r="Y91" t="s">
        <v>2289</v>
      </c>
      <c r="Z91" t="s">
        <v>2309</v>
      </c>
      <c r="AA91">
        <v>14</v>
      </c>
      <c r="AB91" s="14">
        <v>120</v>
      </c>
      <c r="AC91" t="s">
        <v>2310</v>
      </c>
      <c r="AD91" t="s">
        <v>2311</v>
      </c>
      <c r="AE91" t="s">
        <v>2643</v>
      </c>
      <c r="AF91">
        <v>19</v>
      </c>
      <c r="AG91">
        <v>0</v>
      </c>
      <c r="AH91">
        <v>38</v>
      </c>
      <c r="AI91">
        <v>0</v>
      </c>
      <c r="AJ91">
        <v>1</v>
      </c>
      <c r="AK91">
        <v>0</v>
      </c>
      <c r="AL91">
        <v>1</v>
      </c>
      <c r="AM91" s="14">
        <v>0</v>
      </c>
      <c r="AN91" t="s">
        <v>2644</v>
      </c>
      <c r="AO91" s="12">
        <v>46023</v>
      </c>
      <c r="AP91">
        <v>2026</v>
      </c>
      <c r="AQ91">
        <v>1</v>
      </c>
      <c r="AR91" t="s">
        <v>2645</v>
      </c>
    </row>
    <row r="92" spans="1:44">
      <c r="A92" t="s">
        <v>690</v>
      </c>
      <c r="B92" s="12">
        <v>46035</v>
      </c>
      <c r="C92" s="12">
        <v>45993</v>
      </c>
      <c r="D92" t="s">
        <v>691</v>
      </c>
      <c r="E92" t="s">
        <v>339</v>
      </c>
      <c r="F92" t="s">
        <v>269</v>
      </c>
      <c r="G92" t="s">
        <v>528</v>
      </c>
      <c r="H92" t="s">
        <v>115</v>
      </c>
      <c r="I92" t="s">
        <v>258</v>
      </c>
      <c r="J92" s="13">
        <v>0.4375</v>
      </c>
      <c r="K92" s="13">
        <v>0.44374999999999998</v>
      </c>
      <c r="L92" s="13">
        <v>0.44444444444444442</v>
      </c>
      <c r="M92">
        <v>30</v>
      </c>
      <c r="N92" s="14">
        <v>80</v>
      </c>
      <c r="O92" t="s">
        <v>195</v>
      </c>
      <c r="P92">
        <v>2</v>
      </c>
      <c r="Q92" t="s">
        <v>285</v>
      </c>
      <c r="R92" t="s">
        <v>263</v>
      </c>
      <c r="S92">
        <v>0</v>
      </c>
      <c r="T92">
        <v>0</v>
      </c>
      <c r="U92" t="s">
        <v>2294</v>
      </c>
      <c r="V92" t="s">
        <v>2295</v>
      </c>
      <c r="W92" t="s">
        <v>2296</v>
      </c>
      <c r="X92" t="s">
        <v>2297</v>
      </c>
      <c r="Y92" t="s">
        <v>2298</v>
      </c>
      <c r="Z92" t="s">
        <v>2315</v>
      </c>
      <c r="AA92">
        <v>10</v>
      </c>
      <c r="AB92" s="14">
        <v>80</v>
      </c>
      <c r="AC92" t="s">
        <v>2316</v>
      </c>
      <c r="AD92" t="s">
        <v>2317</v>
      </c>
      <c r="AE92" t="s">
        <v>2643</v>
      </c>
      <c r="AF92">
        <v>42</v>
      </c>
      <c r="AG92">
        <v>0</v>
      </c>
      <c r="AH92">
        <v>1</v>
      </c>
      <c r="AI92">
        <v>1</v>
      </c>
      <c r="AJ92">
        <v>1</v>
      </c>
      <c r="AK92">
        <v>0</v>
      </c>
      <c r="AL92">
        <v>1</v>
      </c>
      <c r="AM92" s="14">
        <v>0</v>
      </c>
      <c r="AN92" t="s">
        <v>2644</v>
      </c>
      <c r="AO92" s="12">
        <v>46023</v>
      </c>
      <c r="AP92">
        <v>2026</v>
      </c>
      <c r="AQ92">
        <v>1</v>
      </c>
      <c r="AR92" t="s">
        <v>2645</v>
      </c>
    </row>
    <row r="93" spans="1:44">
      <c r="A93" t="s">
        <v>693</v>
      </c>
      <c r="B93" s="12">
        <v>46026</v>
      </c>
      <c r="C93" s="12">
        <v>45997</v>
      </c>
      <c r="D93" t="s">
        <v>694</v>
      </c>
      <c r="E93" t="s">
        <v>268</v>
      </c>
      <c r="F93" t="s">
        <v>282</v>
      </c>
      <c r="G93" t="s">
        <v>524</v>
      </c>
      <c r="H93" t="s">
        <v>127</v>
      </c>
      <c r="I93" t="s">
        <v>258</v>
      </c>
      <c r="J93" s="13">
        <v>0.52083333333333337</v>
      </c>
      <c r="K93" s="13"/>
      <c r="L93" s="13"/>
      <c r="M93">
        <v>0</v>
      </c>
      <c r="N93" s="14">
        <v>120</v>
      </c>
      <c r="O93" t="s">
        <v>195</v>
      </c>
      <c r="Q93" t="s">
        <v>262</v>
      </c>
      <c r="R93" t="s">
        <v>263</v>
      </c>
      <c r="S93">
        <v>0</v>
      </c>
      <c r="T93">
        <v>0</v>
      </c>
      <c r="U93" t="s">
        <v>2285</v>
      </c>
      <c r="V93" t="s">
        <v>2286</v>
      </c>
      <c r="W93" t="s">
        <v>2287</v>
      </c>
      <c r="X93" t="s">
        <v>2288</v>
      </c>
      <c r="Y93" t="s">
        <v>2289</v>
      </c>
      <c r="Z93" t="s">
        <v>2309</v>
      </c>
      <c r="AA93">
        <v>14</v>
      </c>
      <c r="AB93" s="14">
        <v>120</v>
      </c>
      <c r="AC93" t="s">
        <v>2310</v>
      </c>
      <c r="AD93" t="s">
        <v>2311</v>
      </c>
      <c r="AE93" t="s">
        <v>2643</v>
      </c>
      <c r="AF93">
        <v>29</v>
      </c>
      <c r="AG93">
        <v>0</v>
      </c>
      <c r="AJ93">
        <v>0</v>
      </c>
      <c r="AL93">
        <v>1</v>
      </c>
      <c r="AM93" s="14">
        <v>0</v>
      </c>
      <c r="AN93" t="s">
        <v>2644</v>
      </c>
      <c r="AO93" s="12">
        <v>46023</v>
      </c>
      <c r="AP93">
        <v>2026</v>
      </c>
      <c r="AQ93">
        <v>1</v>
      </c>
      <c r="AR93" t="s">
        <v>2645</v>
      </c>
    </row>
    <row r="94" spans="1:44">
      <c r="A94" t="s">
        <v>695</v>
      </c>
      <c r="B94" s="12">
        <v>46029</v>
      </c>
      <c r="C94" s="12">
        <v>45993</v>
      </c>
      <c r="D94" t="s">
        <v>575</v>
      </c>
      <c r="E94" t="s">
        <v>339</v>
      </c>
      <c r="F94" t="s">
        <v>282</v>
      </c>
      <c r="G94" t="s">
        <v>461</v>
      </c>
      <c r="H94" t="s">
        <v>127</v>
      </c>
      <c r="I94" t="s">
        <v>271</v>
      </c>
      <c r="J94" s="13">
        <v>0.35416666666666669</v>
      </c>
      <c r="K94" s="13">
        <v>0.35347222222222224</v>
      </c>
      <c r="L94" s="13">
        <v>0.36875000000000002</v>
      </c>
      <c r="M94">
        <v>45</v>
      </c>
      <c r="N94" s="14">
        <v>120</v>
      </c>
      <c r="O94" t="s">
        <v>169</v>
      </c>
      <c r="P94">
        <v>5</v>
      </c>
      <c r="Q94" t="s">
        <v>318</v>
      </c>
      <c r="R94" t="s">
        <v>263</v>
      </c>
      <c r="S94">
        <v>0</v>
      </c>
      <c r="T94">
        <v>0</v>
      </c>
      <c r="U94" t="s">
        <v>2294</v>
      </c>
      <c r="V94" t="s">
        <v>2295</v>
      </c>
      <c r="W94" t="s">
        <v>2296</v>
      </c>
      <c r="X94" t="s">
        <v>2297</v>
      </c>
      <c r="Y94" t="s">
        <v>2298</v>
      </c>
      <c r="Z94" t="s">
        <v>2309</v>
      </c>
      <c r="AA94">
        <v>14</v>
      </c>
      <c r="AB94" s="14">
        <v>120</v>
      </c>
      <c r="AC94" t="s">
        <v>2310</v>
      </c>
      <c r="AD94" t="s">
        <v>2311</v>
      </c>
      <c r="AE94" t="s">
        <v>2643</v>
      </c>
      <c r="AF94">
        <v>36</v>
      </c>
      <c r="AG94">
        <v>0</v>
      </c>
      <c r="AJ94">
        <v>0</v>
      </c>
      <c r="AL94">
        <v>1</v>
      </c>
      <c r="AM94" s="14">
        <v>0</v>
      </c>
      <c r="AN94" t="s">
        <v>2644</v>
      </c>
      <c r="AO94" s="12">
        <v>46023</v>
      </c>
      <c r="AP94">
        <v>2026</v>
      </c>
      <c r="AQ94">
        <v>1</v>
      </c>
      <c r="AR94" t="s">
        <v>2645</v>
      </c>
    </row>
    <row r="95" spans="1:44">
      <c r="A95" t="s">
        <v>699</v>
      </c>
      <c r="B95" s="12">
        <v>46024</v>
      </c>
      <c r="C95" s="12">
        <v>45987</v>
      </c>
      <c r="D95" t="s">
        <v>460</v>
      </c>
      <c r="E95" t="s">
        <v>339</v>
      </c>
      <c r="F95" t="s">
        <v>269</v>
      </c>
      <c r="G95" t="s">
        <v>340</v>
      </c>
      <c r="H95" t="s">
        <v>115</v>
      </c>
      <c r="I95" t="s">
        <v>299</v>
      </c>
      <c r="J95" s="13">
        <v>0.5625</v>
      </c>
      <c r="K95" s="13">
        <v>0.57361111111111107</v>
      </c>
      <c r="L95" s="13">
        <v>0.58958333333333335</v>
      </c>
      <c r="M95">
        <v>60</v>
      </c>
      <c r="N95" s="14">
        <v>80</v>
      </c>
      <c r="O95" t="s">
        <v>195</v>
      </c>
      <c r="P95">
        <v>3</v>
      </c>
      <c r="Q95" t="s">
        <v>318</v>
      </c>
      <c r="R95" t="s">
        <v>263</v>
      </c>
      <c r="S95">
        <v>0</v>
      </c>
      <c r="T95">
        <v>0</v>
      </c>
      <c r="U95" t="s">
        <v>2294</v>
      </c>
      <c r="V95" t="s">
        <v>2295</v>
      </c>
      <c r="W95" t="s">
        <v>2296</v>
      </c>
      <c r="X95" t="s">
        <v>2297</v>
      </c>
      <c r="Y95" t="s">
        <v>2298</v>
      </c>
      <c r="Z95" t="s">
        <v>2315</v>
      </c>
      <c r="AA95">
        <v>10</v>
      </c>
      <c r="AB95" s="14">
        <v>80</v>
      </c>
      <c r="AC95" t="s">
        <v>2316</v>
      </c>
      <c r="AD95" t="s">
        <v>2317</v>
      </c>
      <c r="AE95" t="s">
        <v>2643</v>
      </c>
      <c r="AF95">
        <v>37</v>
      </c>
      <c r="AG95">
        <v>0</v>
      </c>
      <c r="AH95">
        <v>23</v>
      </c>
      <c r="AI95">
        <v>1</v>
      </c>
      <c r="AJ95">
        <v>1</v>
      </c>
      <c r="AK95">
        <v>0</v>
      </c>
      <c r="AL95">
        <v>1</v>
      </c>
      <c r="AM95" s="14">
        <v>0</v>
      </c>
      <c r="AN95" t="s">
        <v>2644</v>
      </c>
      <c r="AO95" s="12">
        <v>46023</v>
      </c>
      <c r="AP95">
        <v>2026</v>
      </c>
      <c r="AQ95">
        <v>1</v>
      </c>
      <c r="AR95" t="s">
        <v>2645</v>
      </c>
    </row>
    <row r="96" spans="1:44">
      <c r="A96" t="s">
        <v>703</v>
      </c>
      <c r="B96" s="12">
        <v>46052</v>
      </c>
      <c r="C96" s="12">
        <v>46008</v>
      </c>
      <c r="D96" t="s">
        <v>704</v>
      </c>
      <c r="E96" t="s">
        <v>339</v>
      </c>
      <c r="F96" t="s">
        <v>256</v>
      </c>
      <c r="G96" t="s">
        <v>403</v>
      </c>
      <c r="H96" t="s">
        <v>127</v>
      </c>
      <c r="I96" t="s">
        <v>316</v>
      </c>
      <c r="J96" s="13">
        <v>0.5625</v>
      </c>
      <c r="K96" s="13"/>
      <c r="L96" s="13"/>
      <c r="M96">
        <v>0</v>
      </c>
      <c r="N96" s="14">
        <v>95</v>
      </c>
      <c r="O96" t="s">
        <v>195</v>
      </c>
      <c r="Q96" t="s">
        <v>285</v>
      </c>
      <c r="R96" t="s">
        <v>263</v>
      </c>
      <c r="S96">
        <v>0</v>
      </c>
      <c r="T96">
        <v>0</v>
      </c>
      <c r="U96" t="s">
        <v>2294</v>
      </c>
      <c r="V96" t="s">
        <v>2295</v>
      </c>
      <c r="W96" t="s">
        <v>2296</v>
      </c>
      <c r="X96" t="s">
        <v>2297</v>
      </c>
      <c r="Y96" t="s">
        <v>2298</v>
      </c>
      <c r="Z96" t="s">
        <v>2312</v>
      </c>
      <c r="AA96">
        <v>21</v>
      </c>
      <c r="AB96" s="14">
        <v>95</v>
      </c>
      <c r="AC96" t="s">
        <v>2313</v>
      </c>
      <c r="AD96" t="s">
        <v>2314</v>
      </c>
      <c r="AE96" t="s">
        <v>2643</v>
      </c>
      <c r="AF96">
        <v>44</v>
      </c>
      <c r="AG96">
        <v>0</v>
      </c>
      <c r="AJ96">
        <v>0</v>
      </c>
      <c r="AL96">
        <v>1</v>
      </c>
      <c r="AM96" s="14">
        <v>0</v>
      </c>
      <c r="AN96" t="s">
        <v>2644</v>
      </c>
      <c r="AO96" s="12">
        <v>46023</v>
      </c>
      <c r="AP96">
        <v>2026</v>
      </c>
      <c r="AQ96">
        <v>1</v>
      </c>
      <c r="AR96" t="s">
        <v>2645</v>
      </c>
    </row>
    <row r="97" spans="1:44">
      <c r="A97" t="s">
        <v>705</v>
      </c>
      <c r="B97" s="12">
        <v>46033</v>
      </c>
      <c r="C97" s="12">
        <v>46010</v>
      </c>
      <c r="D97" t="s">
        <v>706</v>
      </c>
      <c r="E97" t="s">
        <v>268</v>
      </c>
      <c r="F97" t="s">
        <v>269</v>
      </c>
      <c r="G97" t="s">
        <v>435</v>
      </c>
      <c r="H97" t="s">
        <v>115</v>
      </c>
      <c r="I97" t="s">
        <v>271</v>
      </c>
      <c r="J97" s="13">
        <v>0.4375</v>
      </c>
      <c r="K97" s="13">
        <v>0.43680555555555556</v>
      </c>
      <c r="L97" s="13">
        <v>0.43819444444444444</v>
      </c>
      <c r="M97">
        <v>20</v>
      </c>
      <c r="N97" s="14">
        <v>80</v>
      </c>
      <c r="O97" t="s">
        <v>169</v>
      </c>
      <c r="P97">
        <v>5</v>
      </c>
      <c r="Q97" t="s">
        <v>262</v>
      </c>
      <c r="R97" t="s">
        <v>263</v>
      </c>
      <c r="S97">
        <v>0</v>
      </c>
      <c r="T97">
        <v>0</v>
      </c>
      <c r="U97" t="s">
        <v>2285</v>
      </c>
      <c r="V97" t="s">
        <v>2286</v>
      </c>
      <c r="W97" t="s">
        <v>2287</v>
      </c>
      <c r="X97" t="s">
        <v>2288</v>
      </c>
      <c r="Y97" t="s">
        <v>2289</v>
      </c>
      <c r="Z97" t="s">
        <v>2315</v>
      </c>
      <c r="AA97">
        <v>10</v>
      </c>
      <c r="AB97" s="14">
        <v>80</v>
      </c>
      <c r="AC97" t="s">
        <v>2316</v>
      </c>
      <c r="AD97" t="s">
        <v>2317</v>
      </c>
      <c r="AE97" t="s">
        <v>2643</v>
      </c>
      <c r="AF97">
        <v>23</v>
      </c>
      <c r="AG97">
        <v>0</v>
      </c>
      <c r="AH97">
        <v>2</v>
      </c>
      <c r="AI97">
        <v>1</v>
      </c>
      <c r="AJ97">
        <v>1</v>
      </c>
      <c r="AK97">
        <v>0</v>
      </c>
      <c r="AL97">
        <v>1</v>
      </c>
      <c r="AM97" s="14">
        <v>0</v>
      </c>
      <c r="AN97" t="s">
        <v>2644</v>
      </c>
      <c r="AO97" s="12">
        <v>46023</v>
      </c>
      <c r="AP97">
        <v>2026</v>
      </c>
      <c r="AQ97">
        <v>1</v>
      </c>
      <c r="AR97" t="s">
        <v>2645</v>
      </c>
    </row>
    <row r="98" spans="1:44">
      <c r="A98" t="s">
        <v>708</v>
      </c>
      <c r="B98" s="12"/>
      <c r="C98" s="12">
        <v>45990</v>
      </c>
      <c r="D98" t="s">
        <v>711</v>
      </c>
      <c r="E98" t="s">
        <v>255</v>
      </c>
      <c r="F98" t="s">
        <v>256</v>
      </c>
      <c r="G98" t="s">
        <v>257</v>
      </c>
      <c r="H98" t="s">
        <v>115</v>
      </c>
      <c r="I98" t="s">
        <v>258</v>
      </c>
      <c r="J98" s="13">
        <v>0.58333333333333337</v>
      </c>
      <c r="K98" s="13">
        <v>0.57777777777777772</v>
      </c>
      <c r="L98" s="13">
        <v>0.58888888888888891</v>
      </c>
      <c r="M98">
        <v>60</v>
      </c>
      <c r="N98" s="14">
        <v>95</v>
      </c>
      <c r="O98" t="s">
        <v>195</v>
      </c>
      <c r="P98">
        <v>2</v>
      </c>
      <c r="Q98" t="s">
        <v>318</v>
      </c>
      <c r="R98" t="s">
        <v>263</v>
      </c>
      <c r="S98">
        <v>0</v>
      </c>
      <c r="T98">
        <v>0</v>
      </c>
      <c r="U98" t="s">
        <v>2299</v>
      </c>
      <c r="V98" t="s">
        <v>2295</v>
      </c>
      <c r="W98" t="s">
        <v>2300</v>
      </c>
      <c r="X98" t="s">
        <v>2288</v>
      </c>
      <c r="Y98" t="s">
        <v>2301</v>
      </c>
      <c r="Z98" t="s">
        <v>2312</v>
      </c>
      <c r="AA98">
        <v>21</v>
      </c>
      <c r="AB98" s="14">
        <v>95</v>
      </c>
      <c r="AC98" t="s">
        <v>2313</v>
      </c>
      <c r="AD98" t="s">
        <v>2314</v>
      </c>
      <c r="AE98" t="s">
        <v>2643</v>
      </c>
      <c r="AH98">
        <v>16</v>
      </c>
      <c r="AI98">
        <v>1</v>
      </c>
      <c r="AJ98">
        <v>1</v>
      </c>
      <c r="AK98">
        <v>0</v>
      </c>
      <c r="AL98">
        <v>1</v>
      </c>
      <c r="AM98" s="14">
        <v>0</v>
      </c>
      <c r="AN98" t="s">
        <v>2644</v>
      </c>
      <c r="AO98" s="12"/>
    </row>
    <row r="99" spans="1:44">
      <c r="A99" t="s">
        <v>714</v>
      </c>
      <c r="B99" s="12">
        <v>46047</v>
      </c>
      <c r="C99" s="12">
        <v>45999</v>
      </c>
      <c r="D99" t="s">
        <v>715</v>
      </c>
      <c r="E99" t="s">
        <v>339</v>
      </c>
      <c r="F99" t="s">
        <v>297</v>
      </c>
      <c r="G99" t="s">
        <v>569</v>
      </c>
      <c r="H99" t="s">
        <v>122</v>
      </c>
      <c r="I99" t="s">
        <v>299</v>
      </c>
      <c r="J99" s="13">
        <v>0.52083333333333337</v>
      </c>
      <c r="K99" s="13"/>
      <c r="L99" s="13"/>
      <c r="M99">
        <v>0</v>
      </c>
      <c r="N99" s="14">
        <v>65</v>
      </c>
      <c r="O99" t="s">
        <v>195</v>
      </c>
      <c r="Q99" t="s">
        <v>305</v>
      </c>
      <c r="R99" t="s">
        <v>263</v>
      </c>
      <c r="S99">
        <v>0</v>
      </c>
      <c r="T99">
        <v>0</v>
      </c>
      <c r="U99" t="s">
        <v>2294</v>
      </c>
      <c r="V99" t="s">
        <v>2295</v>
      </c>
      <c r="W99" t="s">
        <v>2296</v>
      </c>
      <c r="X99" t="s">
        <v>2297</v>
      </c>
      <c r="Y99" t="s">
        <v>2298</v>
      </c>
      <c r="Z99" t="s">
        <v>2306</v>
      </c>
      <c r="AA99">
        <v>7</v>
      </c>
      <c r="AB99" s="14">
        <v>65</v>
      </c>
      <c r="AC99" t="s">
        <v>2307</v>
      </c>
      <c r="AD99" t="s">
        <v>2308</v>
      </c>
      <c r="AE99" t="s">
        <v>2643</v>
      </c>
      <c r="AF99">
        <v>48</v>
      </c>
      <c r="AG99">
        <v>0</v>
      </c>
      <c r="AJ99">
        <v>1</v>
      </c>
      <c r="AK99">
        <v>1</v>
      </c>
      <c r="AL99">
        <v>1</v>
      </c>
      <c r="AM99" s="14">
        <v>0</v>
      </c>
      <c r="AN99" t="s">
        <v>2644</v>
      </c>
      <c r="AO99" s="12">
        <v>46023</v>
      </c>
      <c r="AP99">
        <v>2026</v>
      </c>
      <c r="AQ99">
        <v>1</v>
      </c>
      <c r="AR99" t="s">
        <v>2645</v>
      </c>
    </row>
    <row r="100" spans="1:44">
      <c r="A100" t="s">
        <v>716</v>
      </c>
      <c r="B100" s="12">
        <v>46044</v>
      </c>
      <c r="C100" s="12">
        <v>46042</v>
      </c>
      <c r="D100" t="s">
        <v>717</v>
      </c>
      <c r="E100" t="s">
        <v>339</v>
      </c>
      <c r="F100" t="s">
        <v>256</v>
      </c>
      <c r="G100" t="s">
        <v>345</v>
      </c>
      <c r="H100" t="s">
        <v>115</v>
      </c>
      <c r="I100" t="s">
        <v>271</v>
      </c>
      <c r="J100" s="13">
        <v>0.375</v>
      </c>
      <c r="K100" s="13">
        <v>0.36805555555555558</v>
      </c>
      <c r="L100" s="13">
        <v>0.39444444444444443</v>
      </c>
      <c r="M100">
        <v>30</v>
      </c>
      <c r="N100" s="14">
        <v>95</v>
      </c>
      <c r="O100" t="s">
        <v>195</v>
      </c>
      <c r="P100">
        <v>5</v>
      </c>
      <c r="Q100" t="s">
        <v>262</v>
      </c>
      <c r="R100" t="s">
        <v>263</v>
      </c>
      <c r="S100">
        <v>0</v>
      </c>
      <c r="T100">
        <v>0</v>
      </c>
      <c r="U100" t="s">
        <v>2294</v>
      </c>
      <c r="V100" t="s">
        <v>2295</v>
      </c>
      <c r="W100" t="s">
        <v>2296</v>
      </c>
      <c r="X100" t="s">
        <v>2297</v>
      </c>
      <c r="Y100" t="s">
        <v>2298</v>
      </c>
      <c r="Z100" t="s">
        <v>2312</v>
      </c>
      <c r="AA100">
        <v>21</v>
      </c>
      <c r="AB100" s="14">
        <v>95</v>
      </c>
      <c r="AC100" t="s">
        <v>2313</v>
      </c>
      <c r="AD100" t="s">
        <v>2314</v>
      </c>
      <c r="AE100" t="s">
        <v>2643</v>
      </c>
      <c r="AF100">
        <v>2</v>
      </c>
      <c r="AG100">
        <v>1</v>
      </c>
      <c r="AH100">
        <v>38</v>
      </c>
      <c r="AI100">
        <v>0</v>
      </c>
      <c r="AJ100">
        <v>1</v>
      </c>
      <c r="AK100">
        <v>0</v>
      </c>
      <c r="AL100">
        <v>1</v>
      </c>
      <c r="AM100" s="14">
        <v>0</v>
      </c>
      <c r="AN100" t="s">
        <v>2644</v>
      </c>
      <c r="AO100" s="12">
        <v>46023</v>
      </c>
      <c r="AP100">
        <v>2026</v>
      </c>
      <c r="AQ100">
        <v>1</v>
      </c>
      <c r="AR100" t="s">
        <v>2645</v>
      </c>
    </row>
    <row r="101" spans="1:44">
      <c r="A101" t="s">
        <v>720</v>
      </c>
      <c r="B101" s="12">
        <v>46052</v>
      </c>
      <c r="C101" s="12">
        <v>46047</v>
      </c>
      <c r="D101" t="s">
        <v>721</v>
      </c>
      <c r="E101" t="s">
        <v>255</v>
      </c>
      <c r="F101" t="s">
        <v>256</v>
      </c>
      <c r="G101" t="s">
        <v>257</v>
      </c>
      <c r="H101" t="s">
        <v>115</v>
      </c>
      <c r="I101" t="s">
        <v>299</v>
      </c>
      <c r="J101" s="13">
        <v>0.66666666666666663</v>
      </c>
      <c r="K101" s="13">
        <v>0.67638888888888893</v>
      </c>
      <c r="L101" s="13">
        <v>0.67013888888888884</v>
      </c>
      <c r="M101">
        <v>20</v>
      </c>
      <c r="N101" s="14">
        <v>95</v>
      </c>
      <c r="O101" t="s">
        <v>195</v>
      </c>
      <c r="P101">
        <v>2</v>
      </c>
      <c r="Q101" t="s">
        <v>326</v>
      </c>
      <c r="R101" t="s">
        <v>263</v>
      </c>
      <c r="S101">
        <v>0</v>
      </c>
      <c r="T101">
        <v>0</v>
      </c>
      <c r="U101" t="s">
        <v>2299</v>
      </c>
      <c r="V101" t="s">
        <v>2295</v>
      </c>
      <c r="W101" t="s">
        <v>2300</v>
      </c>
      <c r="X101" t="s">
        <v>2288</v>
      </c>
      <c r="Y101" t="s">
        <v>2301</v>
      </c>
      <c r="Z101" t="s">
        <v>2312</v>
      </c>
      <c r="AA101">
        <v>21</v>
      </c>
      <c r="AB101" s="14">
        <v>95</v>
      </c>
      <c r="AC101" t="s">
        <v>2313</v>
      </c>
      <c r="AD101" t="s">
        <v>2314</v>
      </c>
      <c r="AE101" t="s">
        <v>2643</v>
      </c>
      <c r="AF101">
        <v>5</v>
      </c>
      <c r="AG101">
        <v>1</v>
      </c>
      <c r="AJ101">
        <v>1</v>
      </c>
      <c r="AK101">
        <v>0</v>
      </c>
      <c r="AL101">
        <v>1</v>
      </c>
      <c r="AM101" s="14">
        <v>0</v>
      </c>
      <c r="AN101" t="s">
        <v>2644</v>
      </c>
      <c r="AO101" s="12">
        <v>46023</v>
      </c>
      <c r="AP101">
        <v>2026</v>
      </c>
      <c r="AQ101">
        <v>1</v>
      </c>
      <c r="AR101" t="s">
        <v>2645</v>
      </c>
    </row>
    <row r="102" spans="1:44">
      <c r="A102" t="s">
        <v>724</v>
      </c>
      <c r="B102" s="12">
        <v>46040</v>
      </c>
      <c r="C102" s="12">
        <v>46015</v>
      </c>
      <c r="D102" t="s">
        <v>563</v>
      </c>
      <c r="E102" t="s">
        <v>268</v>
      </c>
      <c r="F102" t="s">
        <v>269</v>
      </c>
      <c r="G102" t="s">
        <v>725</v>
      </c>
      <c r="H102" t="s">
        <v>115</v>
      </c>
      <c r="I102" t="s">
        <v>258</v>
      </c>
      <c r="J102" s="13">
        <v>0.35416666666666669</v>
      </c>
      <c r="K102" s="13">
        <v>0.35347222222222224</v>
      </c>
      <c r="L102" s="13">
        <v>0.37430555555555556</v>
      </c>
      <c r="M102">
        <v>45</v>
      </c>
      <c r="N102" s="14">
        <v>80</v>
      </c>
      <c r="O102" t="s">
        <v>195</v>
      </c>
      <c r="P102">
        <v>3</v>
      </c>
      <c r="Q102" t="s">
        <v>305</v>
      </c>
      <c r="R102" t="s">
        <v>263</v>
      </c>
      <c r="S102">
        <v>0</v>
      </c>
      <c r="T102">
        <v>0</v>
      </c>
      <c r="U102" t="s">
        <v>2285</v>
      </c>
      <c r="V102" t="s">
        <v>2286</v>
      </c>
      <c r="W102" t="s">
        <v>2287</v>
      </c>
      <c r="X102" t="s">
        <v>2288</v>
      </c>
      <c r="Y102" t="s">
        <v>2289</v>
      </c>
      <c r="Z102" t="s">
        <v>2315</v>
      </c>
      <c r="AA102">
        <v>10</v>
      </c>
      <c r="AB102" s="14">
        <v>80</v>
      </c>
      <c r="AC102" t="s">
        <v>2316</v>
      </c>
      <c r="AD102" t="s">
        <v>2317</v>
      </c>
      <c r="AE102" t="s">
        <v>2643</v>
      </c>
      <c r="AF102">
        <v>25</v>
      </c>
      <c r="AG102">
        <v>0</v>
      </c>
      <c r="AH102">
        <v>30</v>
      </c>
      <c r="AI102">
        <v>1</v>
      </c>
      <c r="AJ102">
        <v>1</v>
      </c>
      <c r="AK102">
        <v>0</v>
      </c>
      <c r="AL102">
        <v>1</v>
      </c>
      <c r="AM102" s="14">
        <v>0</v>
      </c>
      <c r="AN102" t="s">
        <v>2644</v>
      </c>
      <c r="AO102" s="12">
        <v>46023</v>
      </c>
      <c r="AP102">
        <v>2026</v>
      </c>
      <c r="AQ102">
        <v>1</v>
      </c>
      <c r="AR102" t="s">
        <v>2645</v>
      </c>
    </row>
    <row r="103" spans="1:44">
      <c r="A103" t="s">
        <v>726</v>
      </c>
      <c r="B103" s="12">
        <v>46045</v>
      </c>
      <c r="C103" s="12">
        <v>45997</v>
      </c>
      <c r="D103" t="s">
        <v>727</v>
      </c>
      <c r="E103" t="s">
        <v>255</v>
      </c>
      <c r="F103" t="s">
        <v>269</v>
      </c>
      <c r="G103" t="s">
        <v>542</v>
      </c>
      <c r="H103" t="s">
        <v>127</v>
      </c>
      <c r="I103" t="s">
        <v>258</v>
      </c>
      <c r="J103" s="13">
        <v>0.5625</v>
      </c>
      <c r="K103" s="13"/>
      <c r="L103" s="13"/>
      <c r="M103">
        <v>0</v>
      </c>
      <c r="N103" s="14">
        <v>80</v>
      </c>
      <c r="O103" t="s">
        <v>195</v>
      </c>
      <c r="Q103" t="s">
        <v>326</v>
      </c>
      <c r="R103" t="s">
        <v>263</v>
      </c>
      <c r="S103">
        <v>0</v>
      </c>
      <c r="T103">
        <v>0</v>
      </c>
      <c r="U103" t="s">
        <v>2299</v>
      </c>
      <c r="V103" t="s">
        <v>2295</v>
      </c>
      <c r="W103" t="s">
        <v>2300</v>
      </c>
      <c r="X103" t="s">
        <v>2288</v>
      </c>
      <c r="Y103" t="s">
        <v>2301</v>
      </c>
      <c r="Z103" t="s">
        <v>2315</v>
      </c>
      <c r="AA103">
        <v>10</v>
      </c>
      <c r="AB103" s="14">
        <v>80</v>
      </c>
      <c r="AC103" t="s">
        <v>2316</v>
      </c>
      <c r="AD103" t="s">
        <v>2317</v>
      </c>
      <c r="AE103" t="s">
        <v>2643</v>
      </c>
      <c r="AF103">
        <v>48</v>
      </c>
      <c r="AG103">
        <v>0</v>
      </c>
      <c r="AJ103">
        <v>0</v>
      </c>
      <c r="AL103">
        <v>1</v>
      </c>
      <c r="AM103" s="14">
        <v>0</v>
      </c>
      <c r="AN103" t="s">
        <v>2644</v>
      </c>
      <c r="AO103" s="12">
        <v>46023</v>
      </c>
      <c r="AP103">
        <v>2026</v>
      </c>
      <c r="AQ103">
        <v>1</v>
      </c>
      <c r="AR103" t="s">
        <v>2645</v>
      </c>
    </row>
    <row r="104" spans="1:44">
      <c r="A104" t="s">
        <v>728</v>
      </c>
      <c r="B104" s="12">
        <v>46044</v>
      </c>
      <c r="C104" s="12">
        <v>46039</v>
      </c>
      <c r="D104" t="s">
        <v>357</v>
      </c>
      <c r="E104" t="s">
        <v>339</v>
      </c>
      <c r="F104" t="s">
        <v>282</v>
      </c>
      <c r="G104" t="s">
        <v>461</v>
      </c>
      <c r="H104" t="s">
        <v>466</v>
      </c>
      <c r="I104" t="s">
        <v>258</v>
      </c>
      <c r="J104" s="13">
        <v>0.375</v>
      </c>
      <c r="K104" s="13"/>
      <c r="L104" s="13"/>
      <c r="M104">
        <v>0</v>
      </c>
      <c r="N104" s="14">
        <v>120</v>
      </c>
      <c r="O104" t="s">
        <v>195</v>
      </c>
      <c r="Q104" t="s">
        <v>318</v>
      </c>
      <c r="R104" t="s">
        <v>263</v>
      </c>
      <c r="S104">
        <v>0</v>
      </c>
      <c r="T104">
        <v>0</v>
      </c>
      <c r="U104" t="s">
        <v>2294</v>
      </c>
      <c r="V104" t="s">
        <v>2295</v>
      </c>
      <c r="W104" t="s">
        <v>2296</v>
      </c>
      <c r="X104" t="s">
        <v>2297</v>
      </c>
      <c r="Y104" t="s">
        <v>2298</v>
      </c>
      <c r="Z104" t="s">
        <v>2309</v>
      </c>
      <c r="AA104">
        <v>14</v>
      </c>
      <c r="AB104" s="14">
        <v>120</v>
      </c>
      <c r="AC104" t="s">
        <v>2310</v>
      </c>
      <c r="AD104" t="s">
        <v>2311</v>
      </c>
      <c r="AE104" t="s">
        <v>2643</v>
      </c>
      <c r="AF104">
        <v>5</v>
      </c>
      <c r="AG104">
        <v>1</v>
      </c>
      <c r="AJ104">
        <v>0</v>
      </c>
      <c r="AL104">
        <v>1</v>
      </c>
      <c r="AM104" s="14">
        <v>0</v>
      </c>
      <c r="AN104" t="s">
        <v>2644</v>
      </c>
      <c r="AO104" s="12">
        <v>46023</v>
      </c>
      <c r="AP104">
        <v>2026</v>
      </c>
      <c r="AQ104">
        <v>1</v>
      </c>
      <c r="AR104" t="s">
        <v>2645</v>
      </c>
    </row>
    <row r="105" spans="1:44">
      <c r="A105" t="s">
        <v>729</v>
      </c>
      <c r="B105" s="12">
        <v>46049</v>
      </c>
      <c r="C105" s="12">
        <v>46032</v>
      </c>
      <c r="D105" t="s">
        <v>731</v>
      </c>
      <c r="E105" t="s">
        <v>255</v>
      </c>
      <c r="F105" t="s">
        <v>409</v>
      </c>
      <c r="G105" t="s">
        <v>648</v>
      </c>
      <c r="H105" t="s">
        <v>115</v>
      </c>
      <c r="I105" t="s">
        <v>271</v>
      </c>
      <c r="J105" s="13">
        <v>0.52083333333333337</v>
      </c>
      <c r="K105" s="13">
        <v>0.52013888888888893</v>
      </c>
      <c r="L105" s="13">
        <v>0.53611111111111109</v>
      </c>
      <c r="M105">
        <v>30</v>
      </c>
      <c r="N105" s="14">
        <v>150</v>
      </c>
      <c r="O105" t="s">
        <v>195</v>
      </c>
      <c r="P105">
        <v>4</v>
      </c>
      <c r="Q105" t="s">
        <v>305</v>
      </c>
      <c r="R105" t="s">
        <v>263</v>
      </c>
      <c r="S105">
        <v>0</v>
      </c>
      <c r="T105">
        <v>0</v>
      </c>
      <c r="U105" t="s">
        <v>2299</v>
      </c>
      <c r="V105" t="s">
        <v>2295</v>
      </c>
      <c r="W105" t="s">
        <v>2300</v>
      </c>
      <c r="X105" t="s">
        <v>2288</v>
      </c>
      <c r="Y105" t="s">
        <v>2301</v>
      </c>
      <c r="Z105" t="s">
        <v>2318</v>
      </c>
      <c r="AA105">
        <v>28</v>
      </c>
      <c r="AB105" s="14">
        <v>150</v>
      </c>
      <c r="AC105" t="s">
        <v>2319</v>
      </c>
      <c r="AD105" t="s">
        <v>2320</v>
      </c>
      <c r="AE105" t="s">
        <v>2643</v>
      </c>
      <c r="AF105">
        <v>17</v>
      </c>
      <c r="AG105">
        <v>1</v>
      </c>
      <c r="AH105">
        <v>23</v>
      </c>
      <c r="AI105">
        <v>1</v>
      </c>
      <c r="AJ105">
        <v>1</v>
      </c>
      <c r="AK105">
        <v>0</v>
      </c>
      <c r="AL105">
        <v>1</v>
      </c>
      <c r="AM105" s="14">
        <v>0</v>
      </c>
      <c r="AN105" t="s">
        <v>2644</v>
      </c>
      <c r="AO105" s="12">
        <v>46023</v>
      </c>
      <c r="AP105">
        <v>2026</v>
      </c>
      <c r="AQ105">
        <v>1</v>
      </c>
      <c r="AR105" t="s">
        <v>2645</v>
      </c>
    </row>
    <row r="106" spans="1:44">
      <c r="A106" t="s">
        <v>733</v>
      </c>
      <c r="B106" s="12">
        <v>46053</v>
      </c>
      <c r="C106" s="12">
        <v>46003</v>
      </c>
      <c r="D106" t="s">
        <v>350</v>
      </c>
      <c r="E106" t="s">
        <v>268</v>
      </c>
      <c r="F106" t="s">
        <v>256</v>
      </c>
      <c r="G106" t="s">
        <v>419</v>
      </c>
      <c r="H106" t="s">
        <v>115</v>
      </c>
      <c r="I106" t="s">
        <v>299</v>
      </c>
      <c r="J106" s="13">
        <v>0.58333333333333337</v>
      </c>
      <c r="K106" s="13">
        <v>0.59305555555555556</v>
      </c>
      <c r="L106" s="13">
        <v>0.59444444444444444</v>
      </c>
      <c r="M106">
        <v>60</v>
      </c>
      <c r="N106" s="14">
        <v>95</v>
      </c>
      <c r="O106" t="s">
        <v>195</v>
      </c>
      <c r="P106">
        <v>4</v>
      </c>
      <c r="Q106" t="s">
        <v>262</v>
      </c>
      <c r="R106" t="s">
        <v>263</v>
      </c>
      <c r="S106">
        <v>0</v>
      </c>
      <c r="T106">
        <v>0</v>
      </c>
      <c r="U106" t="s">
        <v>2285</v>
      </c>
      <c r="V106" t="s">
        <v>2286</v>
      </c>
      <c r="W106" t="s">
        <v>2287</v>
      </c>
      <c r="X106" t="s">
        <v>2288</v>
      </c>
      <c r="Y106" t="s">
        <v>2289</v>
      </c>
      <c r="Z106" t="s">
        <v>2312</v>
      </c>
      <c r="AA106">
        <v>21</v>
      </c>
      <c r="AB106" s="14">
        <v>95</v>
      </c>
      <c r="AC106" t="s">
        <v>2313</v>
      </c>
      <c r="AD106" t="s">
        <v>2314</v>
      </c>
      <c r="AE106" t="s">
        <v>2643</v>
      </c>
      <c r="AF106">
        <v>50</v>
      </c>
      <c r="AG106">
        <v>0</v>
      </c>
      <c r="AH106">
        <v>2</v>
      </c>
      <c r="AI106">
        <v>1</v>
      </c>
      <c r="AJ106">
        <v>1</v>
      </c>
      <c r="AK106">
        <v>0</v>
      </c>
      <c r="AL106">
        <v>1</v>
      </c>
      <c r="AM106" s="14">
        <v>0</v>
      </c>
      <c r="AN106" t="s">
        <v>2644</v>
      </c>
      <c r="AO106" s="12">
        <v>46023</v>
      </c>
      <c r="AP106">
        <v>2026</v>
      </c>
      <c r="AQ106">
        <v>1</v>
      </c>
      <c r="AR106" t="s">
        <v>2645</v>
      </c>
    </row>
    <row r="107" spans="1:44">
      <c r="A107" t="s">
        <v>735</v>
      </c>
      <c r="B107" s="12">
        <v>46023</v>
      </c>
      <c r="C107" s="12">
        <v>45999</v>
      </c>
      <c r="D107" t="s">
        <v>736</v>
      </c>
      <c r="E107" t="s">
        <v>281</v>
      </c>
      <c r="F107" t="s">
        <v>282</v>
      </c>
      <c r="G107" t="s">
        <v>283</v>
      </c>
      <c r="H107" t="s">
        <v>115</v>
      </c>
      <c r="I107" t="s">
        <v>316</v>
      </c>
      <c r="J107" s="13">
        <v>0.5</v>
      </c>
      <c r="K107" s="13">
        <v>0.49652777777777779</v>
      </c>
      <c r="L107" s="13">
        <v>0.50347222222222221</v>
      </c>
      <c r="M107">
        <v>60</v>
      </c>
      <c r="N107" s="14">
        <v>120</v>
      </c>
      <c r="O107" t="s">
        <v>195</v>
      </c>
      <c r="P107">
        <v>3</v>
      </c>
      <c r="Q107" t="s">
        <v>262</v>
      </c>
      <c r="R107" t="s">
        <v>263</v>
      </c>
      <c r="S107">
        <v>0</v>
      </c>
      <c r="T107">
        <v>0</v>
      </c>
      <c r="U107" t="s">
        <v>2290</v>
      </c>
      <c r="V107" t="s">
        <v>2291</v>
      </c>
      <c r="W107" t="s">
        <v>2292</v>
      </c>
      <c r="X107" t="s">
        <v>2288</v>
      </c>
      <c r="Y107" t="s">
        <v>2293</v>
      </c>
      <c r="Z107" t="s">
        <v>2309</v>
      </c>
      <c r="AA107">
        <v>14</v>
      </c>
      <c r="AB107" s="14">
        <v>120</v>
      </c>
      <c r="AC107" t="s">
        <v>2310</v>
      </c>
      <c r="AD107" t="s">
        <v>2311</v>
      </c>
      <c r="AE107" t="s">
        <v>2643</v>
      </c>
      <c r="AF107">
        <v>24</v>
      </c>
      <c r="AG107">
        <v>0</v>
      </c>
      <c r="AH107">
        <v>10</v>
      </c>
      <c r="AI107">
        <v>1</v>
      </c>
      <c r="AJ107">
        <v>1</v>
      </c>
      <c r="AK107">
        <v>0</v>
      </c>
      <c r="AL107">
        <v>1</v>
      </c>
      <c r="AM107" s="14">
        <v>0</v>
      </c>
      <c r="AN107" t="s">
        <v>2644</v>
      </c>
      <c r="AO107" s="12">
        <v>46023</v>
      </c>
      <c r="AP107">
        <v>2026</v>
      </c>
      <c r="AQ107">
        <v>1</v>
      </c>
      <c r="AR107" t="s">
        <v>2645</v>
      </c>
    </row>
    <row r="108" spans="1:44">
      <c r="A108" t="s">
        <v>739</v>
      </c>
      <c r="B108" s="12">
        <v>46032</v>
      </c>
      <c r="C108" s="12">
        <v>45980</v>
      </c>
      <c r="D108" t="s">
        <v>741</v>
      </c>
      <c r="E108" t="s">
        <v>255</v>
      </c>
      <c r="F108" t="s">
        <v>269</v>
      </c>
      <c r="G108" t="s">
        <v>542</v>
      </c>
      <c r="H108" t="s">
        <v>115</v>
      </c>
      <c r="I108" t="s">
        <v>299</v>
      </c>
      <c r="J108" s="13">
        <v>0.45833333333333331</v>
      </c>
      <c r="K108" s="13">
        <v>0.45902777777777776</v>
      </c>
      <c r="L108" s="13">
        <v>0.4861111111111111</v>
      </c>
      <c r="M108">
        <v>60</v>
      </c>
      <c r="O108" t="s">
        <v>195</v>
      </c>
      <c r="P108">
        <v>2</v>
      </c>
      <c r="Q108" t="s">
        <v>262</v>
      </c>
      <c r="R108" t="s">
        <v>263</v>
      </c>
      <c r="S108">
        <v>0</v>
      </c>
      <c r="T108">
        <v>0</v>
      </c>
      <c r="U108" t="s">
        <v>2299</v>
      </c>
      <c r="V108" t="s">
        <v>2295</v>
      </c>
      <c r="W108" t="s">
        <v>2300</v>
      </c>
      <c r="X108" t="s">
        <v>2288</v>
      </c>
      <c r="Y108" t="s">
        <v>2301</v>
      </c>
      <c r="Z108" t="s">
        <v>2315</v>
      </c>
      <c r="AA108">
        <v>10</v>
      </c>
      <c r="AB108" s="14">
        <v>80</v>
      </c>
      <c r="AC108" t="s">
        <v>2316</v>
      </c>
      <c r="AD108" t="s">
        <v>2317</v>
      </c>
      <c r="AE108" t="s">
        <v>2643</v>
      </c>
      <c r="AF108">
        <v>52</v>
      </c>
      <c r="AG108">
        <v>0</v>
      </c>
      <c r="AH108">
        <v>39</v>
      </c>
      <c r="AI108">
        <v>0</v>
      </c>
      <c r="AJ108">
        <v>1</v>
      </c>
      <c r="AK108">
        <v>0</v>
      </c>
      <c r="AL108">
        <v>0</v>
      </c>
      <c r="AN108" t="s">
        <v>2648</v>
      </c>
      <c r="AO108" s="12">
        <v>46023</v>
      </c>
      <c r="AP108">
        <v>2026</v>
      </c>
      <c r="AQ108">
        <v>1</v>
      </c>
      <c r="AR108" t="s">
        <v>2645</v>
      </c>
    </row>
    <row r="109" spans="1:44">
      <c r="A109" t="s">
        <v>744</v>
      </c>
      <c r="B109" s="12">
        <v>46042</v>
      </c>
      <c r="C109" s="12">
        <v>46001</v>
      </c>
      <c r="D109" t="s">
        <v>691</v>
      </c>
      <c r="E109" t="s">
        <v>339</v>
      </c>
      <c r="F109" t="s">
        <v>297</v>
      </c>
      <c r="G109" t="s">
        <v>569</v>
      </c>
      <c r="H109" t="s">
        <v>115</v>
      </c>
      <c r="I109" t="s">
        <v>271</v>
      </c>
      <c r="J109" s="13">
        <v>0.33333333333333331</v>
      </c>
      <c r="K109" s="13">
        <v>0.32847222222222222</v>
      </c>
      <c r="L109" s="13">
        <v>0.33819444444444446</v>
      </c>
      <c r="M109">
        <v>30</v>
      </c>
      <c r="N109" s="14">
        <v>65</v>
      </c>
      <c r="O109" t="s">
        <v>169</v>
      </c>
      <c r="P109">
        <v>5</v>
      </c>
      <c r="Q109" t="s">
        <v>305</v>
      </c>
      <c r="R109" t="s">
        <v>263</v>
      </c>
      <c r="S109">
        <v>0</v>
      </c>
      <c r="T109">
        <v>0</v>
      </c>
      <c r="U109" t="s">
        <v>2294</v>
      </c>
      <c r="V109" t="s">
        <v>2295</v>
      </c>
      <c r="W109" t="s">
        <v>2296</v>
      </c>
      <c r="X109" t="s">
        <v>2297</v>
      </c>
      <c r="Y109" t="s">
        <v>2298</v>
      </c>
      <c r="Z109" t="s">
        <v>2306</v>
      </c>
      <c r="AA109">
        <v>7</v>
      </c>
      <c r="AB109" s="14">
        <v>65</v>
      </c>
      <c r="AC109" t="s">
        <v>2307</v>
      </c>
      <c r="AD109" t="s">
        <v>2308</v>
      </c>
      <c r="AE109" t="s">
        <v>2643</v>
      </c>
      <c r="AF109">
        <v>41</v>
      </c>
      <c r="AG109">
        <v>0</v>
      </c>
      <c r="AH109">
        <v>14</v>
      </c>
      <c r="AI109">
        <v>1</v>
      </c>
      <c r="AJ109">
        <v>1</v>
      </c>
      <c r="AK109">
        <v>0</v>
      </c>
      <c r="AL109">
        <v>1</v>
      </c>
      <c r="AM109" s="14">
        <v>0</v>
      </c>
      <c r="AN109" t="s">
        <v>2644</v>
      </c>
      <c r="AO109" s="12">
        <v>46023</v>
      </c>
      <c r="AP109">
        <v>2026</v>
      </c>
      <c r="AQ109">
        <v>1</v>
      </c>
      <c r="AR109" t="s">
        <v>2645</v>
      </c>
    </row>
    <row r="110" spans="1:44">
      <c r="A110" t="s">
        <v>747</v>
      </c>
      <c r="B110" s="12">
        <v>46049</v>
      </c>
      <c r="C110" s="12">
        <v>45998</v>
      </c>
      <c r="E110" t="s">
        <v>268</v>
      </c>
      <c r="F110" t="s">
        <v>269</v>
      </c>
      <c r="G110" t="s">
        <v>270</v>
      </c>
      <c r="H110" t="s">
        <v>127</v>
      </c>
      <c r="I110" t="s">
        <v>258</v>
      </c>
      <c r="J110" s="13">
        <v>0.39583333333333331</v>
      </c>
      <c r="K110" s="13"/>
      <c r="L110" s="13"/>
      <c r="M110">
        <v>0</v>
      </c>
      <c r="N110" s="14">
        <v>80</v>
      </c>
      <c r="O110" t="s">
        <v>195</v>
      </c>
      <c r="Q110" t="s">
        <v>262</v>
      </c>
      <c r="R110" t="s">
        <v>263</v>
      </c>
      <c r="S110">
        <v>1</v>
      </c>
      <c r="T110">
        <v>0</v>
      </c>
      <c r="U110" t="s">
        <v>2285</v>
      </c>
      <c r="V110" t="s">
        <v>2286</v>
      </c>
      <c r="W110" t="s">
        <v>2287</v>
      </c>
      <c r="X110" t="s">
        <v>2288</v>
      </c>
      <c r="Y110" t="s">
        <v>2289</v>
      </c>
      <c r="Z110" t="s">
        <v>2315</v>
      </c>
      <c r="AA110">
        <v>10</v>
      </c>
      <c r="AB110" s="14">
        <v>80</v>
      </c>
      <c r="AC110" t="s">
        <v>2316</v>
      </c>
      <c r="AD110" t="s">
        <v>2317</v>
      </c>
      <c r="AE110" t="s">
        <v>2643</v>
      </c>
      <c r="AF110">
        <v>51</v>
      </c>
      <c r="AG110">
        <v>0</v>
      </c>
      <c r="AJ110">
        <v>0</v>
      </c>
      <c r="AL110">
        <v>1</v>
      </c>
      <c r="AM110" s="14">
        <v>0</v>
      </c>
      <c r="AN110" t="s">
        <v>2644</v>
      </c>
      <c r="AO110" s="12">
        <v>46023</v>
      </c>
      <c r="AP110">
        <v>2026</v>
      </c>
      <c r="AQ110">
        <v>1</v>
      </c>
      <c r="AR110" t="s">
        <v>2645</v>
      </c>
    </row>
    <row r="111" spans="1:44">
      <c r="A111" t="s">
        <v>748</v>
      </c>
      <c r="B111" s="12">
        <v>46035</v>
      </c>
      <c r="C111" s="12">
        <v>46028</v>
      </c>
      <c r="D111" t="s">
        <v>741</v>
      </c>
      <c r="E111" t="s">
        <v>339</v>
      </c>
      <c r="F111" t="s">
        <v>256</v>
      </c>
      <c r="G111" t="s">
        <v>345</v>
      </c>
      <c r="H111" t="s">
        <v>115</v>
      </c>
      <c r="I111" t="s">
        <v>316</v>
      </c>
      <c r="J111" s="13">
        <v>0.39583333333333331</v>
      </c>
      <c r="K111" s="13">
        <v>0.40486111111111112</v>
      </c>
      <c r="L111" s="13">
        <v>0.41666666666666669</v>
      </c>
      <c r="M111">
        <v>30</v>
      </c>
      <c r="N111" s="14">
        <v>95</v>
      </c>
      <c r="O111" t="s">
        <v>195</v>
      </c>
      <c r="P111">
        <v>4</v>
      </c>
      <c r="Q111" t="s">
        <v>305</v>
      </c>
      <c r="R111" t="s">
        <v>263</v>
      </c>
      <c r="S111">
        <v>0</v>
      </c>
      <c r="T111">
        <v>0</v>
      </c>
      <c r="U111" t="s">
        <v>2294</v>
      </c>
      <c r="V111" t="s">
        <v>2295</v>
      </c>
      <c r="W111" t="s">
        <v>2296</v>
      </c>
      <c r="X111" t="s">
        <v>2297</v>
      </c>
      <c r="Y111" t="s">
        <v>2298</v>
      </c>
      <c r="Z111" t="s">
        <v>2312</v>
      </c>
      <c r="AA111">
        <v>21</v>
      </c>
      <c r="AB111" s="14">
        <v>95</v>
      </c>
      <c r="AC111" t="s">
        <v>2313</v>
      </c>
      <c r="AD111" t="s">
        <v>2314</v>
      </c>
      <c r="AE111" t="s">
        <v>2643</v>
      </c>
      <c r="AF111">
        <v>7</v>
      </c>
      <c r="AG111">
        <v>1</v>
      </c>
      <c r="AH111">
        <v>17</v>
      </c>
      <c r="AI111">
        <v>1</v>
      </c>
      <c r="AJ111">
        <v>1</v>
      </c>
      <c r="AK111">
        <v>0</v>
      </c>
      <c r="AL111">
        <v>1</v>
      </c>
      <c r="AM111" s="14">
        <v>0</v>
      </c>
      <c r="AN111" t="s">
        <v>2644</v>
      </c>
      <c r="AO111" s="12">
        <v>46023</v>
      </c>
      <c r="AP111">
        <v>2026</v>
      </c>
      <c r="AQ111">
        <v>1</v>
      </c>
      <c r="AR111" t="s">
        <v>2645</v>
      </c>
    </row>
    <row r="112" spans="1:44">
      <c r="A112" t="s">
        <v>750</v>
      </c>
      <c r="B112" s="12">
        <v>46037</v>
      </c>
      <c r="C112" s="12">
        <v>45998</v>
      </c>
      <c r="D112" t="s">
        <v>504</v>
      </c>
      <c r="E112" t="s">
        <v>339</v>
      </c>
      <c r="F112" t="s">
        <v>269</v>
      </c>
      <c r="G112" t="s">
        <v>528</v>
      </c>
      <c r="H112" t="s">
        <v>115</v>
      </c>
      <c r="I112" t="s">
        <v>271</v>
      </c>
      <c r="J112" s="13">
        <v>0.5</v>
      </c>
      <c r="K112" s="13">
        <v>0.49375000000000002</v>
      </c>
      <c r="L112" s="13">
        <v>0.52083333333333337</v>
      </c>
      <c r="M112">
        <v>30</v>
      </c>
      <c r="N112" s="14">
        <v>80</v>
      </c>
      <c r="O112" t="s">
        <v>195</v>
      </c>
      <c r="P112">
        <v>5</v>
      </c>
      <c r="Q112" t="s">
        <v>285</v>
      </c>
      <c r="R112" t="s">
        <v>263</v>
      </c>
      <c r="S112">
        <v>0</v>
      </c>
      <c r="T112">
        <v>0</v>
      </c>
      <c r="U112" t="s">
        <v>2294</v>
      </c>
      <c r="V112" t="s">
        <v>2295</v>
      </c>
      <c r="W112" t="s">
        <v>2296</v>
      </c>
      <c r="X112" t="s">
        <v>2297</v>
      </c>
      <c r="Y112" t="s">
        <v>2298</v>
      </c>
      <c r="Z112" t="s">
        <v>2315</v>
      </c>
      <c r="AA112">
        <v>10</v>
      </c>
      <c r="AB112" s="14">
        <v>80</v>
      </c>
      <c r="AC112" t="s">
        <v>2316</v>
      </c>
      <c r="AD112" t="s">
        <v>2317</v>
      </c>
      <c r="AE112" t="s">
        <v>2643</v>
      </c>
      <c r="AF112">
        <v>39</v>
      </c>
      <c r="AG112">
        <v>0</v>
      </c>
      <c r="AH112">
        <v>39</v>
      </c>
      <c r="AI112">
        <v>0</v>
      </c>
      <c r="AJ112">
        <v>1</v>
      </c>
      <c r="AK112">
        <v>0</v>
      </c>
      <c r="AL112">
        <v>1</v>
      </c>
      <c r="AM112" s="14">
        <v>0</v>
      </c>
      <c r="AN112" t="s">
        <v>2644</v>
      </c>
      <c r="AO112" s="12">
        <v>46023</v>
      </c>
      <c r="AP112">
        <v>2026</v>
      </c>
      <c r="AQ112">
        <v>1</v>
      </c>
      <c r="AR112" t="s">
        <v>2645</v>
      </c>
    </row>
    <row r="113" spans="1:44">
      <c r="A113" t="s">
        <v>752</v>
      </c>
      <c r="B113" s="12">
        <v>46049</v>
      </c>
      <c r="C113" s="12">
        <v>46048</v>
      </c>
      <c r="D113" t="s">
        <v>579</v>
      </c>
      <c r="E113" t="s">
        <v>255</v>
      </c>
      <c r="F113" t="s">
        <v>409</v>
      </c>
      <c r="G113" t="s">
        <v>648</v>
      </c>
      <c r="H113" t="s">
        <v>115</v>
      </c>
      <c r="I113" t="s">
        <v>258</v>
      </c>
      <c r="J113" s="13">
        <v>0.64583333333333337</v>
      </c>
      <c r="K113" s="13">
        <v>0.65555555555555556</v>
      </c>
      <c r="L113" s="13">
        <v>0.67222222222222228</v>
      </c>
      <c r="M113">
        <v>30</v>
      </c>
      <c r="N113" s="14">
        <v>150</v>
      </c>
      <c r="O113" t="s">
        <v>169</v>
      </c>
      <c r="P113">
        <v>4</v>
      </c>
      <c r="Q113" t="s">
        <v>305</v>
      </c>
      <c r="R113" t="s">
        <v>263</v>
      </c>
      <c r="S113">
        <v>0</v>
      </c>
      <c r="T113">
        <v>0</v>
      </c>
      <c r="U113" t="s">
        <v>2299</v>
      </c>
      <c r="V113" t="s">
        <v>2295</v>
      </c>
      <c r="W113" t="s">
        <v>2300</v>
      </c>
      <c r="X113" t="s">
        <v>2288</v>
      </c>
      <c r="Y113" t="s">
        <v>2301</v>
      </c>
      <c r="Z113" t="s">
        <v>2318</v>
      </c>
      <c r="AA113">
        <v>28</v>
      </c>
      <c r="AB113" s="14">
        <v>150</v>
      </c>
      <c r="AC113" t="s">
        <v>2319</v>
      </c>
      <c r="AD113" t="s">
        <v>2320</v>
      </c>
      <c r="AE113" t="s">
        <v>2643</v>
      </c>
      <c r="AF113">
        <v>1</v>
      </c>
      <c r="AG113">
        <v>1</v>
      </c>
      <c r="AH113">
        <v>24</v>
      </c>
      <c r="AI113">
        <v>1</v>
      </c>
      <c r="AJ113">
        <v>1</v>
      </c>
      <c r="AK113">
        <v>0</v>
      </c>
      <c r="AL113">
        <v>1</v>
      </c>
      <c r="AM113" s="14">
        <v>0</v>
      </c>
      <c r="AN113" t="s">
        <v>2644</v>
      </c>
      <c r="AO113" s="12">
        <v>46023</v>
      </c>
      <c r="AP113">
        <v>2026</v>
      </c>
      <c r="AQ113">
        <v>1</v>
      </c>
      <c r="AR113" t="s">
        <v>2645</v>
      </c>
    </row>
    <row r="114" spans="1:44">
      <c r="A114" t="s">
        <v>754</v>
      </c>
      <c r="B114" s="12">
        <v>46047</v>
      </c>
      <c r="C114" s="12"/>
      <c r="D114" t="s">
        <v>756</v>
      </c>
      <c r="E114" t="s">
        <v>255</v>
      </c>
      <c r="F114" t="s">
        <v>282</v>
      </c>
      <c r="G114" t="s">
        <v>424</v>
      </c>
      <c r="H114" t="s">
        <v>115</v>
      </c>
      <c r="I114" t="s">
        <v>299</v>
      </c>
      <c r="J114" s="13">
        <v>0.4375</v>
      </c>
      <c r="K114" s="13">
        <v>0.44444444444444442</v>
      </c>
      <c r="L114" s="13">
        <v>0.45069444444444445</v>
      </c>
      <c r="M114">
        <v>60</v>
      </c>
      <c r="N114" s="14">
        <v>120</v>
      </c>
      <c r="O114" t="s">
        <v>195</v>
      </c>
      <c r="P114">
        <v>3</v>
      </c>
      <c r="Q114" t="s">
        <v>262</v>
      </c>
      <c r="R114" t="s">
        <v>263</v>
      </c>
      <c r="S114">
        <v>0</v>
      </c>
      <c r="T114">
        <v>0</v>
      </c>
      <c r="U114" t="s">
        <v>2299</v>
      </c>
      <c r="V114" t="s">
        <v>2295</v>
      </c>
      <c r="W114" t="s">
        <v>2300</v>
      </c>
      <c r="X114" t="s">
        <v>2288</v>
      </c>
      <c r="Y114" t="s">
        <v>2301</v>
      </c>
      <c r="Z114" t="s">
        <v>2309</v>
      </c>
      <c r="AA114">
        <v>14</v>
      </c>
      <c r="AB114" s="14">
        <v>120</v>
      </c>
      <c r="AC114" t="s">
        <v>2310</v>
      </c>
      <c r="AD114" t="s">
        <v>2311</v>
      </c>
      <c r="AE114" t="s">
        <v>2643</v>
      </c>
      <c r="AH114">
        <v>9</v>
      </c>
      <c r="AI114">
        <v>1</v>
      </c>
      <c r="AJ114">
        <v>1</v>
      </c>
      <c r="AK114">
        <v>0</v>
      </c>
      <c r="AL114">
        <v>1</v>
      </c>
      <c r="AM114" s="14">
        <v>0</v>
      </c>
      <c r="AN114" t="s">
        <v>2644</v>
      </c>
      <c r="AO114" s="12">
        <v>46023</v>
      </c>
      <c r="AP114">
        <v>2026</v>
      </c>
      <c r="AQ114">
        <v>1</v>
      </c>
      <c r="AR114" t="s">
        <v>2645</v>
      </c>
    </row>
    <row r="115" spans="1:44">
      <c r="A115" t="s">
        <v>758</v>
      </c>
      <c r="B115" s="12">
        <v>46025</v>
      </c>
      <c r="C115" s="12">
        <v>46007</v>
      </c>
      <c r="D115" t="s">
        <v>759</v>
      </c>
      <c r="E115" t="s">
        <v>268</v>
      </c>
      <c r="F115" t="s">
        <v>282</v>
      </c>
      <c r="G115" t="s">
        <v>505</v>
      </c>
      <c r="H115" t="s">
        <v>115</v>
      </c>
      <c r="I115" t="s">
        <v>316</v>
      </c>
      <c r="J115" s="13">
        <v>0.33333333333333331</v>
      </c>
      <c r="K115" s="13">
        <v>0.33124999999999999</v>
      </c>
      <c r="L115" s="13">
        <v>0.34652777777777777</v>
      </c>
      <c r="M115">
        <v>30</v>
      </c>
      <c r="N115" s="14">
        <v>120</v>
      </c>
      <c r="O115" t="s">
        <v>169</v>
      </c>
      <c r="P115">
        <v>3</v>
      </c>
      <c r="Q115" t="s">
        <v>318</v>
      </c>
      <c r="R115" t="s">
        <v>263</v>
      </c>
      <c r="S115">
        <v>0</v>
      </c>
      <c r="T115">
        <v>0</v>
      </c>
      <c r="U115" t="s">
        <v>2285</v>
      </c>
      <c r="V115" t="s">
        <v>2286</v>
      </c>
      <c r="W115" t="s">
        <v>2287</v>
      </c>
      <c r="X115" t="s">
        <v>2288</v>
      </c>
      <c r="Y115" t="s">
        <v>2289</v>
      </c>
      <c r="Z115" t="s">
        <v>2309</v>
      </c>
      <c r="AA115">
        <v>14</v>
      </c>
      <c r="AB115" s="14">
        <v>120</v>
      </c>
      <c r="AC115" t="s">
        <v>2310</v>
      </c>
      <c r="AD115" t="s">
        <v>2311</v>
      </c>
      <c r="AE115" t="s">
        <v>2643</v>
      </c>
      <c r="AF115">
        <v>18</v>
      </c>
      <c r="AG115">
        <v>0</v>
      </c>
      <c r="AH115">
        <v>22</v>
      </c>
      <c r="AI115">
        <v>1</v>
      </c>
      <c r="AJ115">
        <v>1</v>
      </c>
      <c r="AK115">
        <v>0</v>
      </c>
      <c r="AL115">
        <v>1</v>
      </c>
      <c r="AM115" s="14">
        <v>0</v>
      </c>
      <c r="AN115" t="s">
        <v>2644</v>
      </c>
      <c r="AO115" s="12">
        <v>46023</v>
      </c>
      <c r="AP115">
        <v>2026</v>
      </c>
      <c r="AQ115">
        <v>1</v>
      </c>
      <c r="AR115" t="s">
        <v>2645</v>
      </c>
    </row>
    <row r="116" spans="1:44">
      <c r="A116" t="s">
        <v>762</v>
      </c>
      <c r="B116" s="12">
        <v>46041</v>
      </c>
      <c r="C116" s="12">
        <v>45995</v>
      </c>
      <c r="D116" t="s">
        <v>763</v>
      </c>
      <c r="E116" t="s">
        <v>255</v>
      </c>
      <c r="F116" t="s">
        <v>269</v>
      </c>
      <c r="G116" t="s">
        <v>542</v>
      </c>
      <c r="H116" t="s">
        <v>122</v>
      </c>
      <c r="I116" t="s">
        <v>316</v>
      </c>
      <c r="J116" s="13">
        <v>0.64583333333333337</v>
      </c>
      <c r="K116" s="13"/>
      <c r="L116" s="13"/>
      <c r="M116">
        <v>0</v>
      </c>
      <c r="N116" s="14">
        <v>80</v>
      </c>
      <c r="O116" t="s">
        <v>195</v>
      </c>
      <c r="Q116" t="s">
        <v>305</v>
      </c>
      <c r="R116" t="s">
        <v>263</v>
      </c>
      <c r="S116">
        <v>0</v>
      </c>
      <c r="T116">
        <v>0</v>
      </c>
      <c r="U116" t="s">
        <v>2299</v>
      </c>
      <c r="V116" t="s">
        <v>2295</v>
      </c>
      <c r="W116" t="s">
        <v>2300</v>
      </c>
      <c r="X116" t="s">
        <v>2288</v>
      </c>
      <c r="Y116" t="s">
        <v>2301</v>
      </c>
      <c r="Z116" t="s">
        <v>2315</v>
      </c>
      <c r="AA116">
        <v>10</v>
      </c>
      <c r="AB116" s="14">
        <v>80</v>
      </c>
      <c r="AC116" t="s">
        <v>2316</v>
      </c>
      <c r="AD116" t="s">
        <v>2317</v>
      </c>
      <c r="AE116" t="s">
        <v>2643</v>
      </c>
      <c r="AF116">
        <v>46</v>
      </c>
      <c r="AG116">
        <v>0</v>
      </c>
      <c r="AJ116">
        <v>1</v>
      </c>
      <c r="AK116">
        <v>1</v>
      </c>
      <c r="AL116">
        <v>1</v>
      </c>
      <c r="AM116" s="14">
        <v>0</v>
      </c>
      <c r="AN116" t="s">
        <v>2644</v>
      </c>
      <c r="AO116" s="12">
        <v>46023</v>
      </c>
      <c r="AP116">
        <v>2026</v>
      </c>
      <c r="AQ116">
        <v>1</v>
      </c>
      <c r="AR116" t="s">
        <v>2645</v>
      </c>
    </row>
    <row r="117" spans="1:44">
      <c r="A117" t="s">
        <v>764</v>
      </c>
      <c r="B117" s="12">
        <v>46053</v>
      </c>
      <c r="C117" s="12">
        <v>46043</v>
      </c>
      <c r="D117" t="s">
        <v>765</v>
      </c>
      <c r="E117" t="s">
        <v>339</v>
      </c>
      <c r="F117" t="s">
        <v>409</v>
      </c>
      <c r="G117" t="s">
        <v>476</v>
      </c>
      <c r="H117" t="s">
        <v>122</v>
      </c>
      <c r="I117" t="s">
        <v>271</v>
      </c>
      <c r="J117" s="13">
        <v>0.5</v>
      </c>
      <c r="K117" s="13"/>
      <c r="L117" s="13"/>
      <c r="M117">
        <v>0</v>
      </c>
      <c r="N117" s="14">
        <v>150</v>
      </c>
      <c r="O117" t="s">
        <v>195</v>
      </c>
      <c r="Q117" t="s">
        <v>262</v>
      </c>
      <c r="R117" t="s">
        <v>263</v>
      </c>
      <c r="S117">
        <v>0</v>
      </c>
      <c r="T117">
        <v>0</v>
      </c>
      <c r="U117" t="s">
        <v>2294</v>
      </c>
      <c r="V117" t="s">
        <v>2295</v>
      </c>
      <c r="W117" t="s">
        <v>2296</v>
      </c>
      <c r="X117" t="s">
        <v>2297</v>
      </c>
      <c r="Y117" t="s">
        <v>2298</v>
      </c>
      <c r="Z117" t="s">
        <v>2318</v>
      </c>
      <c r="AA117">
        <v>28</v>
      </c>
      <c r="AB117" s="14">
        <v>150</v>
      </c>
      <c r="AC117" t="s">
        <v>2319</v>
      </c>
      <c r="AD117" t="s">
        <v>2320</v>
      </c>
      <c r="AE117" t="s">
        <v>2643</v>
      </c>
      <c r="AF117">
        <v>10</v>
      </c>
      <c r="AG117">
        <v>1</v>
      </c>
      <c r="AJ117">
        <v>1</v>
      </c>
      <c r="AK117">
        <v>1</v>
      </c>
      <c r="AL117">
        <v>1</v>
      </c>
      <c r="AM117" s="14">
        <v>0</v>
      </c>
      <c r="AN117" t="s">
        <v>2644</v>
      </c>
      <c r="AO117" s="12">
        <v>46023</v>
      </c>
      <c r="AP117">
        <v>2026</v>
      </c>
      <c r="AQ117">
        <v>1</v>
      </c>
      <c r="AR117" t="s">
        <v>2645</v>
      </c>
    </row>
    <row r="118" spans="1:44">
      <c r="A118" t="s">
        <v>766</v>
      </c>
      <c r="B118" s="12">
        <v>46049</v>
      </c>
      <c r="C118" s="12">
        <v>46025</v>
      </c>
      <c r="D118" t="s">
        <v>706</v>
      </c>
      <c r="E118" t="s">
        <v>268</v>
      </c>
      <c r="F118" t="s">
        <v>269</v>
      </c>
      <c r="G118" t="s">
        <v>270</v>
      </c>
      <c r="H118" t="s">
        <v>122</v>
      </c>
      <c r="I118" t="s">
        <v>299</v>
      </c>
      <c r="J118" s="13">
        <v>0.375</v>
      </c>
      <c r="K118" s="13"/>
      <c r="L118" s="13"/>
      <c r="M118">
        <v>0</v>
      </c>
      <c r="N118" s="14">
        <v>80</v>
      </c>
      <c r="O118" t="s">
        <v>195</v>
      </c>
      <c r="Q118" t="s">
        <v>305</v>
      </c>
      <c r="R118" t="s">
        <v>263</v>
      </c>
      <c r="S118">
        <v>0</v>
      </c>
      <c r="T118">
        <v>0</v>
      </c>
      <c r="U118" t="s">
        <v>2285</v>
      </c>
      <c r="V118" t="s">
        <v>2286</v>
      </c>
      <c r="W118" t="s">
        <v>2287</v>
      </c>
      <c r="X118" t="s">
        <v>2288</v>
      </c>
      <c r="Y118" t="s">
        <v>2289</v>
      </c>
      <c r="Z118" t="s">
        <v>2315</v>
      </c>
      <c r="AA118">
        <v>10</v>
      </c>
      <c r="AB118" s="14">
        <v>80</v>
      </c>
      <c r="AC118" t="s">
        <v>2316</v>
      </c>
      <c r="AD118" t="s">
        <v>2317</v>
      </c>
      <c r="AE118" t="s">
        <v>2643</v>
      </c>
      <c r="AF118">
        <v>24</v>
      </c>
      <c r="AG118">
        <v>0</v>
      </c>
      <c r="AJ118">
        <v>1</v>
      </c>
      <c r="AK118">
        <v>1</v>
      </c>
      <c r="AL118">
        <v>1</v>
      </c>
      <c r="AM118" s="14">
        <v>0</v>
      </c>
      <c r="AN118" t="s">
        <v>2644</v>
      </c>
      <c r="AO118" s="12">
        <v>46023</v>
      </c>
      <c r="AP118">
        <v>2026</v>
      </c>
      <c r="AQ118">
        <v>1</v>
      </c>
      <c r="AR118" t="s">
        <v>2645</v>
      </c>
    </row>
    <row r="119" spans="1:44">
      <c r="A119" t="s">
        <v>767</v>
      </c>
      <c r="B119" s="12">
        <v>46050</v>
      </c>
      <c r="C119" s="12">
        <v>46039</v>
      </c>
      <c r="D119" t="s">
        <v>769</v>
      </c>
      <c r="E119" t="s">
        <v>255</v>
      </c>
      <c r="F119" t="s">
        <v>409</v>
      </c>
      <c r="G119" t="s">
        <v>648</v>
      </c>
      <c r="H119" t="s">
        <v>115</v>
      </c>
      <c r="I119" t="s">
        <v>258</v>
      </c>
      <c r="J119" s="13">
        <v>0.625</v>
      </c>
      <c r="K119" s="13">
        <v>0.63402777777777775</v>
      </c>
      <c r="L119" s="13">
        <v>0.63541666666666663</v>
      </c>
      <c r="M119">
        <v>60</v>
      </c>
      <c r="N119" s="14">
        <v>150</v>
      </c>
      <c r="O119" t="s">
        <v>195</v>
      </c>
      <c r="P119">
        <v>5</v>
      </c>
      <c r="Q119" t="s">
        <v>318</v>
      </c>
      <c r="R119" t="s">
        <v>263</v>
      </c>
      <c r="S119">
        <v>0</v>
      </c>
      <c r="T119">
        <v>0</v>
      </c>
      <c r="U119" t="s">
        <v>2299</v>
      </c>
      <c r="V119" t="s">
        <v>2295</v>
      </c>
      <c r="W119" t="s">
        <v>2300</v>
      </c>
      <c r="X119" t="s">
        <v>2288</v>
      </c>
      <c r="Y119" t="s">
        <v>2301</v>
      </c>
      <c r="Z119" t="s">
        <v>2318</v>
      </c>
      <c r="AA119">
        <v>28</v>
      </c>
      <c r="AB119" s="14">
        <v>150</v>
      </c>
      <c r="AC119" t="s">
        <v>2319</v>
      </c>
      <c r="AD119" t="s">
        <v>2320</v>
      </c>
      <c r="AE119" t="s">
        <v>2643</v>
      </c>
      <c r="AF119">
        <v>11</v>
      </c>
      <c r="AG119">
        <v>1</v>
      </c>
      <c r="AH119">
        <v>2</v>
      </c>
      <c r="AI119">
        <v>1</v>
      </c>
      <c r="AJ119">
        <v>1</v>
      </c>
      <c r="AK119">
        <v>0</v>
      </c>
      <c r="AL119">
        <v>1</v>
      </c>
      <c r="AM119" s="14">
        <v>0</v>
      </c>
      <c r="AN119" t="s">
        <v>2644</v>
      </c>
      <c r="AO119" s="12">
        <v>46023</v>
      </c>
      <c r="AP119">
        <v>2026</v>
      </c>
      <c r="AQ119">
        <v>1</v>
      </c>
      <c r="AR119" t="s">
        <v>2645</v>
      </c>
    </row>
    <row r="120" spans="1:44">
      <c r="A120" t="s">
        <v>771</v>
      </c>
      <c r="B120" s="12">
        <v>46046</v>
      </c>
      <c r="C120" s="12">
        <v>46039</v>
      </c>
      <c r="D120" t="s">
        <v>772</v>
      </c>
      <c r="E120" t="s">
        <v>255</v>
      </c>
      <c r="F120" t="s">
        <v>269</v>
      </c>
      <c r="G120" t="s">
        <v>542</v>
      </c>
      <c r="H120" t="s">
        <v>115</v>
      </c>
      <c r="I120" t="s">
        <v>316</v>
      </c>
      <c r="J120" s="13">
        <v>0.47916666666666669</v>
      </c>
      <c r="K120" s="13">
        <v>0.47222222222222221</v>
      </c>
      <c r="L120" s="13">
        <v>0.49375000000000002</v>
      </c>
      <c r="M120">
        <v>30</v>
      </c>
      <c r="N120" s="14">
        <v>80</v>
      </c>
      <c r="O120" t="s">
        <v>195</v>
      </c>
      <c r="P120">
        <v>4</v>
      </c>
      <c r="Q120" t="s">
        <v>326</v>
      </c>
      <c r="R120" t="s">
        <v>263</v>
      </c>
      <c r="S120">
        <v>0</v>
      </c>
      <c r="T120">
        <v>0</v>
      </c>
      <c r="U120" t="s">
        <v>2299</v>
      </c>
      <c r="V120" t="s">
        <v>2295</v>
      </c>
      <c r="W120" t="s">
        <v>2300</v>
      </c>
      <c r="X120" t="s">
        <v>2288</v>
      </c>
      <c r="Y120" t="s">
        <v>2301</v>
      </c>
      <c r="Z120" t="s">
        <v>2315</v>
      </c>
      <c r="AA120">
        <v>10</v>
      </c>
      <c r="AB120" s="14">
        <v>80</v>
      </c>
      <c r="AC120" t="s">
        <v>2316</v>
      </c>
      <c r="AD120" t="s">
        <v>2317</v>
      </c>
      <c r="AE120" t="s">
        <v>2643</v>
      </c>
      <c r="AF120">
        <v>7</v>
      </c>
      <c r="AG120">
        <v>1</v>
      </c>
      <c r="AH120">
        <v>31</v>
      </c>
      <c r="AI120">
        <v>0</v>
      </c>
      <c r="AJ120">
        <v>1</v>
      </c>
      <c r="AK120">
        <v>0</v>
      </c>
      <c r="AL120">
        <v>1</v>
      </c>
      <c r="AM120" s="14">
        <v>0</v>
      </c>
      <c r="AN120" t="s">
        <v>2644</v>
      </c>
      <c r="AO120" s="12">
        <v>46023</v>
      </c>
      <c r="AP120">
        <v>2026</v>
      </c>
      <c r="AQ120">
        <v>1</v>
      </c>
      <c r="AR120" t="s">
        <v>2645</v>
      </c>
    </row>
    <row r="121" spans="1:44">
      <c r="A121" t="s">
        <v>774</v>
      </c>
      <c r="B121" s="12">
        <v>46024</v>
      </c>
      <c r="C121" s="12">
        <v>45995</v>
      </c>
      <c r="D121" t="s">
        <v>655</v>
      </c>
      <c r="E121" t="s">
        <v>255</v>
      </c>
      <c r="F121" t="s">
        <v>269</v>
      </c>
      <c r="G121" t="s">
        <v>542</v>
      </c>
      <c r="H121" t="s">
        <v>115</v>
      </c>
      <c r="I121" t="s">
        <v>299</v>
      </c>
      <c r="J121" s="13">
        <v>0.54166666666666663</v>
      </c>
      <c r="K121" s="13">
        <v>0.54861111111111116</v>
      </c>
      <c r="L121" s="13">
        <v>0.54166666666666663</v>
      </c>
      <c r="M121">
        <v>20</v>
      </c>
      <c r="N121" s="14">
        <v>80</v>
      </c>
      <c r="O121" t="s">
        <v>195</v>
      </c>
      <c r="P121">
        <v>5</v>
      </c>
      <c r="Q121" t="s">
        <v>326</v>
      </c>
      <c r="R121" t="s">
        <v>263</v>
      </c>
      <c r="S121">
        <v>0</v>
      </c>
      <c r="T121">
        <v>0</v>
      </c>
      <c r="U121" t="s">
        <v>2299</v>
      </c>
      <c r="V121" t="s">
        <v>2295</v>
      </c>
      <c r="W121" t="s">
        <v>2300</v>
      </c>
      <c r="X121" t="s">
        <v>2288</v>
      </c>
      <c r="Y121" t="s">
        <v>2301</v>
      </c>
      <c r="Z121" t="s">
        <v>2315</v>
      </c>
      <c r="AA121">
        <v>10</v>
      </c>
      <c r="AB121" s="14">
        <v>80</v>
      </c>
      <c r="AC121" t="s">
        <v>2316</v>
      </c>
      <c r="AD121" t="s">
        <v>2317</v>
      </c>
      <c r="AE121" t="s">
        <v>2643</v>
      </c>
      <c r="AF121">
        <v>29</v>
      </c>
      <c r="AG121">
        <v>0</v>
      </c>
      <c r="AJ121">
        <v>1</v>
      </c>
      <c r="AK121">
        <v>0</v>
      </c>
      <c r="AL121">
        <v>1</v>
      </c>
      <c r="AM121" s="14">
        <v>0</v>
      </c>
      <c r="AN121" t="s">
        <v>2644</v>
      </c>
      <c r="AO121" s="12">
        <v>46023</v>
      </c>
      <c r="AP121">
        <v>2026</v>
      </c>
      <c r="AQ121">
        <v>1</v>
      </c>
      <c r="AR121" t="s">
        <v>2645</v>
      </c>
    </row>
    <row r="122" spans="1:44">
      <c r="A122" t="s">
        <v>776</v>
      </c>
      <c r="B122" s="12">
        <v>46051</v>
      </c>
      <c r="C122" s="12">
        <v>46034</v>
      </c>
      <c r="D122" t="s">
        <v>759</v>
      </c>
      <c r="E122" t="s">
        <v>255</v>
      </c>
      <c r="F122" t="s">
        <v>269</v>
      </c>
      <c r="G122" t="s">
        <v>542</v>
      </c>
      <c r="H122" t="s">
        <v>115</v>
      </c>
      <c r="I122" t="s">
        <v>271</v>
      </c>
      <c r="J122" s="13">
        <v>0.375</v>
      </c>
      <c r="K122" s="13">
        <v>0.37638888888888888</v>
      </c>
      <c r="L122" s="13">
        <v>0.4</v>
      </c>
      <c r="M122">
        <v>60</v>
      </c>
      <c r="N122" s="14">
        <v>80</v>
      </c>
      <c r="O122" t="s">
        <v>195</v>
      </c>
      <c r="P122">
        <v>5</v>
      </c>
      <c r="Q122" t="s">
        <v>262</v>
      </c>
      <c r="R122" t="s">
        <v>263</v>
      </c>
      <c r="S122">
        <v>0</v>
      </c>
      <c r="T122">
        <v>0</v>
      </c>
      <c r="U122" t="s">
        <v>2299</v>
      </c>
      <c r="V122" t="s">
        <v>2295</v>
      </c>
      <c r="W122" t="s">
        <v>2300</v>
      </c>
      <c r="X122" t="s">
        <v>2288</v>
      </c>
      <c r="Y122" t="s">
        <v>2301</v>
      </c>
      <c r="Z122" t="s">
        <v>2315</v>
      </c>
      <c r="AA122">
        <v>10</v>
      </c>
      <c r="AB122" s="14">
        <v>80</v>
      </c>
      <c r="AC122" t="s">
        <v>2316</v>
      </c>
      <c r="AD122" t="s">
        <v>2317</v>
      </c>
      <c r="AE122" t="s">
        <v>2643</v>
      </c>
      <c r="AF122">
        <v>17</v>
      </c>
      <c r="AG122">
        <v>0</v>
      </c>
      <c r="AH122">
        <v>34</v>
      </c>
      <c r="AI122">
        <v>0</v>
      </c>
      <c r="AJ122">
        <v>1</v>
      </c>
      <c r="AK122">
        <v>0</v>
      </c>
      <c r="AL122">
        <v>1</v>
      </c>
      <c r="AM122" s="14">
        <v>0</v>
      </c>
      <c r="AN122" t="s">
        <v>2644</v>
      </c>
      <c r="AO122" s="12">
        <v>46023</v>
      </c>
      <c r="AP122">
        <v>2026</v>
      </c>
      <c r="AQ122">
        <v>1</v>
      </c>
      <c r="AR122" t="s">
        <v>2645</v>
      </c>
    </row>
    <row r="123" spans="1:44">
      <c r="A123" t="s">
        <v>778</v>
      </c>
      <c r="B123" s="12">
        <v>46048</v>
      </c>
      <c r="C123" s="12">
        <v>45993</v>
      </c>
      <c r="D123" t="s">
        <v>779</v>
      </c>
      <c r="E123" t="s">
        <v>339</v>
      </c>
      <c r="F123" t="s">
        <v>297</v>
      </c>
      <c r="G123" t="s">
        <v>780</v>
      </c>
      <c r="H123" t="s">
        <v>115</v>
      </c>
      <c r="I123" t="s">
        <v>299</v>
      </c>
      <c r="J123" s="13">
        <v>0.47916666666666669</v>
      </c>
      <c r="K123" s="13">
        <v>0.47986111111111113</v>
      </c>
      <c r="L123" s="13">
        <v>0.4861111111111111</v>
      </c>
      <c r="M123">
        <v>20</v>
      </c>
      <c r="N123" s="14">
        <v>65</v>
      </c>
      <c r="O123" t="s">
        <v>169</v>
      </c>
      <c r="P123">
        <v>3</v>
      </c>
      <c r="Q123" t="s">
        <v>262</v>
      </c>
      <c r="R123" t="s">
        <v>263</v>
      </c>
      <c r="S123">
        <v>0</v>
      </c>
      <c r="T123">
        <v>0</v>
      </c>
      <c r="U123" t="s">
        <v>2294</v>
      </c>
      <c r="V123" t="s">
        <v>2295</v>
      </c>
      <c r="W123" t="s">
        <v>2296</v>
      </c>
      <c r="X123" t="s">
        <v>2297</v>
      </c>
      <c r="Y123" t="s">
        <v>2298</v>
      </c>
      <c r="Z123" t="s">
        <v>2306</v>
      </c>
      <c r="AA123">
        <v>7</v>
      </c>
      <c r="AB123" s="14">
        <v>65</v>
      </c>
      <c r="AC123" t="s">
        <v>2307</v>
      </c>
      <c r="AD123" t="s">
        <v>2308</v>
      </c>
      <c r="AE123" t="s">
        <v>2643</v>
      </c>
      <c r="AF123">
        <v>55</v>
      </c>
      <c r="AG123">
        <v>0</v>
      </c>
      <c r="AH123">
        <v>9</v>
      </c>
      <c r="AI123">
        <v>1</v>
      </c>
      <c r="AJ123">
        <v>1</v>
      </c>
      <c r="AK123">
        <v>0</v>
      </c>
      <c r="AL123">
        <v>1</v>
      </c>
      <c r="AM123" s="14">
        <v>0</v>
      </c>
      <c r="AN123" t="s">
        <v>2644</v>
      </c>
      <c r="AO123" s="12">
        <v>46023</v>
      </c>
      <c r="AP123">
        <v>2026</v>
      </c>
      <c r="AQ123">
        <v>1</v>
      </c>
      <c r="AR123" t="s">
        <v>2645</v>
      </c>
    </row>
    <row r="124" spans="1:44">
      <c r="A124" t="s">
        <v>781</v>
      </c>
      <c r="B124" s="12">
        <v>46040</v>
      </c>
      <c r="C124" s="12">
        <v>45986</v>
      </c>
      <c r="D124" t="s">
        <v>350</v>
      </c>
      <c r="E124" t="s">
        <v>339</v>
      </c>
      <c r="F124" t="s">
        <v>282</v>
      </c>
      <c r="G124" t="s">
        <v>564</v>
      </c>
      <c r="H124" t="s">
        <v>115</v>
      </c>
      <c r="I124" t="s">
        <v>316</v>
      </c>
      <c r="J124" s="13">
        <v>0.375</v>
      </c>
      <c r="K124" s="13">
        <v>0.38194444444444442</v>
      </c>
      <c r="L124" s="13">
        <v>0.3840277777777778</v>
      </c>
      <c r="M124">
        <v>60</v>
      </c>
      <c r="N124" s="14">
        <v>120</v>
      </c>
      <c r="O124" t="s">
        <v>169</v>
      </c>
      <c r="P124">
        <v>5</v>
      </c>
      <c r="Q124" t="s">
        <v>305</v>
      </c>
      <c r="R124" t="s">
        <v>263</v>
      </c>
      <c r="S124">
        <v>0</v>
      </c>
      <c r="T124">
        <v>0</v>
      </c>
      <c r="U124" t="s">
        <v>2294</v>
      </c>
      <c r="V124" t="s">
        <v>2295</v>
      </c>
      <c r="W124" t="s">
        <v>2296</v>
      </c>
      <c r="X124" t="s">
        <v>2297</v>
      </c>
      <c r="Y124" t="s">
        <v>2298</v>
      </c>
      <c r="Z124" t="s">
        <v>2309</v>
      </c>
      <c r="AA124">
        <v>14</v>
      </c>
      <c r="AB124" s="14">
        <v>120</v>
      </c>
      <c r="AC124" t="s">
        <v>2310</v>
      </c>
      <c r="AD124" t="s">
        <v>2311</v>
      </c>
      <c r="AE124" t="s">
        <v>2643</v>
      </c>
      <c r="AF124">
        <v>54</v>
      </c>
      <c r="AG124">
        <v>0</v>
      </c>
      <c r="AH124">
        <v>3</v>
      </c>
      <c r="AI124">
        <v>1</v>
      </c>
      <c r="AJ124">
        <v>1</v>
      </c>
      <c r="AK124">
        <v>0</v>
      </c>
      <c r="AL124">
        <v>1</v>
      </c>
      <c r="AM124" s="14">
        <v>0</v>
      </c>
      <c r="AN124" t="s">
        <v>2644</v>
      </c>
      <c r="AO124" s="12">
        <v>46023</v>
      </c>
      <c r="AP124">
        <v>2026</v>
      </c>
      <c r="AQ124">
        <v>1</v>
      </c>
      <c r="AR124" t="s">
        <v>2645</v>
      </c>
    </row>
    <row r="125" spans="1:44">
      <c r="A125" t="s">
        <v>785</v>
      </c>
      <c r="B125" s="12">
        <v>46042</v>
      </c>
      <c r="C125" s="12">
        <v>46011</v>
      </c>
      <c r="D125" t="s">
        <v>786</v>
      </c>
      <c r="E125" t="s">
        <v>255</v>
      </c>
      <c r="F125" t="s">
        <v>282</v>
      </c>
      <c r="G125" t="s">
        <v>290</v>
      </c>
      <c r="H125" t="s">
        <v>466</v>
      </c>
      <c r="I125" t="s">
        <v>299</v>
      </c>
      <c r="J125" s="13">
        <v>0.4375</v>
      </c>
      <c r="K125" s="13">
        <v>0.43541666666666667</v>
      </c>
      <c r="L125" s="13">
        <v>0.43958333333333333</v>
      </c>
      <c r="M125">
        <v>30</v>
      </c>
      <c r="N125" s="14">
        <v>120</v>
      </c>
      <c r="O125" t="s">
        <v>195</v>
      </c>
      <c r="P125">
        <v>4</v>
      </c>
      <c r="Q125" t="s">
        <v>285</v>
      </c>
      <c r="R125" t="s">
        <v>263</v>
      </c>
      <c r="S125">
        <v>0</v>
      </c>
      <c r="T125">
        <v>0</v>
      </c>
      <c r="U125" t="s">
        <v>2299</v>
      </c>
      <c r="V125" t="s">
        <v>2295</v>
      </c>
      <c r="W125" t="s">
        <v>2300</v>
      </c>
      <c r="X125" t="s">
        <v>2288</v>
      </c>
      <c r="Y125" t="s">
        <v>2301</v>
      </c>
      <c r="Z125" t="s">
        <v>2309</v>
      </c>
      <c r="AA125">
        <v>14</v>
      </c>
      <c r="AB125" s="14">
        <v>120</v>
      </c>
      <c r="AC125" t="s">
        <v>2310</v>
      </c>
      <c r="AD125" t="s">
        <v>2311</v>
      </c>
      <c r="AE125" t="s">
        <v>2643</v>
      </c>
      <c r="AF125">
        <v>31</v>
      </c>
      <c r="AG125">
        <v>0</v>
      </c>
      <c r="AJ125">
        <v>0</v>
      </c>
      <c r="AL125">
        <v>1</v>
      </c>
      <c r="AM125" s="14">
        <v>0</v>
      </c>
      <c r="AN125" t="s">
        <v>2644</v>
      </c>
      <c r="AO125" s="12">
        <v>46023</v>
      </c>
      <c r="AP125">
        <v>2026</v>
      </c>
      <c r="AQ125">
        <v>1</v>
      </c>
      <c r="AR125" t="s">
        <v>2645</v>
      </c>
    </row>
    <row r="126" spans="1:44">
      <c r="A126" t="s">
        <v>790</v>
      </c>
      <c r="B126" s="12">
        <v>46043</v>
      </c>
      <c r="C126" s="12">
        <v>46014</v>
      </c>
      <c r="D126" t="s">
        <v>791</v>
      </c>
      <c r="E126" t="s">
        <v>281</v>
      </c>
      <c r="F126" t="s">
        <v>282</v>
      </c>
      <c r="G126" t="s">
        <v>283</v>
      </c>
      <c r="H126" t="s">
        <v>115</v>
      </c>
      <c r="I126" t="s">
        <v>271</v>
      </c>
      <c r="J126" s="13">
        <v>0.41666666666666669</v>
      </c>
      <c r="K126" s="13">
        <v>0.41319444444444442</v>
      </c>
      <c r="L126" s="13">
        <v>0.43888888888888888</v>
      </c>
      <c r="M126">
        <v>60</v>
      </c>
      <c r="N126" s="14">
        <v>120</v>
      </c>
      <c r="O126" t="s">
        <v>195</v>
      </c>
      <c r="P126">
        <v>2</v>
      </c>
      <c r="Q126" t="s">
        <v>285</v>
      </c>
      <c r="R126" t="s">
        <v>263</v>
      </c>
      <c r="S126">
        <v>0</v>
      </c>
      <c r="T126">
        <v>0</v>
      </c>
      <c r="U126" t="s">
        <v>2290</v>
      </c>
      <c r="V126" t="s">
        <v>2291</v>
      </c>
      <c r="W126" t="s">
        <v>2292</v>
      </c>
      <c r="X126" t="s">
        <v>2288</v>
      </c>
      <c r="Y126" t="s">
        <v>2293</v>
      </c>
      <c r="Z126" t="s">
        <v>2309</v>
      </c>
      <c r="AA126">
        <v>14</v>
      </c>
      <c r="AB126" s="14">
        <v>120</v>
      </c>
      <c r="AC126" t="s">
        <v>2310</v>
      </c>
      <c r="AD126" t="s">
        <v>2311</v>
      </c>
      <c r="AE126" t="s">
        <v>2643</v>
      </c>
      <c r="AF126">
        <v>29</v>
      </c>
      <c r="AG126">
        <v>0</v>
      </c>
      <c r="AH126">
        <v>37</v>
      </c>
      <c r="AI126">
        <v>0</v>
      </c>
      <c r="AJ126">
        <v>1</v>
      </c>
      <c r="AK126">
        <v>0</v>
      </c>
      <c r="AL126">
        <v>1</v>
      </c>
      <c r="AM126" s="14">
        <v>0</v>
      </c>
      <c r="AN126" t="s">
        <v>2644</v>
      </c>
      <c r="AO126" s="12">
        <v>46023</v>
      </c>
      <c r="AP126">
        <v>2026</v>
      </c>
      <c r="AQ126">
        <v>1</v>
      </c>
      <c r="AR126" t="s">
        <v>2645</v>
      </c>
    </row>
    <row r="127" spans="1:44">
      <c r="A127" t="s">
        <v>794</v>
      </c>
      <c r="B127" s="12">
        <v>46051</v>
      </c>
      <c r="C127" s="12">
        <v>46036</v>
      </c>
      <c r="D127" t="s">
        <v>795</v>
      </c>
      <c r="E127" t="s">
        <v>281</v>
      </c>
      <c r="F127" t="s">
        <v>256</v>
      </c>
      <c r="G127" t="s">
        <v>796</v>
      </c>
      <c r="H127" t="s">
        <v>115</v>
      </c>
      <c r="I127" t="s">
        <v>299</v>
      </c>
      <c r="J127" s="13">
        <v>0.64583333333333337</v>
      </c>
      <c r="K127" s="13">
        <v>0.65694444444444444</v>
      </c>
      <c r="L127" s="13">
        <v>0.66527777777777775</v>
      </c>
      <c r="M127">
        <v>20</v>
      </c>
      <c r="N127" s="14">
        <v>95</v>
      </c>
      <c r="O127" t="s">
        <v>195</v>
      </c>
      <c r="P127">
        <v>2</v>
      </c>
      <c r="Q127" t="s">
        <v>285</v>
      </c>
      <c r="R127" t="s">
        <v>263</v>
      </c>
      <c r="S127">
        <v>0</v>
      </c>
      <c r="T127">
        <v>0</v>
      </c>
      <c r="U127" t="s">
        <v>2290</v>
      </c>
      <c r="V127" t="s">
        <v>2291</v>
      </c>
      <c r="W127" t="s">
        <v>2292</v>
      </c>
      <c r="X127" t="s">
        <v>2288</v>
      </c>
      <c r="Y127" t="s">
        <v>2293</v>
      </c>
      <c r="Z127" t="s">
        <v>2312</v>
      </c>
      <c r="AA127">
        <v>21</v>
      </c>
      <c r="AB127" s="14">
        <v>95</v>
      </c>
      <c r="AC127" t="s">
        <v>2313</v>
      </c>
      <c r="AD127" t="s">
        <v>2314</v>
      </c>
      <c r="AE127" t="s">
        <v>2643</v>
      </c>
      <c r="AF127">
        <v>15</v>
      </c>
      <c r="AG127">
        <v>1</v>
      </c>
      <c r="AH127">
        <v>12</v>
      </c>
      <c r="AI127">
        <v>1</v>
      </c>
      <c r="AJ127">
        <v>1</v>
      </c>
      <c r="AK127">
        <v>0</v>
      </c>
      <c r="AL127">
        <v>1</v>
      </c>
      <c r="AM127" s="14">
        <v>0</v>
      </c>
      <c r="AN127" t="s">
        <v>2644</v>
      </c>
      <c r="AO127" s="12">
        <v>46023</v>
      </c>
      <c r="AP127">
        <v>2026</v>
      </c>
      <c r="AQ127">
        <v>1</v>
      </c>
      <c r="AR127" t="s">
        <v>2645</v>
      </c>
    </row>
    <row r="128" spans="1:44">
      <c r="A128" t="s">
        <v>799</v>
      </c>
      <c r="B128" s="12">
        <v>46023</v>
      </c>
      <c r="C128" s="12">
        <v>45995</v>
      </c>
      <c r="D128" t="s">
        <v>800</v>
      </c>
      <c r="E128" t="s">
        <v>268</v>
      </c>
      <c r="F128" t="s">
        <v>256</v>
      </c>
      <c r="G128" t="s">
        <v>419</v>
      </c>
      <c r="H128" t="s">
        <v>115</v>
      </c>
      <c r="I128" t="s">
        <v>299</v>
      </c>
      <c r="J128" s="13">
        <v>0.5625</v>
      </c>
      <c r="K128" s="13">
        <v>0.57430555555555551</v>
      </c>
      <c r="L128" s="13">
        <v>0.5805555555555556</v>
      </c>
      <c r="M128">
        <v>20</v>
      </c>
      <c r="N128" s="14">
        <v>95</v>
      </c>
      <c r="O128" t="s">
        <v>195</v>
      </c>
      <c r="Q128" t="s">
        <v>262</v>
      </c>
      <c r="R128" t="s">
        <v>263</v>
      </c>
      <c r="S128">
        <v>0</v>
      </c>
      <c r="T128">
        <v>0</v>
      </c>
      <c r="U128" t="s">
        <v>2285</v>
      </c>
      <c r="V128" t="s">
        <v>2286</v>
      </c>
      <c r="W128" t="s">
        <v>2287</v>
      </c>
      <c r="X128" t="s">
        <v>2288</v>
      </c>
      <c r="Y128" t="s">
        <v>2289</v>
      </c>
      <c r="Z128" t="s">
        <v>2312</v>
      </c>
      <c r="AA128">
        <v>21</v>
      </c>
      <c r="AB128" s="14">
        <v>95</v>
      </c>
      <c r="AC128" t="s">
        <v>2313</v>
      </c>
      <c r="AD128" t="s">
        <v>2314</v>
      </c>
      <c r="AE128" t="s">
        <v>2643</v>
      </c>
      <c r="AF128">
        <v>28</v>
      </c>
      <c r="AG128">
        <v>0</v>
      </c>
      <c r="AH128">
        <v>9</v>
      </c>
      <c r="AI128">
        <v>1</v>
      </c>
      <c r="AJ128">
        <v>1</v>
      </c>
      <c r="AK128">
        <v>0</v>
      </c>
      <c r="AL128">
        <v>1</v>
      </c>
      <c r="AM128" s="14">
        <v>0</v>
      </c>
      <c r="AN128" t="s">
        <v>2644</v>
      </c>
      <c r="AO128" s="12">
        <v>46023</v>
      </c>
      <c r="AP128">
        <v>2026</v>
      </c>
      <c r="AQ128">
        <v>1</v>
      </c>
      <c r="AR128" t="s">
        <v>2645</v>
      </c>
    </row>
    <row r="129" spans="1:44">
      <c r="A129" t="s">
        <v>803</v>
      </c>
      <c r="B129" s="12">
        <v>46023</v>
      </c>
      <c r="C129" s="12">
        <v>45972</v>
      </c>
      <c r="D129" t="s">
        <v>791</v>
      </c>
      <c r="E129" t="s">
        <v>281</v>
      </c>
      <c r="F129" t="s">
        <v>409</v>
      </c>
      <c r="G129" t="s">
        <v>535</v>
      </c>
      <c r="H129" t="s">
        <v>115</v>
      </c>
      <c r="I129" t="s">
        <v>316</v>
      </c>
      <c r="J129" s="13">
        <v>0.33333333333333331</v>
      </c>
      <c r="K129" s="13">
        <v>0.33194444444444443</v>
      </c>
      <c r="L129" s="13">
        <v>0.34027777777777779</v>
      </c>
      <c r="M129">
        <v>30</v>
      </c>
      <c r="N129" s="14">
        <v>150</v>
      </c>
      <c r="O129" t="s">
        <v>169</v>
      </c>
      <c r="P129">
        <v>5</v>
      </c>
      <c r="Q129" t="s">
        <v>326</v>
      </c>
      <c r="R129" t="s">
        <v>263</v>
      </c>
      <c r="S129">
        <v>0</v>
      </c>
      <c r="T129">
        <v>0</v>
      </c>
      <c r="U129" t="s">
        <v>2290</v>
      </c>
      <c r="V129" t="s">
        <v>2291</v>
      </c>
      <c r="W129" t="s">
        <v>2292</v>
      </c>
      <c r="X129" t="s">
        <v>2288</v>
      </c>
      <c r="Y129" t="s">
        <v>2293</v>
      </c>
      <c r="Z129" t="s">
        <v>2318</v>
      </c>
      <c r="AA129">
        <v>28</v>
      </c>
      <c r="AB129" s="14">
        <v>150</v>
      </c>
      <c r="AC129" t="s">
        <v>2319</v>
      </c>
      <c r="AD129" t="s">
        <v>2320</v>
      </c>
      <c r="AE129" t="s">
        <v>2643</v>
      </c>
      <c r="AF129">
        <v>51</v>
      </c>
      <c r="AG129">
        <v>0</v>
      </c>
      <c r="AH129">
        <v>12</v>
      </c>
      <c r="AI129">
        <v>1</v>
      </c>
      <c r="AJ129">
        <v>1</v>
      </c>
      <c r="AK129">
        <v>0</v>
      </c>
      <c r="AL129">
        <v>1</v>
      </c>
      <c r="AM129" s="14">
        <v>0</v>
      </c>
      <c r="AN129" t="s">
        <v>2644</v>
      </c>
      <c r="AO129" s="12">
        <v>46023</v>
      </c>
      <c r="AP129">
        <v>2026</v>
      </c>
      <c r="AQ129">
        <v>1</v>
      </c>
      <c r="AR129" t="s">
        <v>2645</v>
      </c>
    </row>
    <row r="130" spans="1:44">
      <c r="A130" t="s">
        <v>807</v>
      </c>
      <c r="B130" s="12">
        <v>46053</v>
      </c>
      <c r="C130" s="12">
        <v>46024</v>
      </c>
      <c r="D130" t="s">
        <v>715</v>
      </c>
      <c r="E130" t="s">
        <v>268</v>
      </c>
      <c r="F130" t="s">
        <v>269</v>
      </c>
      <c r="G130" t="s">
        <v>270</v>
      </c>
      <c r="H130" t="s">
        <v>115</v>
      </c>
      <c r="I130" t="s">
        <v>316</v>
      </c>
      <c r="J130" s="13">
        <v>0.41666666666666669</v>
      </c>
      <c r="K130" s="13">
        <v>0.42222222222222222</v>
      </c>
      <c r="L130" s="13">
        <v>0.44166666666666665</v>
      </c>
      <c r="M130">
        <v>20</v>
      </c>
      <c r="N130" s="14">
        <v>80</v>
      </c>
      <c r="O130" t="s">
        <v>169</v>
      </c>
      <c r="P130">
        <v>5</v>
      </c>
      <c r="Q130" t="s">
        <v>285</v>
      </c>
      <c r="R130" t="s">
        <v>263</v>
      </c>
      <c r="S130">
        <v>0</v>
      </c>
      <c r="T130">
        <v>0</v>
      </c>
      <c r="U130" t="s">
        <v>2285</v>
      </c>
      <c r="V130" t="s">
        <v>2286</v>
      </c>
      <c r="W130" t="s">
        <v>2287</v>
      </c>
      <c r="X130" t="s">
        <v>2288</v>
      </c>
      <c r="Y130" t="s">
        <v>2289</v>
      </c>
      <c r="Z130" t="s">
        <v>2315</v>
      </c>
      <c r="AA130">
        <v>10</v>
      </c>
      <c r="AB130" s="14">
        <v>80</v>
      </c>
      <c r="AC130" t="s">
        <v>2316</v>
      </c>
      <c r="AD130" t="s">
        <v>2317</v>
      </c>
      <c r="AE130" t="s">
        <v>2643</v>
      </c>
      <c r="AF130">
        <v>29</v>
      </c>
      <c r="AG130">
        <v>0</v>
      </c>
      <c r="AH130">
        <v>28</v>
      </c>
      <c r="AI130">
        <v>1</v>
      </c>
      <c r="AJ130">
        <v>1</v>
      </c>
      <c r="AK130">
        <v>0</v>
      </c>
      <c r="AL130">
        <v>1</v>
      </c>
      <c r="AM130" s="14">
        <v>0</v>
      </c>
      <c r="AN130" t="s">
        <v>2644</v>
      </c>
      <c r="AO130" s="12">
        <v>46023</v>
      </c>
      <c r="AP130">
        <v>2026</v>
      </c>
      <c r="AQ130">
        <v>1</v>
      </c>
      <c r="AR130" t="s">
        <v>2645</v>
      </c>
    </row>
    <row r="131" spans="1:44">
      <c r="A131" t="s">
        <v>809</v>
      </c>
      <c r="B131" s="12">
        <v>46053</v>
      </c>
      <c r="C131" s="12">
        <v>46014</v>
      </c>
      <c r="D131" t="s">
        <v>504</v>
      </c>
      <c r="E131" t="s">
        <v>255</v>
      </c>
      <c r="F131" t="s">
        <v>297</v>
      </c>
      <c r="G131" t="s">
        <v>639</v>
      </c>
      <c r="H131" t="s">
        <v>115</v>
      </c>
      <c r="I131" t="s">
        <v>271</v>
      </c>
      <c r="J131" s="13">
        <v>0.5</v>
      </c>
      <c r="K131" s="13">
        <v>0.50763888888888886</v>
      </c>
      <c r="L131" s="13">
        <v>0.51180555555555551</v>
      </c>
      <c r="M131">
        <v>20</v>
      </c>
      <c r="N131" s="14">
        <v>65</v>
      </c>
      <c r="O131" t="s">
        <v>195</v>
      </c>
      <c r="P131">
        <v>5</v>
      </c>
      <c r="Q131" t="s">
        <v>262</v>
      </c>
      <c r="R131" t="s">
        <v>263</v>
      </c>
      <c r="S131">
        <v>0</v>
      </c>
      <c r="T131">
        <v>0</v>
      </c>
      <c r="U131" t="s">
        <v>2299</v>
      </c>
      <c r="V131" t="s">
        <v>2295</v>
      </c>
      <c r="W131" t="s">
        <v>2300</v>
      </c>
      <c r="X131" t="s">
        <v>2288</v>
      </c>
      <c r="Y131" t="s">
        <v>2301</v>
      </c>
      <c r="Z131" t="s">
        <v>2306</v>
      </c>
      <c r="AA131">
        <v>7</v>
      </c>
      <c r="AB131" s="14">
        <v>65</v>
      </c>
      <c r="AC131" t="s">
        <v>2307</v>
      </c>
      <c r="AD131" t="s">
        <v>2308</v>
      </c>
      <c r="AE131" t="s">
        <v>2643</v>
      </c>
      <c r="AF131">
        <v>39</v>
      </c>
      <c r="AG131">
        <v>0</v>
      </c>
      <c r="AH131">
        <v>6</v>
      </c>
      <c r="AI131">
        <v>1</v>
      </c>
      <c r="AJ131">
        <v>1</v>
      </c>
      <c r="AK131">
        <v>0</v>
      </c>
      <c r="AL131">
        <v>1</v>
      </c>
      <c r="AM131" s="14">
        <v>0</v>
      </c>
      <c r="AN131" t="s">
        <v>2644</v>
      </c>
      <c r="AO131" s="12">
        <v>46023</v>
      </c>
      <c r="AP131">
        <v>2026</v>
      </c>
      <c r="AQ131">
        <v>1</v>
      </c>
      <c r="AR131" t="s">
        <v>2645</v>
      </c>
    </row>
    <row r="132" spans="1:44">
      <c r="A132" t="s">
        <v>812</v>
      </c>
      <c r="B132" s="12">
        <v>46036</v>
      </c>
      <c r="C132" s="12">
        <v>45994</v>
      </c>
      <c r="D132" t="s">
        <v>813</v>
      </c>
      <c r="E132" t="s">
        <v>281</v>
      </c>
      <c r="F132" t="s">
        <v>282</v>
      </c>
      <c r="G132" t="s">
        <v>446</v>
      </c>
      <c r="H132" t="s">
        <v>115</v>
      </c>
      <c r="I132" t="s">
        <v>258</v>
      </c>
      <c r="J132" s="13">
        <v>0.5</v>
      </c>
      <c r="K132" s="13">
        <v>0.50555555555555554</v>
      </c>
      <c r="L132" s="13">
        <v>0.5229166666666667</v>
      </c>
      <c r="M132">
        <v>30</v>
      </c>
      <c r="N132" s="14">
        <v>120</v>
      </c>
      <c r="O132" t="s">
        <v>195</v>
      </c>
      <c r="P132">
        <v>4</v>
      </c>
      <c r="Q132" t="s">
        <v>318</v>
      </c>
      <c r="R132" t="s">
        <v>263</v>
      </c>
      <c r="S132">
        <v>0</v>
      </c>
      <c r="T132">
        <v>0</v>
      </c>
      <c r="U132" t="s">
        <v>2290</v>
      </c>
      <c r="V132" t="s">
        <v>2291</v>
      </c>
      <c r="W132" t="s">
        <v>2292</v>
      </c>
      <c r="X132" t="s">
        <v>2288</v>
      </c>
      <c r="Y132" t="s">
        <v>2293</v>
      </c>
      <c r="Z132" t="s">
        <v>2309</v>
      </c>
      <c r="AA132">
        <v>14</v>
      </c>
      <c r="AB132" s="14">
        <v>120</v>
      </c>
      <c r="AC132" t="s">
        <v>2310</v>
      </c>
      <c r="AD132" t="s">
        <v>2311</v>
      </c>
      <c r="AE132" t="s">
        <v>2643</v>
      </c>
      <c r="AF132">
        <v>42</v>
      </c>
      <c r="AG132">
        <v>0</v>
      </c>
      <c r="AH132">
        <v>25</v>
      </c>
      <c r="AI132">
        <v>1</v>
      </c>
      <c r="AJ132">
        <v>1</v>
      </c>
      <c r="AK132">
        <v>0</v>
      </c>
      <c r="AL132">
        <v>1</v>
      </c>
      <c r="AM132" s="14">
        <v>0</v>
      </c>
      <c r="AN132" t="s">
        <v>2644</v>
      </c>
      <c r="AO132" s="12">
        <v>46023</v>
      </c>
      <c r="AP132">
        <v>2026</v>
      </c>
      <c r="AQ132">
        <v>1</v>
      </c>
      <c r="AR132" t="s">
        <v>2645</v>
      </c>
    </row>
    <row r="133" spans="1:44">
      <c r="A133" t="s">
        <v>816</v>
      </c>
      <c r="B133" s="12">
        <v>46043</v>
      </c>
      <c r="C133" s="12">
        <v>46006</v>
      </c>
      <c r="D133" t="s">
        <v>321</v>
      </c>
      <c r="E133" t="s">
        <v>268</v>
      </c>
      <c r="F133" t="s">
        <v>256</v>
      </c>
      <c r="G133" t="s">
        <v>419</v>
      </c>
      <c r="H133" t="s">
        <v>115</v>
      </c>
      <c r="I133" t="s">
        <v>271</v>
      </c>
      <c r="J133" s="13">
        <v>0.41666666666666669</v>
      </c>
      <c r="K133" s="13">
        <v>0.42430555555555555</v>
      </c>
      <c r="L133" s="13">
        <v>0.42152777777777778</v>
      </c>
      <c r="M133">
        <v>30</v>
      </c>
      <c r="N133" s="14">
        <v>95</v>
      </c>
      <c r="O133" t="s">
        <v>169</v>
      </c>
      <c r="P133">
        <v>4</v>
      </c>
      <c r="Q133" t="s">
        <v>326</v>
      </c>
      <c r="R133" t="s">
        <v>263</v>
      </c>
      <c r="S133">
        <v>0</v>
      </c>
      <c r="T133">
        <v>0</v>
      </c>
      <c r="U133" t="s">
        <v>2285</v>
      </c>
      <c r="V133" t="s">
        <v>2286</v>
      </c>
      <c r="W133" t="s">
        <v>2287</v>
      </c>
      <c r="X133" t="s">
        <v>2288</v>
      </c>
      <c r="Y133" t="s">
        <v>2289</v>
      </c>
      <c r="Z133" t="s">
        <v>2312</v>
      </c>
      <c r="AA133">
        <v>21</v>
      </c>
      <c r="AB133" s="14">
        <v>95</v>
      </c>
      <c r="AC133" t="s">
        <v>2313</v>
      </c>
      <c r="AD133" t="s">
        <v>2314</v>
      </c>
      <c r="AE133" t="s">
        <v>2643</v>
      </c>
      <c r="AF133">
        <v>37</v>
      </c>
      <c r="AG133">
        <v>0</v>
      </c>
      <c r="AJ133">
        <v>1</v>
      </c>
      <c r="AK133">
        <v>0</v>
      </c>
      <c r="AL133">
        <v>1</v>
      </c>
      <c r="AM133" s="14">
        <v>0</v>
      </c>
      <c r="AN133" t="s">
        <v>2644</v>
      </c>
      <c r="AO133" s="12">
        <v>46023</v>
      </c>
      <c r="AP133">
        <v>2026</v>
      </c>
      <c r="AQ133">
        <v>1</v>
      </c>
      <c r="AR133" t="s">
        <v>2645</v>
      </c>
    </row>
    <row r="134" spans="1:44">
      <c r="A134" t="s">
        <v>819</v>
      </c>
      <c r="B134" s="12">
        <v>46053</v>
      </c>
      <c r="C134" s="12">
        <v>46019</v>
      </c>
      <c r="D134" t="s">
        <v>820</v>
      </c>
      <c r="E134" t="s">
        <v>281</v>
      </c>
      <c r="F134" t="s">
        <v>269</v>
      </c>
      <c r="G134" t="s">
        <v>322</v>
      </c>
      <c r="H134" t="s">
        <v>122</v>
      </c>
      <c r="I134" t="s">
        <v>258</v>
      </c>
      <c r="J134" s="13">
        <v>0.625</v>
      </c>
      <c r="K134" s="13"/>
      <c r="L134" s="13"/>
      <c r="M134">
        <v>0</v>
      </c>
      <c r="N134" s="14">
        <v>80</v>
      </c>
      <c r="O134" t="s">
        <v>195</v>
      </c>
      <c r="Q134" t="s">
        <v>318</v>
      </c>
      <c r="R134" t="s">
        <v>263</v>
      </c>
      <c r="S134">
        <v>0</v>
      </c>
      <c r="T134">
        <v>0</v>
      </c>
      <c r="U134" t="s">
        <v>2290</v>
      </c>
      <c r="V134" t="s">
        <v>2291</v>
      </c>
      <c r="W134" t="s">
        <v>2292</v>
      </c>
      <c r="X134" t="s">
        <v>2288</v>
      </c>
      <c r="Y134" t="s">
        <v>2293</v>
      </c>
      <c r="Z134" t="s">
        <v>2315</v>
      </c>
      <c r="AA134">
        <v>10</v>
      </c>
      <c r="AB134" s="14">
        <v>80</v>
      </c>
      <c r="AC134" t="s">
        <v>2316</v>
      </c>
      <c r="AD134" t="s">
        <v>2317</v>
      </c>
      <c r="AE134" t="s">
        <v>2643</v>
      </c>
      <c r="AF134">
        <v>34</v>
      </c>
      <c r="AG134">
        <v>0</v>
      </c>
      <c r="AJ134">
        <v>1</v>
      </c>
      <c r="AK134">
        <v>1</v>
      </c>
      <c r="AL134">
        <v>1</v>
      </c>
      <c r="AM134" s="14">
        <v>0</v>
      </c>
      <c r="AN134" t="s">
        <v>2644</v>
      </c>
      <c r="AO134" s="12">
        <v>46023</v>
      </c>
      <c r="AP134">
        <v>2026</v>
      </c>
      <c r="AQ134">
        <v>1</v>
      </c>
      <c r="AR134" t="s">
        <v>2645</v>
      </c>
    </row>
    <row r="135" spans="1:44">
      <c r="A135" t="s">
        <v>821</v>
      </c>
      <c r="B135" s="12">
        <v>46038</v>
      </c>
      <c r="C135" s="12">
        <v>45988</v>
      </c>
      <c r="D135" t="s">
        <v>823</v>
      </c>
      <c r="E135" t="s">
        <v>339</v>
      </c>
      <c r="F135" t="s">
        <v>297</v>
      </c>
      <c r="G135" t="s">
        <v>569</v>
      </c>
      <c r="H135" t="s">
        <v>115</v>
      </c>
      <c r="I135" t="s">
        <v>299</v>
      </c>
      <c r="J135" s="13">
        <v>0.5</v>
      </c>
      <c r="K135" s="13">
        <v>0.49305555555555558</v>
      </c>
      <c r="L135" s="13">
        <v>0.51458333333333328</v>
      </c>
      <c r="M135">
        <v>45</v>
      </c>
      <c r="N135" s="14">
        <v>65</v>
      </c>
      <c r="O135" t="s">
        <v>195</v>
      </c>
      <c r="P135">
        <v>4</v>
      </c>
      <c r="Q135" t="s">
        <v>326</v>
      </c>
      <c r="R135" t="s">
        <v>263</v>
      </c>
      <c r="S135">
        <v>0</v>
      </c>
      <c r="T135">
        <v>0</v>
      </c>
      <c r="U135" t="s">
        <v>2294</v>
      </c>
      <c r="V135" t="s">
        <v>2295</v>
      </c>
      <c r="W135" t="s">
        <v>2296</v>
      </c>
      <c r="X135" t="s">
        <v>2297</v>
      </c>
      <c r="Y135" t="s">
        <v>2298</v>
      </c>
      <c r="Z135" t="s">
        <v>2306</v>
      </c>
      <c r="AA135">
        <v>7</v>
      </c>
      <c r="AB135" s="14">
        <v>65</v>
      </c>
      <c r="AC135" t="s">
        <v>2307</v>
      </c>
      <c r="AD135" t="s">
        <v>2308</v>
      </c>
      <c r="AE135" t="s">
        <v>2643</v>
      </c>
      <c r="AF135">
        <v>50</v>
      </c>
      <c r="AG135">
        <v>0</v>
      </c>
      <c r="AH135">
        <v>31</v>
      </c>
      <c r="AI135">
        <v>0</v>
      </c>
      <c r="AJ135">
        <v>1</v>
      </c>
      <c r="AK135">
        <v>0</v>
      </c>
      <c r="AL135">
        <v>1</v>
      </c>
      <c r="AM135" s="14">
        <v>0</v>
      </c>
      <c r="AN135" t="s">
        <v>2644</v>
      </c>
      <c r="AO135" s="12">
        <v>46023</v>
      </c>
      <c r="AP135">
        <v>2026</v>
      </c>
      <c r="AQ135">
        <v>1</v>
      </c>
      <c r="AR135" t="s">
        <v>2645</v>
      </c>
    </row>
    <row r="136" spans="1:44">
      <c r="A136" t="s">
        <v>826</v>
      </c>
      <c r="B136" s="12">
        <v>46049</v>
      </c>
      <c r="C136" s="12">
        <v>46032</v>
      </c>
      <c r="D136" t="s">
        <v>377</v>
      </c>
      <c r="E136" t="s">
        <v>255</v>
      </c>
      <c r="F136" t="s">
        <v>297</v>
      </c>
      <c r="G136" t="s">
        <v>331</v>
      </c>
      <c r="H136" t="s">
        <v>115</v>
      </c>
      <c r="I136" t="s">
        <v>316</v>
      </c>
      <c r="J136" s="13">
        <v>0.52083333333333337</v>
      </c>
      <c r="K136" s="13">
        <v>0.51666666666666672</v>
      </c>
      <c r="L136" s="13">
        <v>0.52569444444444446</v>
      </c>
      <c r="M136">
        <v>45</v>
      </c>
      <c r="N136" s="14">
        <v>65</v>
      </c>
      <c r="O136" t="s">
        <v>195</v>
      </c>
      <c r="P136">
        <v>5</v>
      </c>
      <c r="Q136" t="s">
        <v>326</v>
      </c>
      <c r="R136" t="s">
        <v>263</v>
      </c>
      <c r="S136">
        <v>0</v>
      </c>
      <c r="T136">
        <v>0</v>
      </c>
      <c r="U136" t="s">
        <v>2299</v>
      </c>
      <c r="V136" t="s">
        <v>2295</v>
      </c>
      <c r="W136" t="s">
        <v>2300</v>
      </c>
      <c r="X136" t="s">
        <v>2288</v>
      </c>
      <c r="Y136" t="s">
        <v>2301</v>
      </c>
      <c r="Z136" t="s">
        <v>2306</v>
      </c>
      <c r="AA136">
        <v>7</v>
      </c>
      <c r="AB136" s="14">
        <v>65</v>
      </c>
      <c r="AC136" t="s">
        <v>2307</v>
      </c>
      <c r="AD136" t="s">
        <v>2308</v>
      </c>
      <c r="AE136" t="s">
        <v>2643</v>
      </c>
      <c r="AF136">
        <v>17</v>
      </c>
      <c r="AG136">
        <v>0</v>
      </c>
      <c r="AH136">
        <v>13</v>
      </c>
      <c r="AI136">
        <v>1</v>
      </c>
      <c r="AJ136">
        <v>1</v>
      </c>
      <c r="AK136">
        <v>0</v>
      </c>
      <c r="AL136">
        <v>1</v>
      </c>
      <c r="AM136" s="14">
        <v>0</v>
      </c>
      <c r="AN136" t="s">
        <v>2644</v>
      </c>
      <c r="AO136" s="12">
        <v>46023</v>
      </c>
      <c r="AP136">
        <v>2026</v>
      </c>
      <c r="AQ136">
        <v>1</v>
      </c>
      <c r="AR136" t="s">
        <v>2645</v>
      </c>
    </row>
    <row r="137" spans="1:44">
      <c r="A137" t="s">
        <v>829</v>
      </c>
      <c r="B137" s="12">
        <v>46024</v>
      </c>
      <c r="C137" s="12">
        <v>45973</v>
      </c>
      <c r="D137" t="s">
        <v>586</v>
      </c>
      <c r="E137" t="s">
        <v>281</v>
      </c>
      <c r="F137" t="s">
        <v>269</v>
      </c>
      <c r="G137" t="s">
        <v>322</v>
      </c>
      <c r="H137" t="s">
        <v>115</v>
      </c>
      <c r="I137" t="s">
        <v>316</v>
      </c>
      <c r="J137" s="13">
        <v>0.33333333333333331</v>
      </c>
      <c r="K137" s="13">
        <v>0.3263888888888889</v>
      </c>
      <c r="L137" s="13">
        <v>0.34791666666666665</v>
      </c>
      <c r="M137">
        <v>30</v>
      </c>
      <c r="N137" s="14">
        <v>80</v>
      </c>
      <c r="O137" t="s">
        <v>169</v>
      </c>
      <c r="P137">
        <v>4</v>
      </c>
      <c r="Q137" t="s">
        <v>305</v>
      </c>
      <c r="R137" t="s">
        <v>263</v>
      </c>
      <c r="S137">
        <v>0</v>
      </c>
      <c r="T137">
        <v>0</v>
      </c>
      <c r="U137" t="s">
        <v>2290</v>
      </c>
      <c r="V137" t="s">
        <v>2291</v>
      </c>
      <c r="W137" t="s">
        <v>2292</v>
      </c>
      <c r="X137" t="s">
        <v>2288</v>
      </c>
      <c r="Y137" t="s">
        <v>2293</v>
      </c>
      <c r="Z137" t="s">
        <v>2315</v>
      </c>
      <c r="AA137">
        <v>10</v>
      </c>
      <c r="AB137" s="14">
        <v>80</v>
      </c>
      <c r="AC137" t="s">
        <v>2316</v>
      </c>
      <c r="AD137" t="s">
        <v>2317</v>
      </c>
      <c r="AE137" t="s">
        <v>2643</v>
      </c>
      <c r="AF137">
        <v>51</v>
      </c>
      <c r="AG137">
        <v>0</v>
      </c>
      <c r="AH137">
        <v>31</v>
      </c>
      <c r="AI137">
        <v>0</v>
      </c>
      <c r="AJ137">
        <v>1</v>
      </c>
      <c r="AK137">
        <v>0</v>
      </c>
      <c r="AL137">
        <v>1</v>
      </c>
      <c r="AM137" s="14">
        <v>0</v>
      </c>
      <c r="AN137" t="s">
        <v>2644</v>
      </c>
      <c r="AO137" s="12">
        <v>46023</v>
      </c>
      <c r="AP137">
        <v>2026</v>
      </c>
      <c r="AQ137">
        <v>1</v>
      </c>
      <c r="AR137" t="s">
        <v>2645</v>
      </c>
    </row>
    <row r="138" spans="1:44">
      <c r="A138" t="s">
        <v>832</v>
      </c>
      <c r="B138" s="12">
        <v>46050</v>
      </c>
      <c r="C138" s="12">
        <v>45999</v>
      </c>
      <c r="D138" t="s">
        <v>386</v>
      </c>
      <c r="E138" t="s">
        <v>255</v>
      </c>
      <c r="F138" t="s">
        <v>409</v>
      </c>
      <c r="G138" t="s">
        <v>648</v>
      </c>
      <c r="H138" t="s">
        <v>115</v>
      </c>
      <c r="I138" t="s">
        <v>258</v>
      </c>
      <c r="J138" s="13">
        <v>0.39583333333333331</v>
      </c>
      <c r="K138" s="13">
        <v>0.40555555555555556</v>
      </c>
      <c r="L138" s="13">
        <v>0.40972222222222221</v>
      </c>
      <c r="N138" s="14">
        <v>150</v>
      </c>
      <c r="O138" t="s">
        <v>195</v>
      </c>
      <c r="P138">
        <v>5</v>
      </c>
      <c r="Q138" t="s">
        <v>262</v>
      </c>
      <c r="R138" t="s">
        <v>263</v>
      </c>
      <c r="S138">
        <v>0</v>
      </c>
      <c r="T138">
        <v>0</v>
      </c>
      <c r="U138" t="s">
        <v>2299</v>
      </c>
      <c r="V138" t="s">
        <v>2295</v>
      </c>
      <c r="W138" t="s">
        <v>2300</v>
      </c>
      <c r="X138" t="s">
        <v>2288</v>
      </c>
      <c r="Y138" t="s">
        <v>2301</v>
      </c>
      <c r="Z138" t="s">
        <v>2318</v>
      </c>
      <c r="AA138">
        <v>28</v>
      </c>
      <c r="AB138" s="14">
        <v>150</v>
      </c>
      <c r="AC138" t="s">
        <v>2319</v>
      </c>
      <c r="AD138" t="s">
        <v>2320</v>
      </c>
      <c r="AE138" t="s">
        <v>2643</v>
      </c>
      <c r="AF138">
        <v>51</v>
      </c>
      <c r="AG138">
        <v>0</v>
      </c>
      <c r="AH138">
        <v>6</v>
      </c>
      <c r="AI138">
        <v>1</v>
      </c>
      <c r="AJ138">
        <v>1</v>
      </c>
      <c r="AK138">
        <v>0</v>
      </c>
      <c r="AL138">
        <v>1</v>
      </c>
      <c r="AM138" s="14">
        <v>0</v>
      </c>
      <c r="AN138" t="s">
        <v>2644</v>
      </c>
      <c r="AO138" s="12">
        <v>46023</v>
      </c>
      <c r="AP138">
        <v>2026</v>
      </c>
      <c r="AQ138">
        <v>1</v>
      </c>
      <c r="AR138" t="s">
        <v>2645</v>
      </c>
    </row>
    <row r="139" spans="1:44">
      <c r="A139" t="s">
        <v>836</v>
      </c>
      <c r="B139" s="12">
        <v>46038</v>
      </c>
      <c r="C139" s="12">
        <v>46016</v>
      </c>
      <c r="D139" t="s">
        <v>837</v>
      </c>
      <c r="E139" t="s">
        <v>268</v>
      </c>
      <c r="F139" t="s">
        <v>269</v>
      </c>
      <c r="G139" t="s">
        <v>270</v>
      </c>
      <c r="H139" t="s">
        <v>115</v>
      </c>
      <c r="I139" t="s">
        <v>299</v>
      </c>
      <c r="J139" s="13">
        <v>0.39583333333333331</v>
      </c>
      <c r="K139" s="13">
        <v>0.39861111111111114</v>
      </c>
      <c r="L139" s="13">
        <v>0.41249999999999998</v>
      </c>
      <c r="M139">
        <v>30</v>
      </c>
      <c r="N139" s="14">
        <v>80</v>
      </c>
      <c r="O139" t="s">
        <v>195</v>
      </c>
      <c r="P139">
        <v>4</v>
      </c>
      <c r="Q139" t="s">
        <v>318</v>
      </c>
      <c r="R139" t="s">
        <v>263</v>
      </c>
      <c r="S139">
        <v>0</v>
      </c>
      <c r="T139">
        <v>0</v>
      </c>
      <c r="U139" t="s">
        <v>2285</v>
      </c>
      <c r="V139" t="s">
        <v>2286</v>
      </c>
      <c r="W139" t="s">
        <v>2287</v>
      </c>
      <c r="X139" t="s">
        <v>2288</v>
      </c>
      <c r="Y139" t="s">
        <v>2289</v>
      </c>
      <c r="Z139" t="s">
        <v>2315</v>
      </c>
      <c r="AA139">
        <v>10</v>
      </c>
      <c r="AB139" s="14">
        <v>80</v>
      </c>
      <c r="AC139" t="s">
        <v>2316</v>
      </c>
      <c r="AD139" t="s">
        <v>2317</v>
      </c>
      <c r="AE139" t="s">
        <v>2643</v>
      </c>
      <c r="AF139">
        <v>22</v>
      </c>
      <c r="AG139">
        <v>0</v>
      </c>
      <c r="AH139">
        <v>20</v>
      </c>
      <c r="AI139">
        <v>1</v>
      </c>
      <c r="AJ139">
        <v>1</v>
      </c>
      <c r="AK139">
        <v>0</v>
      </c>
      <c r="AL139">
        <v>1</v>
      </c>
      <c r="AM139" s="14">
        <v>0</v>
      </c>
      <c r="AN139" t="s">
        <v>2644</v>
      </c>
      <c r="AO139" s="12">
        <v>46023</v>
      </c>
      <c r="AP139">
        <v>2026</v>
      </c>
      <c r="AQ139">
        <v>1</v>
      </c>
      <c r="AR139" t="s">
        <v>2645</v>
      </c>
    </row>
    <row r="140" spans="1:44">
      <c r="A140" t="s">
        <v>842</v>
      </c>
      <c r="B140" s="12">
        <v>46023</v>
      </c>
      <c r="C140" s="12">
        <v>45974</v>
      </c>
      <c r="D140" t="s">
        <v>843</v>
      </c>
      <c r="E140" t="s">
        <v>281</v>
      </c>
      <c r="F140" t="s">
        <v>297</v>
      </c>
      <c r="G140" t="s">
        <v>298</v>
      </c>
      <c r="H140" t="s">
        <v>122</v>
      </c>
      <c r="I140" t="s">
        <v>299</v>
      </c>
      <c r="J140" s="13">
        <v>0.66666666666666663</v>
      </c>
      <c r="K140" s="13"/>
      <c r="L140" s="13"/>
      <c r="M140">
        <v>0</v>
      </c>
      <c r="N140" s="14">
        <v>65</v>
      </c>
      <c r="O140" t="s">
        <v>195</v>
      </c>
      <c r="Q140" t="s">
        <v>318</v>
      </c>
      <c r="R140" t="s">
        <v>263</v>
      </c>
      <c r="S140">
        <v>0</v>
      </c>
      <c r="T140">
        <v>0</v>
      </c>
      <c r="U140" t="s">
        <v>2290</v>
      </c>
      <c r="V140" t="s">
        <v>2291</v>
      </c>
      <c r="W140" t="s">
        <v>2292</v>
      </c>
      <c r="X140" t="s">
        <v>2288</v>
      </c>
      <c r="Y140" t="s">
        <v>2293</v>
      </c>
      <c r="Z140" t="s">
        <v>2306</v>
      </c>
      <c r="AA140">
        <v>7</v>
      </c>
      <c r="AB140" s="14">
        <v>65</v>
      </c>
      <c r="AC140" t="s">
        <v>2307</v>
      </c>
      <c r="AD140" t="s">
        <v>2308</v>
      </c>
      <c r="AE140" t="s">
        <v>2643</v>
      </c>
      <c r="AF140">
        <v>49</v>
      </c>
      <c r="AG140">
        <v>0</v>
      </c>
      <c r="AJ140">
        <v>1</v>
      </c>
      <c r="AK140">
        <v>1</v>
      </c>
      <c r="AL140">
        <v>1</v>
      </c>
      <c r="AM140" s="14">
        <v>0</v>
      </c>
      <c r="AN140" t="s">
        <v>2644</v>
      </c>
      <c r="AO140" s="12">
        <v>46023</v>
      </c>
      <c r="AP140">
        <v>2026</v>
      </c>
      <c r="AQ140">
        <v>1</v>
      </c>
      <c r="AR140" t="s">
        <v>2645</v>
      </c>
    </row>
    <row r="141" spans="1:44">
      <c r="A141" t="s">
        <v>844</v>
      </c>
      <c r="B141" s="12">
        <v>46046</v>
      </c>
      <c r="C141" s="12">
        <v>46017</v>
      </c>
      <c r="D141" t="s">
        <v>845</v>
      </c>
      <c r="E141" t="s">
        <v>255</v>
      </c>
      <c r="F141" t="s">
        <v>282</v>
      </c>
      <c r="G141" t="s">
        <v>424</v>
      </c>
      <c r="H141" t="s">
        <v>122</v>
      </c>
      <c r="I141" t="s">
        <v>258</v>
      </c>
      <c r="J141" s="13">
        <v>0.66666666666666663</v>
      </c>
      <c r="K141" s="13"/>
      <c r="L141" s="13"/>
      <c r="M141">
        <v>0</v>
      </c>
      <c r="N141" s="14">
        <v>120</v>
      </c>
      <c r="O141" t="s">
        <v>195</v>
      </c>
      <c r="Q141" t="s">
        <v>262</v>
      </c>
      <c r="R141" t="s">
        <v>263</v>
      </c>
      <c r="S141">
        <v>0</v>
      </c>
      <c r="T141">
        <v>0</v>
      </c>
      <c r="U141" t="s">
        <v>2299</v>
      </c>
      <c r="V141" t="s">
        <v>2295</v>
      </c>
      <c r="W141" t="s">
        <v>2300</v>
      </c>
      <c r="X141" t="s">
        <v>2288</v>
      </c>
      <c r="Y141" t="s">
        <v>2301</v>
      </c>
      <c r="Z141" t="s">
        <v>2309</v>
      </c>
      <c r="AA141">
        <v>14</v>
      </c>
      <c r="AB141" s="14">
        <v>120</v>
      </c>
      <c r="AC141" t="s">
        <v>2310</v>
      </c>
      <c r="AD141" t="s">
        <v>2311</v>
      </c>
      <c r="AE141" t="s">
        <v>2643</v>
      </c>
      <c r="AF141">
        <v>29</v>
      </c>
      <c r="AG141">
        <v>0</v>
      </c>
      <c r="AJ141">
        <v>1</v>
      </c>
      <c r="AK141">
        <v>1</v>
      </c>
      <c r="AL141">
        <v>1</v>
      </c>
      <c r="AM141" s="14">
        <v>0</v>
      </c>
      <c r="AN141" t="s">
        <v>2644</v>
      </c>
      <c r="AO141" s="12">
        <v>46023</v>
      </c>
      <c r="AP141">
        <v>2026</v>
      </c>
      <c r="AQ141">
        <v>1</v>
      </c>
      <c r="AR141" t="s">
        <v>2645</v>
      </c>
    </row>
    <row r="142" spans="1:44">
      <c r="A142" t="s">
        <v>847</v>
      </c>
      <c r="B142" s="12">
        <v>46034</v>
      </c>
      <c r="C142" s="12">
        <v>45989</v>
      </c>
      <c r="D142" t="s">
        <v>390</v>
      </c>
      <c r="E142" t="s">
        <v>268</v>
      </c>
      <c r="F142" t="s">
        <v>269</v>
      </c>
      <c r="G142" t="s">
        <v>435</v>
      </c>
      <c r="H142" t="s">
        <v>115</v>
      </c>
      <c r="I142" t="s">
        <v>271</v>
      </c>
      <c r="J142" s="13">
        <v>0.375</v>
      </c>
      <c r="K142" s="13">
        <v>0.37916666666666665</v>
      </c>
      <c r="L142" s="13">
        <v>0.38333333333333336</v>
      </c>
      <c r="M142">
        <v>30</v>
      </c>
      <c r="N142" s="14">
        <v>80</v>
      </c>
      <c r="O142" t="s">
        <v>195</v>
      </c>
      <c r="P142">
        <v>5</v>
      </c>
      <c r="Q142" t="s">
        <v>262</v>
      </c>
      <c r="R142" t="s">
        <v>263</v>
      </c>
      <c r="S142">
        <v>0</v>
      </c>
      <c r="T142">
        <v>0</v>
      </c>
      <c r="U142" t="s">
        <v>2285</v>
      </c>
      <c r="V142" t="s">
        <v>2286</v>
      </c>
      <c r="W142" t="s">
        <v>2287</v>
      </c>
      <c r="X142" t="s">
        <v>2288</v>
      </c>
      <c r="Y142" t="s">
        <v>2289</v>
      </c>
      <c r="Z142" t="s">
        <v>2315</v>
      </c>
      <c r="AA142">
        <v>10</v>
      </c>
      <c r="AB142" s="14">
        <v>80</v>
      </c>
      <c r="AC142" t="s">
        <v>2316</v>
      </c>
      <c r="AD142" t="s">
        <v>2317</v>
      </c>
      <c r="AE142" t="s">
        <v>2643</v>
      </c>
      <c r="AF142">
        <v>45</v>
      </c>
      <c r="AG142">
        <v>0</v>
      </c>
      <c r="AH142">
        <v>6</v>
      </c>
      <c r="AI142">
        <v>1</v>
      </c>
      <c r="AJ142">
        <v>1</v>
      </c>
      <c r="AK142">
        <v>0</v>
      </c>
      <c r="AL142">
        <v>1</v>
      </c>
      <c r="AM142" s="14">
        <v>0</v>
      </c>
      <c r="AN142" t="s">
        <v>2644</v>
      </c>
      <c r="AO142" s="12">
        <v>46023</v>
      </c>
      <c r="AP142">
        <v>2026</v>
      </c>
      <c r="AQ142">
        <v>1</v>
      </c>
      <c r="AR142" t="s">
        <v>2645</v>
      </c>
    </row>
    <row r="143" spans="1:44">
      <c r="A143" t="s">
        <v>850</v>
      </c>
      <c r="B143" s="12">
        <v>46053</v>
      </c>
      <c r="C143" s="12">
        <v>46006</v>
      </c>
      <c r="D143" t="s">
        <v>851</v>
      </c>
      <c r="E143" t="s">
        <v>339</v>
      </c>
      <c r="F143" t="s">
        <v>297</v>
      </c>
      <c r="G143" t="s">
        <v>780</v>
      </c>
      <c r="H143" t="s">
        <v>466</v>
      </c>
      <c r="I143" t="s">
        <v>258</v>
      </c>
      <c r="J143" s="13">
        <v>0.45833333333333331</v>
      </c>
      <c r="K143" s="13"/>
      <c r="L143" s="13"/>
      <c r="M143">
        <v>0</v>
      </c>
      <c r="N143" s="14">
        <v>65</v>
      </c>
      <c r="O143" t="s">
        <v>169</v>
      </c>
      <c r="Q143" t="s">
        <v>305</v>
      </c>
      <c r="R143" t="s">
        <v>263</v>
      </c>
      <c r="S143">
        <v>0</v>
      </c>
      <c r="T143">
        <v>0</v>
      </c>
      <c r="U143" t="s">
        <v>2294</v>
      </c>
      <c r="V143" t="s">
        <v>2295</v>
      </c>
      <c r="W143" t="s">
        <v>2296</v>
      </c>
      <c r="X143" t="s">
        <v>2297</v>
      </c>
      <c r="Y143" t="s">
        <v>2298</v>
      </c>
      <c r="Z143" t="s">
        <v>2306</v>
      </c>
      <c r="AA143">
        <v>7</v>
      </c>
      <c r="AB143" s="14">
        <v>65</v>
      </c>
      <c r="AC143" t="s">
        <v>2307</v>
      </c>
      <c r="AD143" t="s">
        <v>2308</v>
      </c>
      <c r="AE143" t="s">
        <v>2643</v>
      </c>
      <c r="AF143">
        <v>47</v>
      </c>
      <c r="AG143">
        <v>0</v>
      </c>
      <c r="AJ143">
        <v>0</v>
      </c>
      <c r="AL143">
        <v>1</v>
      </c>
      <c r="AM143" s="14">
        <v>0</v>
      </c>
      <c r="AN143" t="s">
        <v>2644</v>
      </c>
      <c r="AO143" s="12">
        <v>46023</v>
      </c>
      <c r="AP143">
        <v>2026</v>
      </c>
      <c r="AQ143">
        <v>1</v>
      </c>
      <c r="AR143" t="s">
        <v>2645</v>
      </c>
    </row>
    <row r="144" spans="1:44">
      <c r="A144" t="s">
        <v>852</v>
      </c>
      <c r="B144" s="12">
        <v>46043</v>
      </c>
      <c r="C144" s="12">
        <v>46037</v>
      </c>
      <c r="D144" t="s">
        <v>853</v>
      </c>
      <c r="E144" t="s">
        <v>281</v>
      </c>
      <c r="F144" t="s">
        <v>256</v>
      </c>
      <c r="G144" t="s">
        <v>796</v>
      </c>
      <c r="H144" t="s">
        <v>115</v>
      </c>
      <c r="I144" t="s">
        <v>271</v>
      </c>
      <c r="J144" s="13">
        <v>0.5625</v>
      </c>
      <c r="K144" s="13">
        <v>0.55555555555555558</v>
      </c>
      <c r="L144" s="13">
        <v>0.5854166666666667</v>
      </c>
      <c r="M144">
        <v>20</v>
      </c>
      <c r="N144" s="14">
        <v>95</v>
      </c>
      <c r="O144" t="s">
        <v>195</v>
      </c>
      <c r="P144">
        <v>4</v>
      </c>
      <c r="Q144" t="s">
        <v>305</v>
      </c>
      <c r="R144" t="s">
        <v>263</v>
      </c>
      <c r="S144">
        <v>0</v>
      </c>
      <c r="T144">
        <v>0</v>
      </c>
      <c r="U144" t="s">
        <v>2290</v>
      </c>
      <c r="V144" t="s">
        <v>2291</v>
      </c>
      <c r="W144" t="s">
        <v>2292</v>
      </c>
      <c r="X144" t="s">
        <v>2288</v>
      </c>
      <c r="Y144" t="s">
        <v>2293</v>
      </c>
      <c r="Z144" t="s">
        <v>2312</v>
      </c>
      <c r="AA144">
        <v>21</v>
      </c>
      <c r="AB144" s="14">
        <v>95</v>
      </c>
      <c r="AC144" t="s">
        <v>2313</v>
      </c>
      <c r="AD144" t="s">
        <v>2314</v>
      </c>
      <c r="AE144" t="s">
        <v>2643</v>
      </c>
      <c r="AF144">
        <v>6</v>
      </c>
      <c r="AG144">
        <v>1</v>
      </c>
      <c r="AH144">
        <v>43</v>
      </c>
      <c r="AI144">
        <v>0</v>
      </c>
      <c r="AJ144">
        <v>1</v>
      </c>
      <c r="AK144">
        <v>0</v>
      </c>
      <c r="AL144">
        <v>1</v>
      </c>
      <c r="AM144" s="14">
        <v>0</v>
      </c>
      <c r="AN144" t="s">
        <v>2644</v>
      </c>
      <c r="AO144" s="12">
        <v>46023</v>
      </c>
      <c r="AP144">
        <v>2026</v>
      </c>
      <c r="AQ144">
        <v>1</v>
      </c>
      <c r="AR144" t="s">
        <v>2645</v>
      </c>
    </row>
    <row r="145" spans="1:44">
      <c r="A145" t="s">
        <v>856</v>
      </c>
      <c r="B145" s="12">
        <v>46024</v>
      </c>
      <c r="C145" s="12">
        <v>46022</v>
      </c>
      <c r="D145" t="s">
        <v>857</v>
      </c>
      <c r="E145" t="s">
        <v>339</v>
      </c>
      <c r="F145" t="s">
        <v>297</v>
      </c>
      <c r="G145" t="s">
        <v>780</v>
      </c>
      <c r="H145" t="s">
        <v>115</v>
      </c>
      <c r="I145" t="s">
        <v>271</v>
      </c>
      <c r="J145" s="13">
        <v>0.5</v>
      </c>
      <c r="K145" s="13">
        <v>0.51180555555555551</v>
      </c>
      <c r="L145" s="13">
        <v>0.51736111111111116</v>
      </c>
      <c r="M145">
        <v>30</v>
      </c>
      <c r="N145" s="14">
        <v>65</v>
      </c>
      <c r="O145" t="s">
        <v>195</v>
      </c>
      <c r="P145">
        <v>2</v>
      </c>
      <c r="Q145" t="s">
        <v>262</v>
      </c>
      <c r="R145" t="s">
        <v>263</v>
      </c>
      <c r="S145">
        <v>0</v>
      </c>
      <c r="T145">
        <v>0</v>
      </c>
      <c r="U145" t="s">
        <v>2294</v>
      </c>
      <c r="V145" t="s">
        <v>2295</v>
      </c>
      <c r="W145" t="s">
        <v>2296</v>
      </c>
      <c r="X145" t="s">
        <v>2297</v>
      </c>
      <c r="Y145" t="s">
        <v>2298</v>
      </c>
      <c r="Z145" t="s">
        <v>2306</v>
      </c>
      <c r="AA145">
        <v>7</v>
      </c>
      <c r="AB145" s="14">
        <v>65</v>
      </c>
      <c r="AC145" t="s">
        <v>2307</v>
      </c>
      <c r="AD145" t="s">
        <v>2308</v>
      </c>
      <c r="AE145" t="s">
        <v>2643</v>
      </c>
      <c r="AF145">
        <v>2</v>
      </c>
      <c r="AG145">
        <v>1</v>
      </c>
      <c r="AH145">
        <v>8</v>
      </c>
      <c r="AI145">
        <v>1</v>
      </c>
      <c r="AJ145">
        <v>1</v>
      </c>
      <c r="AK145">
        <v>0</v>
      </c>
      <c r="AL145">
        <v>1</v>
      </c>
      <c r="AM145" s="14">
        <v>0</v>
      </c>
      <c r="AN145" t="s">
        <v>2644</v>
      </c>
      <c r="AO145" s="12">
        <v>46023</v>
      </c>
      <c r="AP145">
        <v>2026</v>
      </c>
      <c r="AQ145">
        <v>1</v>
      </c>
      <c r="AR145" t="s">
        <v>2645</v>
      </c>
    </row>
    <row r="146" spans="1:44">
      <c r="A146" t="s">
        <v>858</v>
      </c>
      <c r="B146" s="12">
        <v>46039</v>
      </c>
      <c r="C146" s="12">
        <v>46009</v>
      </c>
      <c r="D146" t="s">
        <v>820</v>
      </c>
      <c r="E146" t="s">
        <v>268</v>
      </c>
      <c r="F146" t="s">
        <v>297</v>
      </c>
      <c r="G146" t="s">
        <v>628</v>
      </c>
      <c r="H146" t="s">
        <v>115</v>
      </c>
      <c r="I146" t="s">
        <v>316</v>
      </c>
      <c r="J146" s="13">
        <v>0.64583333333333337</v>
      </c>
      <c r="K146" s="13">
        <v>0.65694444444444444</v>
      </c>
      <c r="L146" s="13">
        <v>0.6479166666666667</v>
      </c>
      <c r="M146">
        <v>45</v>
      </c>
      <c r="N146" s="14">
        <v>65</v>
      </c>
      <c r="O146" t="s">
        <v>195</v>
      </c>
      <c r="P146">
        <v>4</v>
      </c>
      <c r="Q146" t="s">
        <v>326</v>
      </c>
      <c r="R146" t="s">
        <v>263</v>
      </c>
      <c r="S146">
        <v>0</v>
      </c>
      <c r="T146">
        <v>0</v>
      </c>
      <c r="U146" t="s">
        <v>2285</v>
      </c>
      <c r="V146" t="s">
        <v>2286</v>
      </c>
      <c r="W146" t="s">
        <v>2287</v>
      </c>
      <c r="X146" t="s">
        <v>2288</v>
      </c>
      <c r="Y146" t="s">
        <v>2289</v>
      </c>
      <c r="Z146" t="s">
        <v>2306</v>
      </c>
      <c r="AA146">
        <v>7</v>
      </c>
      <c r="AB146" s="14">
        <v>65</v>
      </c>
      <c r="AC146" t="s">
        <v>2307</v>
      </c>
      <c r="AD146" t="s">
        <v>2308</v>
      </c>
      <c r="AE146" t="s">
        <v>2643</v>
      </c>
      <c r="AF146">
        <v>30</v>
      </c>
      <c r="AG146">
        <v>0</v>
      </c>
      <c r="AJ146">
        <v>1</v>
      </c>
      <c r="AK146">
        <v>0</v>
      </c>
      <c r="AL146">
        <v>1</v>
      </c>
      <c r="AM146" s="14">
        <v>0</v>
      </c>
      <c r="AN146" t="s">
        <v>2644</v>
      </c>
      <c r="AO146" s="12">
        <v>46023</v>
      </c>
      <c r="AP146">
        <v>2026</v>
      </c>
      <c r="AQ146">
        <v>1</v>
      </c>
      <c r="AR146" t="s">
        <v>2645</v>
      </c>
    </row>
    <row r="147" spans="1:44">
      <c r="A147" t="s">
        <v>861</v>
      </c>
      <c r="B147" s="12">
        <v>46026</v>
      </c>
      <c r="C147" s="12">
        <v>46021</v>
      </c>
      <c r="D147" t="s">
        <v>551</v>
      </c>
      <c r="E147" t="s">
        <v>255</v>
      </c>
      <c r="F147" t="s">
        <v>256</v>
      </c>
      <c r="G147" t="s">
        <v>398</v>
      </c>
      <c r="H147" t="s">
        <v>122</v>
      </c>
      <c r="I147" t="s">
        <v>316</v>
      </c>
      <c r="J147" s="13">
        <v>0.54166666666666663</v>
      </c>
      <c r="K147" s="13"/>
      <c r="L147" s="13"/>
      <c r="M147">
        <v>0</v>
      </c>
      <c r="N147" s="14">
        <v>95</v>
      </c>
      <c r="O147" t="s">
        <v>169</v>
      </c>
      <c r="Q147" t="s">
        <v>305</v>
      </c>
      <c r="R147" t="s">
        <v>263</v>
      </c>
      <c r="S147">
        <v>0</v>
      </c>
      <c r="T147">
        <v>0</v>
      </c>
      <c r="U147" t="s">
        <v>2299</v>
      </c>
      <c r="V147" t="s">
        <v>2295</v>
      </c>
      <c r="W147" t="s">
        <v>2300</v>
      </c>
      <c r="X147" t="s">
        <v>2288</v>
      </c>
      <c r="Y147" t="s">
        <v>2301</v>
      </c>
      <c r="Z147" t="s">
        <v>2312</v>
      </c>
      <c r="AA147">
        <v>21</v>
      </c>
      <c r="AB147" s="14">
        <v>95</v>
      </c>
      <c r="AC147" t="s">
        <v>2313</v>
      </c>
      <c r="AD147" t="s">
        <v>2314</v>
      </c>
      <c r="AE147" t="s">
        <v>2643</v>
      </c>
      <c r="AF147">
        <v>5</v>
      </c>
      <c r="AG147">
        <v>1</v>
      </c>
      <c r="AJ147">
        <v>1</v>
      </c>
      <c r="AK147">
        <v>1</v>
      </c>
      <c r="AL147">
        <v>1</v>
      </c>
      <c r="AM147" s="14">
        <v>0</v>
      </c>
      <c r="AN147" t="s">
        <v>2644</v>
      </c>
      <c r="AO147" s="12">
        <v>46023</v>
      </c>
      <c r="AP147">
        <v>2026</v>
      </c>
      <c r="AQ147">
        <v>1</v>
      </c>
      <c r="AR147" t="s">
        <v>2645</v>
      </c>
    </row>
    <row r="148" spans="1:44">
      <c r="A148" t="s">
        <v>862</v>
      </c>
      <c r="B148" s="12">
        <v>46041</v>
      </c>
      <c r="C148" s="12">
        <v>46036</v>
      </c>
      <c r="D148" t="s">
        <v>682</v>
      </c>
      <c r="E148" t="s">
        <v>281</v>
      </c>
      <c r="F148" t="s">
        <v>282</v>
      </c>
      <c r="G148" t="s">
        <v>446</v>
      </c>
      <c r="H148" t="s">
        <v>466</v>
      </c>
      <c r="I148" t="s">
        <v>258</v>
      </c>
      <c r="J148" s="13">
        <v>0.41666666666666669</v>
      </c>
      <c r="K148" s="13"/>
      <c r="L148" s="13"/>
      <c r="M148">
        <v>0</v>
      </c>
      <c r="N148" s="14">
        <v>120</v>
      </c>
      <c r="O148" t="s">
        <v>195</v>
      </c>
      <c r="Q148" t="s">
        <v>262</v>
      </c>
      <c r="R148" t="s">
        <v>263</v>
      </c>
      <c r="S148">
        <v>0</v>
      </c>
      <c r="T148">
        <v>0</v>
      </c>
      <c r="U148" t="s">
        <v>2290</v>
      </c>
      <c r="V148" t="s">
        <v>2291</v>
      </c>
      <c r="W148" t="s">
        <v>2292</v>
      </c>
      <c r="X148" t="s">
        <v>2288</v>
      </c>
      <c r="Y148" t="s">
        <v>2293</v>
      </c>
      <c r="Z148" t="s">
        <v>2309</v>
      </c>
      <c r="AA148">
        <v>14</v>
      </c>
      <c r="AB148" s="14">
        <v>120</v>
      </c>
      <c r="AC148" t="s">
        <v>2310</v>
      </c>
      <c r="AD148" t="s">
        <v>2311</v>
      </c>
      <c r="AE148" t="s">
        <v>2643</v>
      </c>
      <c r="AF148">
        <v>5</v>
      </c>
      <c r="AG148">
        <v>1</v>
      </c>
      <c r="AJ148">
        <v>0</v>
      </c>
      <c r="AL148">
        <v>1</v>
      </c>
      <c r="AM148" s="14">
        <v>0</v>
      </c>
      <c r="AN148" t="s">
        <v>2644</v>
      </c>
      <c r="AO148" s="12">
        <v>46023</v>
      </c>
      <c r="AP148">
        <v>2026</v>
      </c>
      <c r="AQ148">
        <v>1</v>
      </c>
      <c r="AR148" t="s">
        <v>2645</v>
      </c>
    </row>
    <row r="149" spans="1:44">
      <c r="A149" t="s">
        <v>863</v>
      </c>
      <c r="B149" s="12">
        <v>46052</v>
      </c>
      <c r="C149" s="12">
        <v>46025</v>
      </c>
      <c r="D149" t="s">
        <v>795</v>
      </c>
      <c r="E149" t="s">
        <v>268</v>
      </c>
      <c r="F149" t="s">
        <v>282</v>
      </c>
      <c r="G149" t="s">
        <v>524</v>
      </c>
      <c r="H149" t="s">
        <v>115</v>
      </c>
      <c r="I149" t="s">
        <v>271</v>
      </c>
      <c r="J149" s="13">
        <v>0.35416666666666669</v>
      </c>
      <c r="K149" s="13">
        <v>0.35069444444444442</v>
      </c>
      <c r="L149" s="13">
        <v>0.36319444444444443</v>
      </c>
      <c r="M149">
        <v>60</v>
      </c>
      <c r="O149" t="s">
        <v>195</v>
      </c>
      <c r="P149">
        <v>5</v>
      </c>
      <c r="Q149" t="s">
        <v>262</v>
      </c>
      <c r="R149" t="s">
        <v>263</v>
      </c>
      <c r="S149">
        <v>0</v>
      </c>
      <c r="T149">
        <v>0</v>
      </c>
      <c r="U149" t="s">
        <v>2285</v>
      </c>
      <c r="V149" t="s">
        <v>2286</v>
      </c>
      <c r="W149" t="s">
        <v>2287</v>
      </c>
      <c r="X149" t="s">
        <v>2288</v>
      </c>
      <c r="Y149" t="s">
        <v>2289</v>
      </c>
      <c r="Z149" t="s">
        <v>2309</v>
      </c>
      <c r="AA149">
        <v>14</v>
      </c>
      <c r="AB149" s="14">
        <v>120</v>
      </c>
      <c r="AC149" t="s">
        <v>2310</v>
      </c>
      <c r="AD149" t="s">
        <v>2311</v>
      </c>
      <c r="AE149" t="s">
        <v>2643</v>
      </c>
      <c r="AF149">
        <v>27</v>
      </c>
      <c r="AG149">
        <v>0</v>
      </c>
      <c r="AH149">
        <v>18</v>
      </c>
      <c r="AI149">
        <v>1</v>
      </c>
      <c r="AJ149">
        <v>1</v>
      </c>
      <c r="AK149">
        <v>0</v>
      </c>
      <c r="AL149">
        <v>0</v>
      </c>
      <c r="AN149" t="s">
        <v>2648</v>
      </c>
      <c r="AO149" s="12">
        <v>46023</v>
      </c>
      <c r="AP149">
        <v>2026</v>
      </c>
      <c r="AQ149">
        <v>1</v>
      </c>
      <c r="AR149" t="s">
        <v>2645</v>
      </c>
    </row>
    <row r="150" spans="1:44">
      <c r="A150" t="s">
        <v>864</v>
      </c>
      <c r="B150" s="12">
        <v>46038</v>
      </c>
      <c r="C150" s="12">
        <v>45995</v>
      </c>
      <c r="D150" t="s">
        <v>865</v>
      </c>
      <c r="E150" t="s">
        <v>339</v>
      </c>
      <c r="F150" t="s">
        <v>256</v>
      </c>
      <c r="G150" t="s">
        <v>345</v>
      </c>
      <c r="H150" t="s">
        <v>115</v>
      </c>
      <c r="I150" t="s">
        <v>271</v>
      </c>
      <c r="J150" s="13">
        <v>0.64583333333333337</v>
      </c>
      <c r="K150" s="13">
        <v>0.64444444444444449</v>
      </c>
      <c r="L150" s="13">
        <v>0.64583333333333337</v>
      </c>
      <c r="M150">
        <v>45</v>
      </c>
      <c r="N150" s="14">
        <v>95</v>
      </c>
      <c r="O150" t="s">
        <v>169</v>
      </c>
      <c r="P150">
        <v>5</v>
      </c>
      <c r="Q150" t="s">
        <v>305</v>
      </c>
      <c r="R150" t="s">
        <v>263</v>
      </c>
      <c r="S150">
        <v>0</v>
      </c>
      <c r="T150">
        <v>0</v>
      </c>
      <c r="U150" t="s">
        <v>2294</v>
      </c>
      <c r="V150" t="s">
        <v>2295</v>
      </c>
      <c r="W150" t="s">
        <v>2296</v>
      </c>
      <c r="X150" t="s">
        <v>2297</v>
      </c>
      <c r="Y150" t="s">
        <v>2298</v>
      </c>
      <c r="Z150" t="s">
        <v>2312</v>
      </c>
      <c r="AA150">
        <v>21</v>
      </c>
      <c r="AB150" s="14">
        <v>95</v>
      </c>
      <c r="AC150" t="s">
        <v>2313</v>
      </c>
      <c r="AD150" t="s">
        <v>2314</v>
      </c>
      <c r="AE150" t="s">
        <v>2643</v>
      </c>
      <c r="AF150">
        <v>43</v>
      </c>
      <c r="AG150">
        <v>0</v>
      </c>
      <c r="AH150">
        <v>2</v>
      </c>
      <c r="AI150">
        <v>1</v>
      </c>
      <c r="AJ150">
        <v>1</v>
      </c>
      <c r="AK150">
        <v>0</v>
      </c>
      <c r="AL150">
        <v>1</v>
      </c>
      <c r="AM150" s="14">
        <v>0</v>
      </c>
      <c r="AN150" t="s">
        <v>2644</v>
      </c>
      <c r="AO150" s="12">
        <v>46023</v>
      </c>
      <c r="AP150">
        <v>2026</v>
      </c>
      <c r="AQ150">
        <v>1</v>
      </c>
      <c r="AR150" t="s">
        <v>2645</v>
      </c>
    </row>
    <row r="151" spans="1:44">
      <c r="A151" t="s">
        <v>867</v>
      </c>
      <c r="B151" s="12">
        <v>46034</v>
      </c>
      <c r="C151" s="12">
        <v>46020</v>
      </c>
      <c r="D151" t="s">
        <v>727</v>
      </c>
      <c r="E151" t="s">
        <v>339</v>
      </c>
      <c r="F151" t="s">
        <v>297</v>
      </c>
      <c r="G151" t="s">
        <v>780</v>
      </c>
      <c r="H151" t="s">
        <v>122</v>
      </c>
      <c r="I151" t="s">
        <v>271</v>
      </c>
      <c r="J151" s="13">
        <v>0.4375</v>
      </c>
      <c r="K151" s="13"/>
      <c r="L151" s="13"/>
      <c r="M151">
        <v>0</v>
      </c>
      <c r="N151" s="14">
        <v>65</v>
      </c>
      <c r="O151" t="s">
        <v>195</v>
      </c>
      <c r="Q151" t="s">
        <v>318</v>
      </c>
      <c r="R151" t="s">
        <v>263</v>
      </c>
      <c r="S151">
        <v>0</v>
      </c>
      <c r="T151">
        <v>0</v>
      </c>
      <c r="U151" t="s">
        <v>2294</v>
      </c>
      <c r="V151" t="s">
        <v>2295</v>
      </c>
      <c r="W151" t="s">
        <v>2296</v>
      </c>
      <c r="X151" t="s">
        <v>2297</v>
      </c>
      <c r="Y151" t="s">
        <v>2298</v>
      </c>
      <c r="Z151" t="s">
        <v>2306</v>
      </c>
      <c r="AA151">
        <v>7</v>
      </c>
      <c r="AB151" s="14">
        <v>65</v>
      </c>
      <c r="AC151" t="s">
        <v>2307</v>
      </c>
      <c r="AD151" t="s">
        <v>2308</v>
      </c>
      <c r="AE151" t="s">
        <v>2643</v>
      </c>
      <c r="AF151">
        <v>14</v>
      </c>
      <c r="AG151">
        <v>0</v>
      </c>
      <c r="AJ151">
        <v>1</v>
      </c>
      <c r="AK151">
        <v>1</v>
      </c>
      <c r="AL151">
        <v>1</v>
      </c>
      <c r="AM151" s="14">
        <v>0</v>
      </c>
      <c r="AN151" t="s">
        <v>2644</v>
      </c>
      <c r="AO151" s="12">
        <v>46023</v>
      </c>
      <c r="AP151">
        <v>2026</v>
      </c>
      <c r="AQ151">
        <v>1</v>
      </c>
      <c r="AR151" t="s">
        <v>2645</v>
      </c>
    </row>
    <row r="152" spans="1:44">
      <c r="A152" t="s">
        <v>868</v>
      </c>
      <c r="B152" s="12">
        <v>46048</v>
      </c>
      <c r="C152" s="12">
        <v>45996</v>
      </c>
      <c r="D152" t="s">
        <v>397</v>
      </c>
      <c r="E152" t="s">
        <v>268</v>
      </c>
      <c r="F152" t="s">
        <v>256</v>
      </c>
      <c r="G152" t="s">
        <v>419</v>
      </c>
      <c r="H152" t="s">
        <v>115</v>
      </c>
      <c r="I152" t="s">
        <v>299</v>
      </c>
      <c r="J152" s="13">
        <v>0.41666666666666669</v>
      </c>
      <c r="K152" s="13">
        <v>0.42083333333333334</v>
      </c>
      <c r="L152" s="13">
        <v>0.44097222222222221</v>
      </c>
      <c r="M152">
        <v>60</v>
      </c>
      <c r="N152" s="14">
        <v>95</v>
      </c>
      <c r="O152" t="s">
        <v>195</v>
      </c>
      <c r="P152">
        <v>4</v>
      </c>
      <c r="Q152" t="s">
        <v>285</v>
      </c>
      <c r="R152" t="s">
        <v>263</v>
      </c>
      <c r="S152">
        <v>0</v>
      </c>
      <c r="T152">
        <v>0</v>
      </c>
      <c r="U152" t="s">
        <v>2285</v>
      </c>
      <c r="V152" t="s">
        <v>2286</v>
      </c>
      <c r="W152" t="s">
        <v>2287</v>
      </c>
      <c r="X152" t="s">
        <v>2288</v>
      </c>
      <c r="Y152" t="s">
        <v>2289</v>
      </c>
      <c r="Z152" t="s">
        <v>2312</v>
      </c>
      <c r="AA152">
        <v>21</v>
      </c>
      <c r="AB152" s="14">
        <v>95</v>
      </c>
      <c r="AC152" t="s">
        <v>2313</v>
      </c>
      <c r="AD152" t="s">
        <v>2314</v>
      </c>
      <c r="AE152" t="s">
        <v>2643</v>
      </c>
      <c r="AF152">
        <v>52</v>
      </c>
      <c r="AG152">
        <v>0</v>
      </c>
      <c r="AH152">
        <v>29</v>
      </c>
      <c r="AI152">
        <v>1</v>
      </c>
      <c r="AJ152">
        <v>1</v>
      </c>
      <c r="AK152">
        <v>0</v>
      </c>
      <c r="AL152">
        <v>1</v>
      </c>
      <c r="AM152" s="14">
        <v>0</v>
      </c>
      <c r="AN152" t="s">
        <v>2644</v>
      </c>
      <c r="AO152" s="12">
        <v>46023</v>
      </c>
      <c r="AP152">
        <v>2026</v>
      </c>
      <c r="AQ152">
        <v>1</v>
      </c>
      <c r="AR152" t="s">
        <v>2645</v>
      </c>
    </row>
    <row r="153" spans="1:44">
      <c r="A153" t="s">
        <v>871</v>
      </c>
      <c r="B153" s="12">
        <v>46036</v>
      </c>
      <c r="C153" s="12">
        <v>46020</v>
      </c>
      <c r="D153" t="s">
        <v>872</v>
      </c>
      <c r="E153" t="s">
        <v>268</v>
      </c>
      <c r="F153" t="s">
        <v>282</v>
      </c>
      <c r="G153" t="s">
        <v>505</v>
      </c>
      <c r="H153" t="s">
        <v>115</v>
      </c>
      <c r="I153" t="s">
        <v>299</v>
      </c>
      <c r="J153" s="13">
        <v>0.39583333333333331</v>
      </c>
      <c r="K153" s="13">
        <v>0.38958333333333334</v>
      </c>
      <c r="L153" s="13">
        <v>0.41666666666666669</v>
      </c>
      <c r="M153">
        <v>60</v>
      </c>
      <c r="N153" s="14">
        <v>120</v>
      </c>
      <c r="O153" t="s">
        <v>169</v>
      </c>
      <c r="P153">
        <v>4</v>
      </c>
      <c r="Q153" t="s">
        <v>262</v>
      </c>
      <c r="R153" t="s">
        <v>263</v>
      </c>
      <c r="S153">
        <v>0</v>
      </c>
      <c r="T153">
        <v>0</v>
      </c>
      <c r="U153" t="s">
        <v>2285</v>
      </c>
      <c r="V153" t="s">
        <v>2286</v>
      </c>
      <c r="W153" t="s">
        <v>2287</v>
      </c>
      <c r="X153" t="s">
        <v>2288</v>
      </c>
      <c r="Y153" t="s">
        <v>2289</v>
      </c>
      <c r="Z153" t="s">
        <v>2309</v>
      </c>
      <c r="AA153">
        <v>14</v>
      </c>
      <c r="AB153" s="14">
        <v>120</v>
      </c>
      <c r="AC153" t="s">
        <v>2310</v>
      </c>
      <c r="AD153" t="s">
        <v>2311</v>
      </c>
      <c r="AE153" t="s">
        <v>2643</v>
      </c>
      <c r="AF153">
        <v>16</v>
      </c>
      <c r="AG153">
        <v>0</v>
      </c>
      <c r="AH153">
        <v>39</v>
      </c>
      <c r="AI153">
        <v>0</v>
      </c>
      <c r="AJ153">
        <v>1</v>
      </c>
      <c r="AK153">
        <v>0</v>
      </c>
      <c r="AL153">
        <v>1</v>
      </c>
      <c r="AM153" s="14">
        <v>0</v>
      </c>
      <c r="AN153" t="s">
        <v>2644</v>
      </c>
      <c r="AO153" s="12">
        <v>46023</v>
      </c>
      <c r="AP153">
        <v>2026</v>
      </c>
      <c r="AQ153">
        <v>1</v>
      </c>
      <c r="AR153" t="s">
        <v>2645</v>
      </c>
    </row>
    <row r="154" spans="1:44">
      <c r="A154" t="s">
        <v>874</v>
      </c>
      <c r="B154" s="12">
        <v>46039</v>
      </c>
      <c r="C154" s="12">
        <v>46013</v>
      </c>
      <c r="D154" t="s">
        <v>875</v>
      </c>
      <c r="E154" t="s">
        <v>281</v>
      </c>
      <c r="F154" t="s">
        <v>297</v>
      </c>
      <c r="G154" t="s">
        <v>298</v>
      </c>
      <c r="H154" t="s">
        <v>122</v>
      </c>
      <c r="I154" t="s">
        <v>271</v>
      </c>
      <c r="J154" s="13">
        <v>0.35416666666666669</v>
      </c>
      <c r="K154" s="13"/>
      <c r="L154" s="13"/>
      <c r="M154">
        <v>0</v>
      </c>
      <c r="N154" s="14">
        <v>65</v>
      </c>
      <c r="O154" t="s">
        <v>195</v>
      </c>
      <c r="Q154" t="s">
        <v>326</v>
      </c>
      <c r="R154" t="s">
        <v>263</v>
      </c>
      <c r="S154">
        <v>0</v>
      </c>
      <c r="T154">
        <v>0</v>
      </c>
      <c r="U154" t="s">
        <v>2290</v>
      </c>
      <c r="V154" t="s">
        <v>2291</v>
      </c>
      <c r="W154" t="s">
        <v>2292</v>
      </c>
      <c r="X154" t="s">
        <v>2288</v>
      </c>
      <c r="Y154" t="s">
        <v>2293</v>
      </c>
      <c r="Z154" t="s">
        <v>2306</v>
      </c>
      <c r="AA154">
        <v>7</v>
      </c>
      <c r="AB154" s="14">
        <v>65</v>
      </c>
      <c r="AC154" t="s">
        <v>2307</v>
      </c>
      <c r="AD154" t="s">
        <v>2308</v>
      </c>
      <c r="AE154" t="s">
        <v>2643</v>
      </c>
      <c r="AF154">
        <v>26</v>
      </c>
      <c r="AG154">
        <v>0</v>
      </c>
      <c r="AJ154">
        <v>1</v>
      </c>
      <c r="AK154">
        <v>1</v>
      </c>
      <c r="AL154">
        <v>1</v>
      </c>
      <c r="AM154" s="14">
        <v>0</v>
      </c>
      <c r="AN154" t="s">
        <v>2644</v>
      </c>
      <c r="AO154" s="12">
        <v>46023</v>
      </c>
      <c r="AP154">
        <v>2026</v>
      </c>
      <c r="AQ154">
        <v>1</v>
      </c>
      <c r="AR154" t="s">
        <v>2645</v>
      </c>
    </row>
    <row r="155" spans="1:44">
      <c r="A155" t="s">
        <v>876</v>
      </c>
      <c r="B155" s="12">
        <v>46050</v>
      </c>
      <c r="C155" s="12">
        <v>46016</v>
      </c>
      <c r="D155" t="s">
        <v>877</v>
      </c>
      <c r="E155" t="s">
        <v>339</v>
      </c>
      <c r="F155" t="s">
        <v>409</v>
      </c>
      <c r="G155" t="s">
        <v>476</v>
      </c>
      <c r="H155" t="s">
        <v>115</v>
      </c>
      <c r="I155" t="s">
        <v>271</v>
      </c>
      <c r="J155" s="13">
        <v>0.58333333333333337</v>
      </c>
      <c r="K155" s="13">
        <v>0.58472222222222225</v>
      </c>
      <c r="L155" s="13">
        <v>0.5854166666666667</v>
      </c>
      <c r="M155">
        <v>60</v>
      </c>
      <c r="N155" s="14">
        <v>150</v>
      </c>
      <c r="O155" t="s">
        <v>169</v>
      </c>
      <c r="P155">
        <v>5</v>
      </c>
      <c r="Q155" t="s">
        <v>305</v>
      </c>
      <c r="R155" t="s">
        <v>263</v>
      </c>
      <c r="S155">
        <v>0</v>
      </c>
      <c r="T155">
        <v>0</v>
      </c>
      <c r="U155" t="s">
        <v>2294</v>
      </c>
      <c r="V155" t="s">
        <v>2295</v>
      </c>
      <c r="W155" t="s">
        <v>2296</v>
      </c>
      <c r="X155" t="s">
        <v>2297</v>
      </c>
      <c r="Y155" t="s">
        <v>2298</v>
      </c>
      <c r="Z155" t="s">
        <v>2318</v>
      </c>
      <c r="AA155">
        <v>28</v>
      </c>
      <c r="AB155" s="14">
        <v>150</v>
      </c>
      <c r="AC155" t="s">
        <v>2319</v>
      </c>
      <c r="AD155" t="s">
        <v>2320</v>
      </c>
      <c r="AE155" t="s">
        <v>2643</v>
      </c>
      <c r="AF155">
        <v>34</v>
      </c>
      <c r="AG155">
        <v>0</v>
      </c>
      <c r="AH155">
        <v>1</v>
      </c>
      <c r="AI155">
        <v>1</v>
      </c>
      <c r="AJ155">
        <v>1</v>
      </c>
      <c r="AK155">
        <v>0</v>
      </c>
      <c r="AL155">
        <v>1</v>
      </c>
      <c r="AM155" s="14">
        <v>0</v>
      </c>
      <c r="AN155" t="s">
        <v>2644</v>
      </c>
      <c r="AO155" s="12">
        <v>46023</v>
      </c>
      <c r="AP155">
        <v>2026</v>
      </c>
      <c r="AQ155">
        <v>1</v>
      </c>
      <c r="AR155" t="s">
        <v>2645</v>
      </c>
    </row>
    <row r="156" spans="1:44">
      <c r="A156" t="s">
        <v>878</v>
      </c>
      <c r="B156" s="12">
        <v>46048</v>
      </c>
      <c r="C156" s="12">
        <v>46036</v>
      </c>
      <c r="D156" t="s">
        <v>879</v>
      </c>
      <c r="E156" t="s">
        <v>255</v>
      </c>
      <c r="F156" t="s">
        <v>256</v>
      </c>
      <c r="G156" t="s">
        <v>257</v>
      </c>
      <c r="H156" t="s">
        <v>115</v>
      </c>
      <c r="I156" t="s">
        <v>316</v>
      </c>
      <c r="J156" s="13">
        <v>0.35416666666666669</v>
      </c>
      <c r="K156" s="13">
        <v>0.34722222222222221</v>
      </c>
      <c r="L156" s="13">
        <v>0.37569444444444444</v>
      </c>
      <c r="M156">
        <v>30</v>
      </c>
      <c r="N156" s="14">
        <v>95</v>
      </c>
      <c r="O156" t="s">
        <v>195</v>
      </c>
      <c r="P156">
        <v>5</v>
      </c>
      <c r="Q156" t="s">
        <v>262</v>
      </c>
      <c r="R156" t="s">
        <v>263</v>
      </c>
      <c r="S156">
        <v>0</v>
      </c>
      <c r="T156">
        <v>0</v>
      </c>
      <c r="U156" t="s">
        <v>2299</v>
      </c>
      <c r="V156" t="s">
        <v>2295</v>
      </c>
      <c r="W156" t="s">
        <v>2300</v>
      </c>
      <c r="X156" t="s">
        <v>2288</v>
      </c>
      <c r="Y156" t="s">
        <v>2301</v>
      </c>
      <c r="Z156" t="s">
        <v>2312</v>
      </c>
      <c r="AA156">
        <v>21</v>
      </c>
      <c r="AB156" s="14">
        <v>95</v>
      </c>
      <c r="AC156" t="s">
        <v>2313</v>
      </c>
      <c r="AD156" t="s">
        <v>2314</v>
      </c>
      <c r="AE156" t="s">
        <v>2643</v>
      </c>
      <c r="AF156">
        <v>12</v>
      </c>
      <c r="AG156">
        <v>1</v>
      </c>
      <c r="AH156">
        <v>41</v>
      </c>
      <c r="AI156">
        <v>0</v>
      </c>
      <c r="AJ156">
        <v>1</v>
      </c>
      <c r="AK156">
        <v>0</v>
      </c>
      <c r="AL156">
        <v>1</v>
      </c>
      <c r="AM156" s="14">
        <v>0</v>
      </c>
      <c r="AN156" t="s">
        <v>2644</v>
      </c>
      <c r="AO156" s="12">
        <v>46023</v>
      </c>
      <c r="AP156">
        <v>2026</v>
      </c>
      <c r="AQ156">
        <v>1</v>
      </c>
      <c r="AR156" t="s">
        <v>2645</v>
      </c>
    </row>
    <row r="157" spans="1:44">
      <c r="A157" t="s">
        <v>881</v>
      </c>
      <c r="B157" s="12">
        <v>46042</v>
      </c>
      <c r="C157" s="12">
        <v>46033</v>
      </c>
      <c r="D157" t="s">
        <v>882</v>
      </c>
      <c r="E157" t="s">
        <v>255</v>
      </c>
      <c r="F157" t="s">
        <v>409</v>
      </c>
      <c r="G157" t="s">
        <v>410</v>
      </c>
      <c r="H157" t="s">
        <v>115</v>
      </c>
      <c r="I157" t="s">
        <v>316</v>
      </c>
      <c r="J157" s="13">
        <v>0.54166666666666663</v>
      </c>
      <c r="K157" s="13">
        <v>0.54236111111111107</v>
      </c>
      <c r="L157" s="13">
        <v>0.56319444444444444</v>
      </c>
      <c r="M157">
        <v>45</v>
      </c>
      <c r="N157" s="14">
        <v>150</v>
      </c>
      <c r="O157" t="s">
        <v>195</v>
      </c>
      <c r="P157">
        <v>5</v>
      </c>
      <c r="Q157" t="s">
        <v>305</v>
      </c>
      <c r="R157" t="s">
        <v>263</v>
      </c>
      <c r="S157">
        <v>0</v>
      </c>
      <c r="T157">
        <v>0</v>
      </c>
      <c r="U157" t="s">
        <v>2299</v>
      </c>
      <c r="V157" t="s">
        <v>2295</v>
      </c>
      <c r="W157" t="s">
        <v>2300</v>
      </c>
      <c r="X157" t="s">
        <v>2288</v>
      </c>
      <c r="Y157" t="s">
        <v>2301</v>
      </c>
      <c r="Z157" t="s">
        <v>2318</v>
      </c>
      <c r="AA157">
        <v>28</v>
      </c>
      <c r="AB157" s="14">
        <v>150</v>
      </c>
      <c r="AC157" t="s">
        <v>2319</v>
      </c>
      <c r="AD157" t="s">
        <v>2320</v>
      </c>
      <c r="AE157" t="s">
        <v>2643</v>
      </c>
      <c r="AF157">
        <v>9</v>
      </c>
      <c r="AG157">
        <v>1</v>
      </c>
      <c r="AH157">
        <v>30</v>
      </c>
      <c r="AI157">
        <v>1</v>
      </c>
      <c r="AJ157">
        <v>1</v>
      </c>
      <c r="AK157">
        <v>0</v>
      </c>
      <c r="AL157">
        <v>1</v>
      </c>
      <c r="AM157" s="14">
        <v>0</v>
      </c>
      <c r="AN157" t="s">
        <v>2644</v>
      </c>
      <c r="AO157" s="12">
        <v>46023</v>
      </c>
      <c r="AP157">
        <v>2026</v>
      </c>
      <c r="AQ157">
        <v>1</v>
      </c>
      <c r="AR157" t="s">
        <v>2645</v>
      </c>
    </row>
    <row r="158" spans="1:44">
      <c r="A158" t="s">
        <v>883</v>
      </c>
      <c r="B158" s="12">
        <v>46043</v>
      </c>
      <c r="C158" s="12">
        <v>46039</v>
      </c>
      <c r="D158" t="s">
        <v>741</v>
      </c>
      <c r="E158" t="s">
        <v>339</v>
      </c>
      <c r="G158" t="s">
        <v>476</v>
      </c>
      <c r="H158" t="s">
        <v>115</v>
      </c>
      <c r="I158" t="s">
        <v>258</v>
      </c>
      <c r="J158" s="13">
        <v>0.64583333333333337</v>
      </c>
      <c r="K158" s="13">
        <v>0.65555555555555556</v>
      </c>
      <c r="L158" s="13">
        <v>0.6694444444444444</v>
      </c>
      <c r="M158">
        <v>45</v>
      </c>
      <c r="N158" s="14">
        <v>150</v>
      </c>
      <c r="O158" t="s">
        <v>169</v>
      </c>
      <c r="P158">
        <v>4</v>
      </c>
      <c r="Q158" t="s">
        <v>262</v>
      </c>
      <c r="R158" t="s">
        <v>263</v>
      </c>
      <c r="S158">
        <v>0</v>
      </c>
      <c r="T158">
        <v>1</v>
      </c>
      <c r="U158" t="s">
        <v>2294</v>
      </c>
      <c r="V158" t="s">
        <v>2295</v>
      </c>
      <c r="W158" t="s">
        <v>2296</v>
      </c>
      <c r="X158" t="s">
        <v>2297</v>
      </c>
      <c r="Y158" t="s">
        <v>2298</v>
      </c>
      <c r="AE158" t="s">
        <v>2646</v>
      </c>
      <c r="AF158">
        <v>4</v>
      </c>
      <c r="AH158">
        <v>20</v>
      </c>
      <c r="AI158">
        <v>1</v>
      </c>
      <c r="AJ158">
        <v>1</v>
      </c>
      <c r="AK158">
        <v>0</v>
      </c>
      <c r="AL158">
        <v>1</v>
      </c>
      <c r="AN158" t="s">
        <v>2647</v>
      </c>
      <c r="AO158" s="12">
        <v>46023</v>
      </c>
      <c r="AP158">
        <v>2026</v>
      </c>
      <c r="AQ158">
        <v>1</v>
      </c>
      <c r="AR158" t="s">
        <v>2645</v>
      </c>
    </row>
    <row r="159" spans="1:44">
      <c r="A159" t="s">
        <v>885</v>
      </c>
      <c r="B159" s="12">
        <v>46045</v>
      </c>
      <c r="C159" s="12">
        <v>46026</v>
      </c>
      <c r="D159" t="s">
        <v>280</v>
      </c>
      <c r="E159" t="s">
        <v>268</v>
      </c>
      <c r="F159" t="s">
        <v>256</v>
      </c>
      <c r="G159" t="s">
        <v>886</v>
      </c>
      <c r="H159" t="s">
        <v>115</v>
      </c>
      <c r="I159" t="s">
        <v>299</v>
      </c>
      <c r="J159" s="13">
        <v>0.39583333333333331</v>
      </c>
      <c r="K159" s="13">
        <v>0.39166666666666666</v>
      </c>
      <c r="L159" s="13">
        <v>0.40555555555555556</v>
      </c>
      <c r="M159">
        <v>20</v>
      </c>
      <c r="N159" s="14">
        <v>95</v>
      </c>
      <c r="O159" t="s">
        <v>195</v>
      </c>
      <c r="P159">
        <v>3</v>
      </c>
      <c r="Q159" t="s">
        <v>305</v>
      </c>
      <c r="R159" t="s">
        <v>263</v>
      </c>
      <c r="S159">
        <v>0</v>
      </c>
      <c r="T159">
        <v>0</v>
      </c>
      <c r="U159" t="s">
        <v>2285</v>
      </c>
      <c r="V159" t="s">
        <v>2286</v>
      </c>
      <c r="W159" t="s">
        <v>2287</v>
      </c>
      <c r="X159" t="s">
        <v>2288</v>
      </c>
      <c r="Y159" t="s">
        <v>2289</v>
      </c>
      <c r="Z159" t="s">
        <v>2312</v>
      </c>
      <c r="AA159">
        <v>21</v>
      </c>
      <c r="AB159" s="14">
        <v>95</v>
      </c>
      <c r="AC159" t="s">
        <v>2313</v>
      </c>
      <c r="AD159" t="s">
        <v>2314</v>
      </c>
      <c r="AE159" t="s">
        <v>2643</v>
      </c>
      <c r="AF159">
        <v>19</v>
      </c>
      <c r="AG159">
        <v>1</v>
      </c>
      <c r="AH159">
        <v>20</v>
      </c>
      <c r="AI159">
        <v>1</v>
      </c>
      <c r="AJ159">
        <v>1</v>
      </c>
      <c r="AK159">
        <v>0</v>
      </c>
      <c r="AL159">
        <v>1</v>
      </c>
      <c r="AM159" s="14">
        <v>0</v>
      </c>
      <c r="AN159" t="s">
        <v>2644</v>
      </c>
      <c r="AO159" s="12">
        <v>46023</v>
      </c>
      <c r="AP159">
        <v>2026</v>
      </c>
      <c r="AQ159">
        <v>1</v>
      </c>
      <c r="AR159" t="s">
        <v>2645</v>
      </c>
    </row>
    <row r="160" spans="1:44">
      <c r="A160" t="s">
        <v>889</v>
      </c>
      <c r="B160" s="12">
        <v>46047</v>
      </c>
      <c r="C160" s="12">
        <v>46018</v>
      </c>
      <c r="D160" t="s">
        <v>890</v>
      </c>
      <c r="E160" t="s">
        <v>281</v>
      </c>
      <c r="F160" t="s">
        <v>282</v>
      </c>
      <c r="G160" t="s">
        <v>283</v>
      </c>
      <c r="H160" t="s">
        <v>115</v>
      </c>
      <c r="I160" t="s">
        <v>316</v>
      </c>
      <c r="J160" s="13">
        <v>0.64583333333333337</v>
      </c>
      <c r="K160" s="13">
        <v>0.6430555555555556</v>
      </c>
      <c r="L160" s="13">
        <v>0.67013888888888884</v>
      </c>
      <c r="M160">
        <v>30</v>
      </c>
      <c r="N160" s="14">
        <v>120</v>
      </c>
      <c r="O160" t="s">
        <v>195</v>
      </c>
      <c r="P160">
        <v>2</v>
      </c>
      <c r="Q160" t="s">
        <v>285</v>
      </c>
      <c r="R160" t="s">
        <v>263</v>
      </c>
      <c r="S160">
        <v>0</v>
      </c>
      <c r="T160">
        <v>0</v>
      </c>
      <c r="U160" t="s">
        <v>2290</v>
      </c>
      <c r="V160" t="s">
        <v>2291</v>
      </c>
      <c r="W160" t="s">
        <v>2292</v>
      </c>
      <c r="X160" t="s">
        <v>2288</v>
      </c>
      <c r="Y160" t="s">
        <v>2293</v>
      </c>
      <c r="Z160" t="s">
        <v>2309</v>
      </c>
      <c r="AA160">
        <v>14</v>
      </c>
      <c r="AB160" s="14">
        <v>120</v>
      </c>
      <c r="AC160" t="s">
        <v>2310</v>
      </c>
      <c r="AD160" t="s">
        <v>2311</v>
      </c>
      <c r="AE160" t="s">
        <v>2643</v>
      </c>
      <c r="AF160">
        <v>29</v>
      </c>
      <c r="AG160">
        <v>0</v>
      </c>
      <c r="AH160">
        <v>39</v>
      </c>
      <c r="AI160">
        <v>0</v>
      </c>
      <c r="AJ160">
        <v>1</v>
      </c>
      <c r="AK160">
        <v>0</v>
      </c>
      <c r="AL160">
        <v>1</v>
      </c>
      <c r="AM160" s="14">
        <v>0</v>
      </c>
      <c r="AN160" t="s">
        <v>2644</v>
      </c>
      <c r="AO160" s="12">
        <v>46023</v>
      </c>
      <c r="AP160">
        <v>2026</v>
      </c>
      <c r="AQ160">
        <v>1</v>
      </c>
      <c r="AR160" t="s">
        <v>2645</v>
      </c>
    </row>
    <row r="161" spans="1:44">
      <c r="A161" t="s">
        <v>893</v>
      </c>
      <c r="B161" s="12">
        <v>46069</v>
      </c>
      <c r="C161" s="12">
        <v>46031</v>
      </c>
      <c r="D161" t="s">
        <v>895</v>
      </c>
      <c r="E161" t="s">
        <v>281</v>
      </c>
      <c r="F161" t="s">
        <v>256</v>
      </c>
      <c r="G161" t="s">
        <v>796</v>
      </c>
      <c r="H161" t="s">
        <v>122</v>
      </c>
      <c r="I161" t="s">
        <v>271</v>
      </c>
      <c r="J161" s="13">
        <v>0.60416666666666663</v>
      </c>
      <c r="K161" s="13"/>
      <c r="L161" s="13"/>
      <c r="M161">
        <v>0</v>
      </c>
      <c r="N161" s="14">
        <v>95</v>
      </c>
      <c r="O161" t="s">
        <v>195</v>
      </c>
      <c r="Q161" t="s">
        <v>262</v>
      </c>
      <c r="R161" t="s">
        <v>896</v>
      </c>
      <c r="S161">
        <v>0</v>
      </c>
      <c r="T161">
        <v>0</v>
      </c>
      <c r="U161" t="s">
        <v>2290</v>
      </c>
      <c r="V161" t="s">
        <v>2291</v>
      </c>
      <c r="W161" t="s">
        <v>2292</v>
      </c>
      <c r="X161" t="s">
        <v>2288</v>
      </c>
      <c r="Y161" t="s">
        <v>2293</v>
      </c>
      <c r="Z161" t="s">
        <v>2312</v>
      </c>
      <c r="AA161">
        <v>21</v>
      </c>
      <c r="AB161" s="14">
        <v>95</v>
      </c>
      <c r="AC161" t="s">
        <v>2313</v>
      </c>
      <c r="AD161" t="s">
        <v>2314</v>
      </c>
      <c r="AE161" t="s">
        <v>2643</v>
      </c>
      <c r="AF161">
        <v>38</v>
      </c>
      <c r="AG161">
        <v>0</v>
      </c>
      <c r="AJ161">
        <v>1</v>
      </c>
      <c r="AK161">
        <v>1</v>
      </c>
      <c r="AL161">
        <v>1</v>
      </c>
      <c r="AM161" s="14">
        <v>0</v>
      </c>
      <c r="AN161" t="s">
        <v>2644</v>
      </c>
      <c r="AO161" s="12">
        <v>46054</v>
      </c>
      <c r="AP161">
        <v>2026</v>
      </c>
      <c r="AQ161">
        <v>2</v>
      </c>
      <c r="AR161" t="s">
        <v>2649</v>
      </c>
    </row>
    <row r="162" spans="1:44">
      <c r="A162" t="s">
        <v>897</v>
      </c>
      <c r="B162" s="12">
        <v>46065</v>
      </c>
      <c r="C162" s="12">
        <v>46061</v>
      </c>
      <c r="D162" t="s">
        <v>895</v>
      </c>
      <c r="E162" t="s">
        <v>255</v>
      </c>
      <c r="F162" t="s">
        <v>282</v>
      </c>
      <c r="G162" t="s">
        <v>424</v>
      </c>
      <c r="H162" t="s">
        <v>115</v>
      </c>
      <c r="I162" t="s">
        <v>271</v>
      </c>
      <c r="J162" s="13">
        <v>0.45833333333333331</v>
      </c>
      <c r="K162" s="13">
        <v>0.46250000000000002</v>
      </c>
      <c r="L162" s="13">
        <v>0.47708333333333336</v>
      </c>
      <c r="M162">
        <v>60</v>
      </c>
      <c r="N162" s="14">
        <v>120</v>
      </c>
      <c r="O162" t="s">
        <v>195</v>
      </c>
      <c r="P162">
        <v>5</v>
      </c>
      <c r="Q162" t="s">
        <v>326</v>
      </c>
      <c r="R162" t="s">
        <v>896</v>
      </c>
      <c r="S162">
        <v>0</v>
      </c>
      <c r="T162">
        <v>0</v>
      </c>
      <c r="U162" t="s">
        <v>2299</v>
      </c>
      <c r="V162" t="s">
        <v>2295</v>
      </c>
      <c r="W162" t="s">
        <v>2300</v>
      </c>
      <c r="X162" t="s">
        <v>2288</v>
      </c>
      <c r="Y162" t="s">
        <v>2301</v>
      </c>
      <c r="Z162" t="s">
        <v>2309</v>
      </c>
      <c r="AA162">
        <v>14</v>
      </c>
      <c r="AB162" s="14">
        <v>120</v>
      </c>
      <c r="AC162" t="s">
        <v>2310</v>
      </c>
      <c r="AD162" t="s">
        <v>2311</v>
      </c>
      <c r="AE162" t="s">
        <v>2643</v>
      </c>
      <c r="AF162">
        <v>4</v>
      </c>
      <c r="AG162">
        <v>1</v>
      </c>
      <c r="AH162">
        <v>21</v>
      </c>
      <c r="AI162">
        <v>1</v>
      </c>
      <c r="AJ162">
        <v>1</v>
      </c>
      <c r="AK162">
        <v>0</v>
      </c>
      <c r="AL162">
        <v>1</v>
      </c>
      <c r="AM162" s="14">
        <v>0</v>
      </c>
      <c r="AN162" t="s">
        <v>2644</v>
      </c>
      <c r="AO162" s="12">
        <v>46054</v>
      </c>
      <c r="AP162">
        <v>2026</v>
      </c>
      <c r="AQ162">
        <v>2</v>
      </c>
      <c r="AR162" t="s">
        <v>2649</v>
      </c>
    </row>
    <row r="163" spans="1:44">
      <c r="A163" t="s">
        <v>901</v>
      </c>
      <c r="B163" s="12">
        <v>46080</v>
      </c>
      <c r="C163" s="12">
        <v>46071</v>
      </c>
      <c r="D163" t="s">
        <v>904</v>
      </c>
      <c r="E163" t="s">
        <v>268</v>
      </c>
      <c r="F163" t="s">
        <v>282</v>
      </c>
      <c r="G163" t="s">
        <v>524</v>
      </c>
      <c r="H163" t="s">
        <v>115</v>
      </c>
      <c r="I163" t="s">
        <v>258</v>
      </c>
      <c r="J163" s="13">
        <v>0.5625</v>
      </c>
      <c r="K163" s="13">
        <v>0.55625000000000002</v>
      </c>
      <c r="L163" s="13">
        <v>0.56388888888888888</v>
      </c>
      <c r="M163">
        <v>45</v>
      </c>
      <c r="N163" s="14">
        <v>120</v>
      </c>
      <c r="O163" t="s">
        <v>169</v>
      </c>
      <c r="P163">
        <v>4</v>
      </c>
      <c r="Q163" t="s">
        <v>318</v>
      </c>
      <c r="R163" t="s">
        <v>896</v>
      </c>
      <c r="S163">
        <v>0</v>
      </c>
      <c r="T163">
        <v>0</v>
      </c>
      <c r="U163" t="s">
        <v>2285</v>
      </c>
      <c r="V163" t="s">
        <v>2286</v>
      </c>
      <c r="W163" t="s">
        <v>2287</v>
      </c>
      <c r="X163" t="s">
        <v>2288</v>
      </c>
      <c r="Y163" t="s">
        <v>2289</v>
      </c>
      <c r="Z163" t="s">
        <v>2309</v>
      </c>
      <c r="AA163">
        <v>14</v>
      </c>
      <c r="AB163" s="14">
        <v>120</v>
      </c>
      <c r="AC163" t="s">
        <v>2310</v>
      </c>
      <c r="AD163" t="s">
        <v>2311</v>
      </c>
      <c r="AE163" t="s">
        <v>2643</v>
      </c>
      <c r="AF163">
        <v>9</v>
      </c>
      <c r="AG163">
        <v>1</v>
      </c>
      <c r="AH163">
        <v>11</v>
      </c>
      <c r="AI163">
        <v>1</v>
      </c>
      <c r="AJ163">
        <v>1</v>
      </c>
      <c r="AK163">
        <v>0</v>
      </c>
      <c r="AL163">
        <v>1</v>
      </c>
      <c r="AM163" s="14">
        <v>0</v>
      </c>
      <c r="AN163" t="s">
        <v>2644</v>
      </c>
      <c r="AO163" s="12">
        <v>46054</v>
      </c>
      <c r="AP163">
        <v>2026</v>
      </c>
      <c r="AQ163">
        <v>2</v>
      </c>
      <c r="AR163" t="s">
        <v>2649</v>
      </c>
    </row>
    <row r="164" spans="1:44">
      <c r="A164" t="s">
        <v>907</v>
      </c>
      <c r="B164" s="12">
        <v>46077</v>
      </c>
      <c r="C164" s="12">
        <v>46042</v>
      </c>
      <c r="D164" t="s">
        <v>909</v>
      </c>
      <c r="E164" t="s">
        <v>281</v>
      </c>
      <c r="F164" t="s">
        <v>297</v>
      </c>
      <c r="G164" t="s">
        <v>368</v>
      </c>
      <c r="H164" t="s">
        <v>115</v>
      </c>
      <c r="I164" t="s">
        <v>258</v>
      </c>
      <c r="J164" s="13">
        <v>0.625</v>
      </c>
      <c r="K164" s="13">
        <v>0.62708333333333333</v>
      </c>
      <c r="L164" s="13">
        <v>0.6381944444444444</v>
      </c>
      <c r="M164">
        <v>30</v>
      </c>
      <c r="N164" s="14">
        <v>65</v>
      </c>
      <c r="O164" t="s">
        <v>195</v>
      </c>
      <c r="P164">
        <v>2</v>
      </c>
      <c r="Q164" t="s">
        <v>326</v>
      </c>
      <c r="R164" t="s">
        <v>896</v>
      </c>
      <c r="S164">
        <v>0</v>
      </c>
      <c r="T164">
        <v>0</v>
      </c>
      <c r="U164" t="s">
        <v>2290</v>
      </c>
      <c r="V164" t="s">
        <v>2291</v>
      </c>
      <c r="W164" t="s">
        <v>2292</v>
      </c>
      <c r="X164" t="s">
        <v>2288</v>
      </c>
      <c r="Y164" t="s">
        <v>2293</v>
      </c>
      <c r="Z164" t="s">
        <v>2306</v>
      </c>
      <c r="AA164">
        <v>7</v>
      </c>
      <c r="AB164" s="14">
        <v>65</v>
      </c>
      <c r="AC164" t="s">
        <v>2307</v>
      </c>
      <c r="AD164" t="s">
        <v>2308</v>
      </c>
      <c r="AE164" t="s">
        <v>2643</v>
      </c>
      <c r="AF164">
        <v>35</v>
      </c>
      <c r="AG164">
        <v>0</v>
      </c>
      <c r="AH164">
        <v>16</v>
      </c>
      <c r="AI164">
        <v>1</v>
      </c>
      <c r="AJ164">
        <v>1</v>
      </c>
      <c r="AK164">
        <v>0</v>
      </c>
      <c r="AL164">
        <v>1</v>
      </c>
      <c r="AM164" s="14">
        <v>0</v>
      </c>
      <c r="AN164" t="s">
        <v>2644</v>
      </c>
      <c r="AO164" s="12">
        <v>46054</v>
      </c>
      <c r="AP164">
        <v>2026</v>
      </c>
      <c r="AQ164">
        <v>2</v>
      </c>
      <c r="AR164" t="s">
        <v>2649</v>
      </c>
    </row>
    <row r="165" spans="1:44">
      <c r="A165" t="s">
        <v>912</v>
      </c>
      <c r="B165" s="12">
        <v>46076</v>
      </c>
      <c r="C165" s="12">
        <v>46067</v>
      </c>
      <c r="D165" t="s">
        <v>769</v>
      </c>
      <c r="E165" t="s">
        <v>268</v>
      </c>
      <c r="F165" t="s">
        <v>256</v>
      </c>
      <c r="G165" t="s">
        <v>419</v>
      </c>
      <c r="H165" t="s">
        <v>466</v>
      </c>
      <c r="I165" t="s">
        <v>258</v>
      </c>
      <c r="J165" s="13">
        <v>0.375</v>
      </c>
      <c r="K165" s="13"/>
      <c r="L165" s="13"/>
      <c r="M165">
        <v>0</v>
      </c>
      <c r="N165" s="14">
        <v>95</v>
      </c>
      <c r="O165" t="s">
        <v>195</v>
      </c>
      <c r="Q165" t="s">
        <v>318</v>
      </c>
      <c r="R165" t="s">
        <v>896</v>
      </c>
      <c r="S165">
        <v>0</v>
      </c>
      <c r="T165">
        <v>0</v>
      </c>
      <c r="U165" t="s">
        <v>2285</v>
      </c>
      <c r="V165" t="s">
        <v>2286</v>
      </c>
      <c r="W165" t="s">
        <v>2287</v>
      </c>
      <c r="X165" t="s">
        <v>2288</v>
      </c>
      <c r="Y165" t="s">
        <v>2289</v>
      </c>
      <c r="Z165" t="s">
        <v>2312</v>
      </c>
      <c r="AA165">
        <v>21</v>
      </c>
      <c r="AB165" s="14">
        <v>95</v>
      </c>
      <c r="AC165" t="s">
        <v>2313</v>
      </c>
      <c r="AD165" t="s">
        <v>2314</v>
      </c>
      <c r="AE165" t="s">
        <v>2643</v>
      </c>
      <c r="AF165">
        <v>9</v>
      </c>
      <c r="AG165">
        <v>1</v>
      </c>
      <c r="AJ165">
        <v>0</v>
      </c>
      <c r="AL165">
        <v>1</v>
      </c>
      <c r="AM165" s="14">
        <v>0</v>
      </c>
      <c r="AN165" t="s">
        <v>2644</v>
      </c>
      <c r="AO165" s="12">
        <v>46054</v>
      </c>
      <c r="AP165">
        <v>2026</v>
      </c>
      <c r="AQ165">
        <v>2</v>
      </c>
      <c r="AR165" t="s">
        <v>2649</v>
      </c>
    </row>
    <row r="166" spans="1:44">
      <c r="A166" t="s">
        <v>915</v>
      </c>
      <c r="B166" s="12">
        <v>46076</v>
      </c>
      <c r="C166" s="12">
        <v>46061</v>
      </c>
      <c r="D166" t="s">
        <v>916</v>
      </c>
      <c r="E166" t="s">
        <v>339</v>
      </c>
      <c r="F166" t="s">
        <v>282</v>
      </c>
      <c r="G166" t="s">
        <v>461</v>
      </c>
      <c r="H166" t="s">
        <v>115</v>
      </c>
      <c r="I166" t="s">
        <v>258</v>
      </c>
      <c r="J166" s="13">
        <v>0.52083333333333337</v>
      </c>
      <c r="K166" s="13">
        <v>0.52777777777777779</v>
      </c>
      <c r="L166" s="13">
        <v>0.54027777777777775</v>
      </c>
      <c r="M166">
        <v>20</v>
      </c>
      <c r="N166" s="14">
        <v>120</v>
      </c>
      <c r="O166" t="s">
        <v>195</v>
      </c>
      <c r="P166">
        <v>5</v>
      </c>
      <c r="Q166" t="s">
        <v>318</v>
      </c>
      <c r="R166" t="s">
        <v>896</v>
      </c>
      <c r="S166">
        <v>0</v>
      </c>
      <c r="T166">
        <v>0</v>
      </c>
      <c r="U166" t="s">
        <v>2294</v>
      </c>
      <c r="V166" t="s">
        <v>2295</v>
      </c>
      <c r="W166" t="s">
        <v>2296</v>
      </c>
      <c r="X166" t="s">
        <v>2297</v>
      </c>
      <c r="Y166" t="s">
        <v>2298</v>
      </c>
      <c r="Z166" t="s">
        <v>2309</v>
      </c>
      <c r="AA166">
        <v>14</v>
      </c>
      <c r="AB166" s="14">
        <v>120</v>
      </c>
      <c r="AC166" t="s">
        <v>2310</v>
      </c>
      <c r="AD166" t="s">
        <v>2311</v>
      </c>
      <c r="AE166" t="s">
        <v>2643</v>
      </c>
      <c r="AF166">
        <v>15</v>
      </c>
      <c r="AG166">
        <v>0</v>
      </c>
      <c r="AH166">
        <v>18</v>
      </c>
      <c r="AI166">
        <v>1</v>
      </c>
      <c r="AJ166">
        <v>1</v>
      </c>
      <c r="AK166">
        <v>0</v>
      </c>
      <c r="AL166">
        <v>1</v>
      </c>
      <c r="AM166" s="14">
        <v>0</v>
      </c>
      <c r="AN166" t="s">
        <v>2644</v>
      </c>
      <c r="AO166" s="12">
        <v>46054</v>
      </c>
      <c r="AP166">
        <v>2026</v>
      </c>
      <c r="AQ166">
        <v>2</v>
      </c>
      <c r="AR166" t="s">
        <v>2649</v>
      </c>
    </row>
    <row r="167" spans="1:44">
      <c r="A167" t="s">
        <v>919</v>
      </c>
      <c r="B167" s="12">
        <v>46067</v>
      </c>
      <c r="C167" s="12">
        <v>46058</v>
      </c>
      <c r="D167" t="s">
        <v>921</v>
      </c>
      <c r="E167" t="s">
        <v>268</v>
      </c>
      <c r="F167" t="s">
        <v>256</v>
      </c>
      <c r="G167" t="s">
        <v>886</v>
      </c>
      <c r="H167" t="s">
        <v>115</v>
      </c>
      <c r="I167" t="s">
        <v>299</v>
      </c>
      <c r="J167" s="13">
        <v>0.47916666666666669</v>
      </c>
      <c r="K167" s="13">
        <v>0.47986111111111113</v>
      </c>
      <c r="L167" s="13">
        <v>0.50277777777777777</v>
      </c>
      <c r="M167">
        <v>30</v>
      </c>
      <c r="N167" s="14">
        <v>95</v>
      </c>
      <c r="O167" t="s">
        <v>169</v>
      </c>
      <c r="P167">
        <v>2</v>
      </c>
      <c r="Q167" t="s">
        <v>318</v>
      </c>
      <c r="R167" t="s">
        <v>896</v>
      </c>
      <c r="S167">
        <v>0</v>
      </c>
      <c r="T167">
        <v>0</v>
      </c>
      <c r="U167" t="s">
        <v>2285</v>
      </c>
      <c r="V167" t="s">
        <v>2286</v>
      </c>
      <c r="W167" t="s">
        <v>2287</v>
      </c>
      <c r="X167" t="s">
        <v>2288</v>
      </c>
      <c r="Y167" t="s">
        <v>2289</v>
      </c>
      <c r="Z167" t="s">
        <v>2312</v>
      </c>
      <c r="AA167">
        <v>21</v>
      </c>
      <c r="AB167" s="14">
        <v>95</v>
      </c>
      <c r="AC167" t="s">
        <v>2313</v>
      </c>
      <c r="AD167" t="s">
        <v>2314</v>
      </c>
      <c r="AE167" t="s">
        <v>2643</v>
      </c>
      <c r="AF167">
        <v>9</v>
      </c>
      <c r="AG167">
        <v>1</v>
      </c>
      <c r="AH167">
        <v>33</v>
      </c>
      <c r="AI167">
        <v>0</v>
      </c>
      <c r="AJ167">
        <v>1</v>
      </c>
      <c r="AK167">
        <v>0</v>
      </c>
      <c r="AL167">
        <v>1</v>
      </c>
      <c r="AM167" s="14">
        <v>0</v>
      </c>
      <c r="AN167" t="s">
        <v>2644</v>
      </c>
      <c r="AO167" s="12">
        <v>46054</v>
      </c>
      <c r="AP167">
        <v>2026</v>
      </c>
      <c r="AQ167">
        <v>2</v>
      </c>
      <c r="AR167" t="s">
        <v>2649</v>
      </c>
    </row>
    <row r="168" spans="1:44">
      <c r="A168" t="s">
        <v>923</v>
      </c>
      <c r="B168" s="12">
        <v>46075</v>
      </c>
      <c r="C168" s="12">
        <v>46056</v>
      </c>
      <c r="D168" t="s">
        <v>655</v>
      </c>
      <c r="E168" t="s">
        <v>268</v>
      </c>
      <c r="F168" t="s">
        <v>269</v>
      </c>
      <c r="G168" t="s">
        <v>270</v>
      </c>
      <c r="H168" t="s">
        <v>115</v>
      </c>
      <c r="I168" t="s">
        <v>316</v>
      </c>
      <c r="J168" s="13">
        <v>0.41666666666666669</v>
      </c>
      <c r="K168" s="13">
        <v>0.42083333333333334</v>
      </c>
      <c r="L168" s="13">
        <v>0.42708333333333331</v>
      </c>
      <c r="M168">
        <v>20</v>
      </c>
      <c r="N168" s="14">
        <v>80</v>
      </c>
      <c r="O168" t="s">
        <v>195</v>
      </c>
      <c r="P168">
        <v>5</v>
      </c>
      <c r="Q168" t="s">
        <v>305</v>
      </c>
      <c r="R168" t="s">
        <v>896</v>
      </c>
      <c r="S168">
        <v>0</v>
      </c>
      <c r="T168">
        <v>0</v>
      </c>
      <c r="U168" t="s">
        <v>2285</v>
      </c>
      <c r="V168" t="s">
        <v>2286</v>
      </c>
      <c r="W168" t="s">
        <v>2287</v>
      </c>
      <c r="X168" t="s">
        <v>2288</v>
      </c>
      <c r="Y168" t="s">
        <v>2289</v>
      </c>
      <c r="Z168" t="s">
        <v>2315</v>
      </c>
      <c r="AA168">
        <v>10</v>
      </c>
      <c r="AB168" s="14">
        <v>80</v>
      </c>
      <c r="AC168" t="s">
        <v>2316</v>
      </c>
      <c r="AD168" t="s">
        <v>2317</v>
      </c>
      <c r="AE168" t="s">
        <v>2643</v>
      </c>
      <c r="AF168">
        <v>19</v>
      </c>
      <c r="AG168">
        <v>0</v>
      </c>
      <c r="AH168">
        <v>9</v>
      </c>
      <c r="AI168">
        <v>1</v>
      </c>
      <c r="AJ168">
        <v>1</v>
      </c>
      <c r="AK168">
        <v>0</v>
      </c>
      <c r="AL168">
        <v>1</v>
      </c>
      <c r="AM168" s="14">
        <v>0</v>
      </c>
      <c r="AN168" t="s">
        <v>2644</v>
      </c>
      <c r="AO168" s="12">
        <v>46054</v>
      </c>
      <c r="AP168">
        <v>2026</v>
      </c>
      <c r="AQ168">
        <v>2</v>
      </c>
      <c r="AR168" t="s">
        <v>2649</v>
      </c>
    </row>
    <row r="169" spans="1:44">
      <c r="A169" t="s">
        <v>926</v>
      </c>
      <c r="B169" s="12">
        <v>46056</v>
      </c>
      <c r="C169" s="12">
        <v>46001</v>
      </c>
      <c r="D169" t="s">
        <v>414</v>
      </c>
      <c r="E169" t="s">
        <v>281</v>
      </c>
      <c r="F169" t="s">
        <v>297</v>
      </c>
      <c r="G169" t="s">
        <v>298</v>
      </c>
      <c r="H169" t="s">
        <v>115</v>
      </c>
      <c r="I169" t="s">
        <v>299</v>
      </c>
      <c r="J169" s="13">
        <v>0.35416666666666669</v>
      </c>
      <c r="K169" s="13">
        <v>0.36388888888888887</v>
      </c>
      <c r="L169" s="13">
        <v>0.36180555555555555</v>
      </c>
      <c r="M169">
        <v>20</v>
      </c>
      <c r="N169" s="14">
        <v>65</v>
      </c>
      <c r="O169" t="s">
        <v>195</v>
      </c>
      <c r="P169">
        <v>4</v>
      </c>
      <c r="Q169" t="s">
        <v>326</v>
      </c>
      <c r="R169" t="s">
        <v>896</v>
      </c>
      <c r="S169">
        <v>0</v>
      </c>
      <c r="T169">
        <v>0</v>
      </c>
      <c r="U169" t="s">
        <v>2290</v>
      </c>
      <c r="V169" t="s">
        <v>2291</v>
      </c>
      <c r="W169" t="s">
        <v>2292</v>
      </c>
      <c r="X169" t="s">
        <v>2288</v>
      </c>
      <c r="Y169" t="s">
        <v>2293</v>
      </c>
      <c r="Z169" t="s">
        <v>2306</v>
      </c>
      <c r="AA169">
        <v>7</v>
      </c>
      <c r="AB169" s="14">
        <v>65</v>
      </c>
      <c r="AC169" t="s">
        <v>2307</v>
      </c>
      <c r="AD169" t="s">
        <v>2308</v>
      </c>
      <c r="AE169" t="s">
        <v>2643</v>
      </c>
      <c r="AF169">
        <v>55</v>
      </c>
      <c r="AG169">
        <v>0</v>
      </c>
      <c r="AJ169">
        <v>1</v>
      </c>
      <c r="AK169">
        <v>0</v>
      </c>
      <c r="AL169">
        <v>1</v>
      </c>
      <c r="AM169" s="14">
        <v>0</v>
      </c>
      <c r="AN169" t="s">
        <v>2644</v>
      </c>
      <c r="AO169" s="12">
        <v>46054</v>
      </c>
      <c r="AP169">
        <v>2026</v>
      </c>
      <c r="AQ169">
        <v>2</v>
      </c>
      <c r="AR169" t="s">
        <v>2649</v>
      </c>
    </row>
    <row r="170" spans="1:44">
      <c r="A170" t="s">
        <v>929</v>
      </c>
      <c r="B170" s="12">
        <v>46061</v>
      </c>
      <c r="C170" s="12">
        <v>46024</v>
      </c>
      <c r="D170" t="s">
        <v>930</v>
      </c>
      <c r="E170" t="s">
        <v>281</v>
      </c>
      <c r="F170" t="s">
        <v>282</v>
      </c>
      <c r="G170" t="s">
        <v>446</v>
      </c>
      <c r="H170" t="s">
        <v>115</v>
      </c>
      <c r="I170" t="s">
        <v>316</v>
      </c>
      <c r="J170" s="13">
        <v>0.625</v>
      </c>
      <c r="K170" s="13">
        <v>0.63194444444444442</v>
      </c>
      <c r="L170" s="13">
        <v>0.64236111111111116</v>
      </c>
      <c r="M170">
        <v>45</v>
      </c>
      <c r="N170" s="14">
        <v>120</v>
      </c>
      <c r="O170" t="s">
        <v>195</v>
      </c>
      <c r="P170">
        <v>5</v>
      </c>
      <c r="Q170" t="s">
        <v>285</v>
      </c>
      <c r="R170" t="s">
        <v>896</v>
      </c>
      <c r="S170">
        <v>0</v>
      </c>
      <c r="T170">
        <v>0</v>
      </c>
      <c r="U170" t="s">
        <v>2290</v>
      </c>
      <c r="V170" t="s">
        <v>2291</v>
      </c>
      <c r="W170" t="s">
        <v>2292</v>
      </c>
      <c r="X170" t="s">
        <v>2288</v>
      </c>
      <c r="Y170" t="s">
        <v>2293</v>
      </c>
      <c r="Z170" t="s">
        <v>2309</v>
      </c>
      <c r="AA170">
        <v>14</v>
      </c>
      <c r="AB170" s="14">
        <v>120</v>
      </c>
      <c r="AC170" t="s">
        <v>2310</v>
      </c>
      <c r="AD170" t="s">
        <v>2311</v>
      </c>
      <c r="AE170" t="s">
        <v>2643</v>
      </c>
      <c r="AF170">
        <v>37</v>
      </c>
      <c r="AG170">
        <v>0</v>
      </c>
      <c r="AH170">
        <v>15</v>
      </c>
      <c r="AI170">
        <v>1</v>
      </c>
      <c r="AJ170">
        <v>1</v>
      </c>
      <c r="AK170">
        <v>0</v>
      </c>
      <c r="AL170">
        <v>1</v>
      </c>
      <c r="AM170" s="14">
        <v>0</v>
      </c>
      <c r="AN170" t="s">
        <v>2644</v>
      </c>
      <c r="AO170" s="12">
        <v>46054</v>
      </c>
      <c r="AP170">
        <v>2026</v>
      </c>
      <c r="AQ170">
        <v>2</v>
      </c>
      <c r="AR170" t="s">
        <v>2649</v>
      </c>
    </row>
    <row r="171" spans="1:44">
      <c r="A171" t="s">
        <v>932</v>
      </c>
      <c r="B171" s="12">
        <v>46062</v>
      </c>
      <c r="C171" s="12">
        <v>46012</v>
      </c>
      <c r="D171" t="s">
        <v>934</v>
      </c>
      <c r="E171" t="s">
        <v>339</v>
      </c>
      <c r="F171" t="s">
        <v>297</v>
      </c>
      <c r="G171" t="s">
        <v>569</v>
      </c>
      <c r="H171" t="s">
        <v>115</v>
      </c>
      <c r="I171" t="s">
        <v>258</v>
      </c>
      <c r="J171" s="13">
        <v>0.39583333333333331</v>
      </c>
      <c r="K171" s="13">
        <v>0.38958333333333334</v>
      </c>
      <c r="L171" s="13">
        <v>0.40555555555555556</v>
      </c>
      <c r="M171">
        <v>45</v>
      </c>
      <c r="N171" s="14">
        <v>65</v>
      </c>
      <c r="O171" t="s">
        <v>195</v>
      </c>
      <c r="P171">
        <v>4</v>
      </c>
      <c r="Q171" t="s">
        <v>285</v>
      </c>
      <c r="R171" t="s">
        <v>896</v>
      </c>
      <c r="S171">
        <v>0</v>
      </c>
      <c r="T171">
        <v>0</v>
      </c>
      <c r="U171" t="s">
        <v>2294</v>
      </c>
      <c r="V171" t="s">
        <v>2295</v>
      </c>
      <c r="W171" t="s">
        <v>2296</v>
      </c>
      <c r="X171" t="s">
        <v>2297</v>
      </c>
      <c r="Y171" t="s">
        <v>2298</v>
      </c>
      <c r="Z171" t="s">
        <v>2306</v>
      </c>
      <c r="AA171">
        <v>7</v>
      </c>
      <c r="AB171" s="14">
        <v>65</v>
      </c>
      <c r="AC171" t="s">
        <v>2307</v>
      </c>
      <c r="AD171" t="s">
        <v>2308</v>
      </c>
      <c r="AE171" t="s">
        <v>2643</v>
      </c>
      <c r="AF171">
        <v>50</v>
      </c>
      <c r="AG171">
        <v>0</v>
      </c>
      <c r="AH171">
        <v>23</v>
      </c>
      <c r="AI171">
        <v>1</v>
      </c>
      <c r="AJ171">
        <v>1</v>
      </c>
      <c r="AK171">
        <v>0</v>
      </c>
      <c r="AL171">
        <v>1</v>
      </c>
      <c r="AM171" s="14">
        <v>0</v>
      </c>
      <c r="AN171" t="s">
        <v>2644</v>
      </c>
      <c r="AO171" s="12">
        <v>46054</v>
      </c>
      <c r="AP171">
        <v>2026</v>
      </c>
      <c r="AQ171">
        <v>2</v>
      </c>
      <c r="AR171" t="s">
        <v>2649</v>
      </c>
    </row>
    <row r="172" spans="1:44">
      <c r="A172" t="s">
        <v>935</v>
      </c>
      <c r="B172" s="12">
        <v>46063</v>
      </c>
      <c r="C172" s="12">
        <v>46014</v>
      </c>
      <c r="D172" t="s">
        <v>579</v>
      </c>
      <c r="E172" t="s">
        <v>281</v>
      </c>
      <c r="F172" t="s">
        <v>282</v>
      </c>
      <c r="G172" t="s">
        <v>446</v>
      </c>
      <c r="H172" t="s">
        <v>115</v>
      </c>
      <c r="I172" t="s">
        <v>271</v>
      </c>
      <c r="J172" s="13">
        <v>0.54166666666666663</v>
      </c>
      <c r="K172" s="13">
        <v>0.5493055555555556</v>
      </c>
      <c r="L172" s="13">
        <v>0.56388888888888888</v>
      </c>
      <c r="M172">
        <v>30</v>
      </c>
      <c r="N172" s="14">
        <v>120</v>
      </c>
      <c r="O172" t="s">
        <v>195</v>
      </c>
      <c r="P172">
        <v>4</v>
      </c>
      <c r="Q172" t="s">
        <v>326</v>
      </c>
      <c r="R172" t="s">
        <v>896</v>
      </c>
      <c r="S172">
        <v>0</v>
      </c>
      <c r="T172">
        <v>0</v>
      </c>
      <c r="U172" t="s">
        <v>2290</v>
      </c>
      <c r="V172" t="s">
        <v>2291</v>
      </c>
      <c r="W172" t="s">
        <v>2292</v>
      </c>
      <c r="X172" t="s">
        <v>2288</v>
      </c>
      <c r="Y172" t="s">
        <v>2293</v>
      </c>
      <c r="Z172" t="s">
        <v>2309</v>
      </c>
      <c r="AA172">
        <v>14</v>
      </c>
      <c r="AB172" s="14">
        <v>120</v>
      </c>
      <c r="AC172" t="s">
        <v>2310</v>
      </c>
      <c r="AD172" t="s">
        <v>2311</v>
      </c>
      <c r="AE172" t="s">
        <v>2643</v>
      </c>
      <c r="AF172">
        <v>49</v>
      </c>
      <c r="AG172">
        <v>0</v>
      </c>
      <c r="AH172">
        <v>21</v>
      </c>
      <c r="AI172">
        <v>1</v>
      </c>
      <c r="AJ172">
        <v>1</v>
      </c>
      <c r="AK172">
        <v>0</v>
      </c>
      <c r="AL172">
        <v>1</v>
      </c>
      <c r="AM172" s="14">
        <v>0</v>
      </c>
      <c r="AN172" t="s">
        <v>2644</v>
      </c>
      <c r="AO172" s="12">
        <v>46054</v>
      </c>
      <c r="AP172">
        <v>2026</v>
      </c>
      <c r="AQ172">
        <v>2</v>
      </c>
      <c r="AR172" t="s">
        <v>2649</v>
      </c>
    </row>
    <row r="173" spans="1:44">
      <c r="A173" t="s">
        <v>938</v>
      </c>
      <c r="B173" s="12">
        <v>46079</v>
      </c>
      <c r="C173" s="12">
        <v>46055</v>
      </c>
      <c r="D173" t="s">
        <v>941</v>
      </c>
      <c r="E173" t="s">
        <v>255</v>
      </c>
      <c r="F173" t="s">
        <v>269</v>
      </c>
      <c r="G173" t="s">
        <v>542</v>
      </c>
      <c r="H173" t="s">
        <v>115</v>
      </c>
      <c r="I173" t="s">
        <v>271</v>
      </c>
      <c r="J173" s="13">
        <v>0.375</v>
      </c>
      <c r="K173" s="13">
        <v>0.37986111111111109</v>
      </c>
      <c r="L173" s="13">
        <v>0.37708333333333333</v>
      </c>
      <c r="M173">
        <v>30</v>
      </c>
      <c r="N173" s="14">
        <v>80</v>
      </c>
      <c r="O173" t="s">
        <v>195</v>
      </c>
      <c r="P173">
        <v>2</v>
      </c>
      <c r="Q173" t="s">
        <v>262</v>
      </c>
      <c r="R173" t="s">
        <v>896</v>
      </c>
      <c r="S173">
        <v>0</v>
      </c>
      <c r="T173">
        <v>0</v>
      </c>
      <c r="U173" t="s">
        <v>2299</v>
      </c>
      <c r="V173" t="s">
        <v>2295</v>
      </c>
      <c r="W173" t="s">
        <v>2300</v>
      </c>
      <c r="X173" t="s">
        <v>2288</v>
      </c>
      <c r="Y173" t="s">
        <v>2301</v>
      </c>
      <c r="Z173" t="s">
        <v>2315</v>
      </c>
      <c r="AA173">
        <v>10</v>
      </c>
      <c r="AB173" s="14">
        <v>80</v>
      </c>
      <c r="AC173" t="s">
        <v>2316</v>
      </c>
      <c r="AD173" t="s">
        <v>2317</v>
      </c>
      <c r="AE173" t="s">
        <v>2643</v>
      </c>
      <c r="AF173">
        <v>24</v>
      </c>
      <c r="AG173">
        <v>0</v>
      </c>
      <c r="AJ173">
        <v>1</v>
      </c>
      <c r="AK173">
        <v>0</v>
      </c>
      <c r="AL173">
        <v>1</v>
      </c>
      <c r="AM173" s="14">
        <v>0</v>
      </c>
      <c r="AN173" t="s">
        <v>2644</v>
      </c>
      <c r="AO173" s="12">
        <v>46054</v>
      </c>
      <c r="AP173">
        <v>2026</v>
      </c>
      <c r="AQ173">
        <v>2</v>
      </c>
      <c r="AR173" t="s">
        <v>2649</v>
      </c>
    </row>
    <row r="174" spans="1:44">
      <c r="A174" t="s">
        <v>944</v>
      </c>
      <c r="B174" s="12">
        <v>46057</v>
      </c>
      <c r="C174" s="12">
        <v>46039</v>
      </c>
      <c r="D174" t="s">
        <v>946</v>
      </c>
      <c r="E174" t="s">
        <v>268</v>
      </c>
      <c r="F174" t="s">
        <v>269</v>
      </c>
      <c r="G174" t="s">
        <v>270</v>
      </c>
      <c r="H174" t="s">
        <v>115</v>
      </c>
      <c r="I174" t="s">
        <v>316</v>
      </c>
      <c r="J174" s="13">
        <v>0.35416666666666669</v>
      </c>
      <c r="K174" s="13">
        <v>0.34722222222222221</v>
      </c>
      <c r="L174" s="13">
        <v>0.35972222222222222</v>
      </c>
      <c r="M174">
        <v>30</v>
      </c>
      <c r="N174" s="14">
        <v>80</v>
      </c>
      <c r="O174" t="s">
        <v>195</v>
      </c>
      <c r="P174">
        <v>3</v>
      </c>
      <c r="Q174" t="s">
        <v>318</v>
      </c>
      <c r="R174" t="s">
        <v>896</v>
      </c>
      <c r="S174">
        <v>0</v>
      </c>
      <c r="T174">
        <v>0</v>
      </c>
      <c r="U174" t="s">
        <v>2285</v>
      </c>
      <c r="V174" t="s">
        <v>2286</v>
      </c>
      <c r="W174" t="s">
        <v>2287</v>
      </c>
      <c r="X174" t="s">
        <v>2288</v>
      </c>
      <c r="Y174" t="s">
        <v>2289</v>
      </c>
      <c r="Z174" t="s">
        <v>2315</v>
      </c>
      <c r="AA174">
        <v>10</v>
      </c>
      <c r="AB174" s="14">
        <v>80</v>
      </c>
      <c r="AC174" t="s">
        <v>2316</v>
      </c>
      <c r="AD174" t="s">
        <v>2317</v>
      </c>
      <c r="AE174" t="s">
        <v>2643</v>
      </c>
      <c r="AF174">
        <v>18</v>
      </c>
      <c r="AG174">
        <v>0</v>
      </c>
      <c r="AH174">
        <v>18</v>
      </c>
      <c r="AI174">
        <v>1</v>
      </c>
      <c r="AJ174">
        <v>1</v>
      </c>
      <c r="AK174">
        <v>0</v>
      </c>
      <c r="AL174">
        <v>1</v>
      </c>
      <c r="AM174" s="14">
        <v>0</v>
      </c>
      <c r="AN174" t="s">
        <v>2644</v>
      </c>
      <c r="AO174" s="12">
        <v>46054</v>
      </c>
      <c r="AP174">
        <v>2026</v>
      </c>
      <c r="AQ174">
        <v>2</v>
      </c>
      <c r="AR174" t="s">
        <v>2649</v>
      </c>
    </row>
    <row r="175" spans="1:44">
      <c r="A175" t="s">
        <v>947</v>
      </c>
      <c r="B175" s="12">
        <v>46064</v>
      </c>
      <c r="C175" s="12">
        <v>46029</v>
      </c>
      <c r="D175" t="s">
        <v>523</v>
      </c>
      <c r="E175" t="s">
        <v>339</v>
      </c>
      <c r="F175" t="s">
        <v>256</v>
      </c>
      <c r="G175" t="s">
        <v>403</v>
      </c>
      <c r="H175" t="s">
        <v>115</v>
      </c>
      <c r="I175" t="s">
        <v>258</v>
      </c>
      <c r="J175" s="13">
        <v>0.375</v>
      </c>
      <c r="K175" s="13">
        <v>0.38333333333333336</v>
      </c>
      <c r="L175" s="13">
        <v>0.37777777777777777</v>
      </c>
      <c r="M175">
        <v>45</v>
      </c>
      <c r="N175" s="14">
        <v>95</v>
      </c>
      <c r="O175" t="s">
        <v>195</v>
      </c>
      <c r="P175">
        <v>4</v>
      </c>
      <c r="Q175" t="s">
        <v>285</v>
      </c>
      <c r="R175" t="s">
        <v>896</v>
      </c>
      <c r="S175">
        <v>0</v>
      </c>
      <c r="T175">
        <v>0</v>
      </c>
      <c r="U175" t="s">
        <v>2294</v>
      </c>
      <c r="V175" t="s">
        <v>2295</v>
      </c>
      <c r="W175" t="s">
        <v>2296</v>
      </c>
      <c r="X175" t="s">
        <v>2297</v>
      </c>
      <c r="Y175" t="s">
        <v>2298</v>
      </c>
      <c r="Z175" t="s">
        <v>2312</v>
      </c>
      <c r="AA175">
        <v>21</v>
      </c>
      <c r="AB175" s="14">
        <v>95</v>
      </c>
      <c r="AC175" t="s">
        <v>2313</v>
      </c>
      <c r="AD175" t="s">
        <v>2314</v>
      </c>
      <c r="AE175" t="s">
        <v>2643</v>
      </c>
      <c r="AF175">
        <v>35</v>
      </c>
      <c r="AG175">
        <v>0</v>
      </c>
      <c r="AJ175">
        <v>1</v>
      </c>
      <c r="AK175">
        <v>0</v>
      </c>
      <c r="AL175">
        <v>1</v>
      </c>
      <c r="AM175" s="14">
        <v>0</v>
      </c>
      <c r="AN175" t="s">
        <v>2644</v>
      </c>
      <c r="AO175" s="12">
        <v>46054</v>
      </c>
      <c r="AP175">
        <v>2026</v>
      </c>
      <c r="AQ175">
        <v>2</v>
      </c>
      <c r="AR175" t="s">
        <v>2649</v>
      </c>
    </row>
    <row r="176" spans="1:44">
      <c r="A176" t="s">
        <v>950</v>
      </c>
      <c r="B176" s="12">
        <v>46061</v>
      </c>
      <c r="C176" s="12">
        <v>46018</v>
      </c>
      <c r="D176" t="s">
        <v>951</v>
      </c>
      <c r="E176" t="s">
        <v>281</v>
      </c>
      <c r="F176" t="s">
        <v>256</v>
      </c>
      <c r="G176" t="s">
        <v>429</v>
      </c>
      <c r="H176" t="s">
        <v>122</v>
      </c>
      <c r="I176" t="s">
        <v>299</v>
      </c>
      <c r="J176" s="13">
        <v>0.33333333333333331</v>
      </c>
      <c r="K176" s="13"/>
      <c r="L176" s="13"/>
      <c r="M176">
        <v>0</v>
      </c>
      <c r="N176" s="14">
        <v>95</v>
      </c>
      <c r="O176" t="s">
        <v>195</v>
      </c>
      <c r="Q176" t="s">
        <v>262</v>
      </c>
      <c r="R176" t="s">
        <v>896</v>
      </c>
      <c r="S176">
        <v>0</v>
      </c>
      <c r="T176">
        <v>0</v>
      </c>
      <c r="U176" t="s">
        <v>2290</v>
      </c>
      <c r="V176" t="s">
        <v>2291</v>
      </c>
      <c r="W176" t="s">
        <v>2292</v>
      </c>
      <c r="X176" t="s">
        <v>2288</v>
      </c>
      <c r="Y176" t="s">
        <v>2293</v>
      </c>
      <c r="Z176" t="s">
        <v>2312</v>
      </c>
      <c r="AA176">
        <v>21</v>
      </c>
      <c r="AB176" s="14">
        <v>95</v>
      </c>
      <c r="AC176" t="s">
        <v>2313</v>
      </c>
      <c r="AD176" t="s">
        <v>2314</v>
      </c>
      <c r="AE176" t="s">
        <v>2643</v>
      </c>
      <c r="AF176">
        <v>43</v>
      </c>
      <c r="AG176">
        <v>0</v>
      </c>
      <c r="AJ176">
        <v>1</v>
      </c>
      <c r="AK176">
        <v>1</v>
      </c>
      <c r="AL176">
        <v>1</v>
      </c>
      <c r="AM176" s="14">
        <v>0</v>
      </c>
      <c r="AN176" t="s">
        <v>2644</v>
      </c>
      <c r="AO176" s="12">
        <v>46054</v>
      </c>
      <c r="AP176">
        <v>2026</v>
      </c>
      <c r="AQ176">
        <v>2</v>
      </c>
      <c r="AR176" t="s">
        <v>2649</v>
      </c>
    </row>
    <row r="177" spans="1:44">
      <c r="A177" t="s">
        <v>952</v>
      </c>
      <c r="B177" s="12">
        <v>46064</v>
      </c>
      <c r="C177" s="12">
        <v>46018</v>
      </c>
      <c r="D177" t="s">
        <v>946</v>
      </c>
      <c r="E177" t="s">
        <v>281</v>
      </c>
      <c r="F177" t="s">
        <v>269</v>
      </c>
      <c r="G177" t="s">
        <v>363</v>
      </c>
      <c r="H177" t="s">
        <v>115</v>
      </c>
      <c r="I177" t="s">
        <v>299</v>
      </c>
      <c r="J177" s="13">
        <v>0.66666666666666663</v>
      </c>
      <c r="K177" s="13">
        <v>0.67013888888888884</v>
      </c>
      <c r="L177" s="13">
        <v>0.67291666666666672</v>
      </c>
      <c r="M177">
        <v>60</v>
      </c>
      <c r="N177" s="14">
        <v>80</v>
      </c>
      <c r="O177" t="s">
        <v>169</v>
      </c>
      <c r="P177">
        <v>4</v>
      </c>
      <c r="Q177" t="s">
        <v>326</v>
      </c>
      <c r="R177" t="s">
        <v>896</v>
      </c>
      <c r="S177">
        <v>0</v>
      </c>
      <c r="T177">
        <v>0</v>
      </c>
      <c r="U177" t="s">
        <v>2290</v>
      </c>
      <c r="V177" t="s">
        <v>2291</v>
      </c>
      <c r="W177" t="s">
        <v>2292</v>
      </c>
      <c r="X177" t="s">
        <v>2288</v>
      </c>
      <c r="Y177" t="s">
        <v>2293</v>
      </c>
      <c r="Z177" t="s">
        <v>2315</v>
      </c>
      <c r="AA177">
        <v>10</v>
      </c>
      <c r="AB177" s="14">
        <v>80</v>
      </c>
      <c r="AC177" t="s">
        <v>2316</v>
      </c>
      <c r="AD177" t="s">
        <v>2317</v>
      </c>
      <c r="AE177" t="s">
        <v>2643</v>
      </c>
      <c r="AF177">
        <v>46</v>
      </c>
      <c r="AG177">
        <v>0</v>
      </c>
      <c r="AH177">
        <v>4</v>
      </c>
      <c r="AI177">
        <v>1</v>
      </c>
      <c r="AJ177">
        <v>1</v>
      </c>
      <c r="AK177">
        <v>0</v>
      </c>
      <c r="AL177">
        <v>1</v>
      </c>
      <c r="AM177" s="14">
        <v>0</v>
      </c>
      <c r="AN177" t="s">
        <v>2644</v>
      </c>
      <c r="AO177" s="12">
        <v>46054</v>
      </c>
      <c r="AP177">
        <v>2026</v>
      </c>
      <c r="AQ177">
        <v>2</v>
      </c>
      <c r="AR177" t="s">
        <v>2649</v>
      </c>
    </row>
    <row r="178" spans="1:44">
      <c r="A178" t="s">
        <v>953</v>
      </c>
      <c r="B178" s="12">
        <v>46070</v>
      </c>
      <c r="C178" s="12">
        <v>46025</v>
      </c>
      <c r="D178" t="s">
        <v>791</v>
      </c>
      <c r="E178" t="s">
        <v>281</v>
      </c>
      <c r="F178" t="s">
        <v>409</v>
      </c>
      <c r="G178" t="s">
        <v>496</v>
      </c>
      <c r="H178" t="s">
        <v>127</v>
      </c>
      <c r="I178" t="s">
        <v>271</v>
      </c>
      <c r="J178" s="13">
        <v>0.66666666666666663</v>
      </c>
      <c r="K178" s="13"/>
      <c r="L178" s="13"/>
      <c r="M178">
        <v>0</v>
      </c>
      <c r="N178" s="14">
        <v>150</v>
      </c>
      <c r="O178" t="s">
        <v>169</v>
      </c>
      <c r="Q178" t="s">
        <v>262</v>
      </c>
      <c r="R178" t="s">
        <v>896</v>
      </c>
      <c r="S178">
        <v>0</v>
      </c>
      <c r="T178">
        <v>0</v>
      </c>
      <c r="U178" t="s">
        <v>2290</v>
      </c>
      <c r="V178" t="s">
        <v>2291</v>
      </c>
      <c r="W178" t="s">
        <v>2292</v>
      </c>
      <c r="X178" t="s">
        <v>2288</v>
      </c>
      <c r="Y178" t="s">
        <v>2293</v>
      </c>
      <c r="Z178" t="s">
        <v>2318</v>
      </c>
      <c r="AA178">
        <v>28</v>
      </c>
      <c r="AB178" s="14">
        <v>150</v>
      </c>
      <c r="AC178" t="s">
        <v>2319</v>
      </c>
      <c r="AD178" t="s">
        <v>2320</v>
      </c>
      <c r="AE178" t="s">
        <v>2643</v>
      </c>
      <c r="AF178">
        <v>45</v>
      </c>
      <c r="AG178">
        <v>0</v>
      </c>
      <c r="AJ178">
        <v>0</v>
      </c>
      <c r="AL178">
        <v>1</v>
      </c>
      <c r="AM178" s="14">
        <v>0</v>
      </c>
      <c r="AN178" t="s">
        <v>2644</v>
      </c>
      <c r="AO178" s="12">
        <v>46054</v>
      </c>
      <c r="AP178">
        <v>2026</v>
      </c>
      <c r="AQ178">
        <v>2</v>
      </c>
      <c r="AR178" t="s">
        <v>2649</v>
      </c>
    </row>
    <row r="179" spans="1:44">
      <c r="A179" t="s">
        <v>955</v>
      </c>
      <c r="B179" s="12">
        <v>46067</v>
      </c>
      <c r="C179" s="12">
        <v>46014</v>
      </c>
      <c r="D179" t="s">
        <v>418</v>
      </c>
      <c r="E179" t="s">
        <v>339</v>
      </c>
      <c r="F179" t="s">
        <v>269</v>
      </c>
      <c r="G179" t="s">
        <v>528</v>
      </c>
      <c r="H179" t="s">
        <v>122</v>
      </c>
      <c r="I179" t="s">
        <v>258</v>
      </c>
      <c r="J179" s="13">
        <v>0.66666666666666663</v>
      </c>
      <c r="K179" s="13"/>
      <c r="L179" s="13"/>
      <c r="M179">
        <v>0</v>
      </c>
      <c r="N179" s="14">
        <v>80</v>
      </c>
      <c r="O179" t="s">
        <v>169</v>
      </c>
      <c r="Q179" t="s">
        <v>326</v>
      </c>
      <c r="R179" t="s">
        <v>896</v>
      </c>
      <c r="S179">
        <v>0</v>
      </c>
      <c r="T179">
        <v>0</v>
      </c>
      <c r="U179" t="s">
        <v>2294</v>
      </c>
      <c r="V179" t="s">
        <v>2295</v>
      </c>
      <c r="W179" t="s">
        <v>2296</v>
      </c>
      <c r="X179" t="s">
        <v>2297</v>
      </c>
      <c r="Y179" t="s">
        <v>2298</v>
      </c>
      <c r="Z179" t="s">
        <v>2315</v>
      </c>
      <c r="AA179">
        <v>10</v>
      </c>
      <c r="AB179" s="14">
        <v>80</v>
      </c>
      <c r="AC179" t="s">
        <v>2316</v>
      </c>
      <c r="AD179" t="s">
        <v>2317</v>
      </c>
      <c r="AE179" t="s">
        <v>2643</v>
      </c>
      <c r="AF179">
        <v>53</v>
      </c>
      <c r="AG179">
        <v>0</v>
      </c>
      <c r="AJ179">
        <v>1</v>
      </c>
      <c r="AK179">
        <v>1</v>
      </c>
      <c r="AL179">
        <v>1</v>
      </c>
      <c r="AM179" s="14">
        <v>0</v>
      </c>
      <c r="AN179" t="s">
        <v>2644</v>
      </c>
      <c r="AO179" s="12">
        <v>46054</v>
      </c>
      <c r="AP179">
        <v>2026</v>
      </c>
      <c r="AQ179">
        <v>2</v>
      </c>
      <c r="AR179" t="s">
        <v>2649</v>
      </c>
    </row>
    <row r="180" spans="1:44">
      <c r="A180" t="s">
        <v>956</v>
      </c>
      <c r="B180" s="12">
        <v>46061</v>
      </c>
      <c r="C180" s="12">
        <v>46060</v>
      </c>
      <c r="D180" t="s">
        <v>958</v>
      </c>
      <c r="E180" t="s">
        <v>268</v>
      </c>
      <c r="F180" t="s">
        <v>409</v>
      </c>
      <c r="G180" t="s">
        <v>587</v>
      </c>
      <c r="H180" t="s">
        <v>466</v>
      </c>
      <c r="I180" t="s">
        <v>299</v>
      </c>
      <c r="J180" s="13">
        <v>0.47916666666666669</v>
      </c>
      <c r="K180" s="13"/>
      <c r="L180" s="13"/>
      <c r="M180">
        <v>0</v>
      </c>
      <c r="N180" s="14">
        <v>150</v>
      </c>
      <c r="O180" t="s">
        <v>195</v>
      </c>
      <c r="Q180" t="s">
        <v>318</v>
      </c>
      <c r="R180" t="s">
        <v>896</v>
      </c>
      <c r="S180">
        <v>0</v>
      </c>
      <c r="T180">
        <v>0</v>
      </c>
      <c r="U180" t="s">
        <v>2285</v>
      </c>
      <c r="V180" t="s">
        <v>2286</v>
      </c>
      <c r="W180" t="s">
        <v>2287</v>
      </c>
      <c r="X180" t="s">
        <v>2288</v>
      </c>
      <c r="Y180" t="s">
        <v>2289</v>
      </c>
      <c r="Z180" t="s">
        <v>2318</v>
      </c>
      <c r="AA180">
        <v>28</v>
      </c>
      <c r="AB180" s="14">
        <v>150</v>
      </c>
      <c r="AC180" t="s">
        <v>2319</v>
      </c>
      <c r="AD180" t="s">
        <v>2320</v>
      </c>
      <c r="AE180" t="s">
        <v>2643</v>
      </c>
      <c r="AF180">
        <v>1</v>
      </c>
      <c r="AG180">
        <v>1</v>
      </c>
      <c r="AJ180">
        <v>0</v>
      </c>
      <c r="AL180">
        <v>1</v>
      </c>
      <c r="AM180" s="14">
        <v>0</v>
      </c>
      <c r="AN180" t="s">
        <v>2644</v>
      </c>
      <c r="AO180" s="12">
        <v>46054</v>
      </c>
      <c r="AP180">
        <v>2026</v>
      </c>
      <c r="AQ180">
        <v>2</v>
      </c>
      <c r="AR180" t="s">
        <v>2649</v>
      </c>
    </row>
    <row r="181" spans="1:44">
      <c r="A181" t="s">
        <v>959</v>
      </c>
      <c r="B181" s="12">
        <v>46067</v>
      </c>
      <c r="C181" s="12">
        <v>46054</v>
      </c>
      <c r="D181" t="s">
        <v>296</v>
      </c>
      <c r="E181" t="s">
        <v>255</v>
      </c>
      <c r="F181" t="s">
        <v>269</v>
      </c>
      <c r="G181" t="s">
        <v>391</v>
      </c>
      <c r="H181" t="s">
        <v>122</v>
      </c>
      <c r="I181" t="s">
        <v>271</v>
      </c>
      <c r="J181" s="13">
        <v>0.66666666666666663</v>
      </c>
      <c r="K181" s="13"/>
      <c r="L181" s="13"/>
      <c r="M181">
        <v>0</v>
      </c>
      <c r="N181" s="14">
        <v>80</v>
      </c>
      <c r="O181" t="s">
        <v>169</v>
      </c>
      <c r="Q181" t="s">
        <v>285</v>
      </c>
      <c r="R181" t="s">
        <v>896</v>
      </c>
      <c r="S181">
        <v>0</v>
      </c>
      <c r="T181">
        <v>0</v>
      </c>
      <c r="U181" t="s">
        <v>2299</v>
      </c>
      <c r="V181" t="s">
        <v>2295</v>
      </c>
      <c r="W181" t="s">
        <v>2300</v>
      </c>
      <c r="X181" t="s">
        <v>2288</v>
      </c>
      <c r="Y181" t="s">
        <v>2301</v>
      </c>
      <c r="Z181" t="s">
        <v>2315</v>
      </c>
      <c r="AA181">
        <v>10</v>
      </c>
      <c r="AB181" s="14">
        <v>80</v>
      </c>
      <c r="AC181" t="s">
        <v>2316</v>
      </c>
      <c r="AD181" t="s">
        <v>2317</v>
      </c>
      <c r="AE181" t="s">
        <v>2643</v>
      </c>
      <c r="AF181">
        <v>13</v>
      </c>
      <c r="AG181">
        <v>0</v>
      </c>
      <c r="AJ181">
        <v>1</v>
      </c>
      <c r="AK181">
        <v>1</v>
      </c>
      <c r="AL181">
        <v>1</v>
      </c>
      <c r="AM181" s="14">
        <v>0</v>
      </c>
      <c r="AN181" t="s">
        <v>2644</v>
      </c>
      <c r="AO181" s="12">
        <v>46054</v>
      </c>
      <c r="AP181">
        <v>2026</v>
      </c>
      <c r="AQ181">
        <v>2</v>
      </c>
      <c r="AR181" t="s">
        <v>2649</v>
      </c>
    </row>
    <row r="182" spans="1:44">
      <c r="A182" t="s">
        <v>961</v>
      </c>
      <c r="B182" s="12">
        <v>46059</v>
      </c>
      <c r="C182" s="12">
        <v>46029</v>
      </c>
      <c r="D182" t="s">
        <v>963</v>
      </c>
      <c r="E182" t="s">
        <v>268</v>
      </c>
      <c r="F182" t="s">
        <v>256</v>
      </c>
      <c r="G182" t="s">
        <v>886</v>
      </c>
      <c r="H182" t="s">
        <v>122</v>
      </c>
      <c r="I182" t="s">
        <v>316</v>
      </c>
      <c r="J182" s="13">
        <v>0.5</v>
      </c>
      <c r="K182" s="13"/>
      <c r="L182" s="13"/>
      <c r="M182">
        <v>0</v>
      </c>
      <c r="N182" s="14">
        <v>95</v>
      </c>
      <c r="O182" t="s">
        <v>169</v>
      </c>
      <c r="Q182" t="s">
        <v>305</v>
      </c>
      <c r="R182" t="s">
        <v>896</v>
      </c>
      <c r="S182">
        <v>0</v>
      </c>
      <c r="T182">
        <v>0</v>
      </c>
      <c r="U182" t="s">
        <v>2285</v>
      </c>
      <c r="V182" t="s">
        <v>2286</v>
      </c>
      <c r="W182" t="s">
        <v>2287</v>
      </c>
      <c r="X182" t="s">
        <v>2288</v>
      </c>
      <c r="Y182" t="s">
        <v>2289</v>
      </c>
      <c r="Z182" t="s">
        <v>2312</v>
      </c>
      <c r="AA182">
        <v>21</v>
      </c>
      <c r="AB182" s="14">
        <v>95</v>
      </c>
      <c r="AC182" t="s">
        <v>2313</v>
      </c>
      <c r="AD182" t="s">
        <v>2314</v>
      </c>
      <c r="AE182" t="s">
        <v>2643</v>
      </c>
      <c r="AF182">
        <v>30</v>
      </c>
      <c r="AG182">
        <v>0</v>
      </c>
      <c r="AJ182">
        <v>1</v>
      </c>
      <c r="AK182">
        <v>1</v>
      </c>
      <c r="AL182">
        <v>1</v>
      </c>
      <c r="AM182" s="14">
        <v>0</v>
      </c>
      <c r="AN182" t="s">
        <v>2644</v>
      </c>
      <c r="AO182" s="12">
        <v>46054</v>
      </c>
      <c r="AP182">
        <v>2026</v>
      </c>
      <c r="AQ182">
        <v>2</v>
      </c>
      <c r="AR182" t="s">
        <v>2649</v>
      </c>
    </row>
    <row r="183" spans="1:44">
      <c r="A183" t="s">
        <v>964</v>
      </c>
      <c r="B183" s="12">
        <v>46063</v>
      </c>
      <c r="C183" s="12">
        <v>46061</v>
      </c>
      <c r="D183" t="s">
        <v>594</v>
      </c>
      <c r="E183" t="s">
        <v>255</v>
      </c>
      <c r="F183" t="s">
        <v>282</v>
      </c>
      <c r="G183" t="s">
        <v>424</v>
      </c>
      <c r="H183" t="s">
        <v>115</v>
      </c>
      <c r="I183" t="s">
        <v>316</v>
      </c>
      <c r="J183" s="13">
        <v>0.5</v>
      </c>
      <c r="K183" s="13">
        <v>0.50694444444444442</v>
      </c>
      <c r="L183" s="13">
        <v>0.51180555555555551</v>
      </c>
      <c r="M183">
        <v>60</v>
      </c>
      <c r="N183" s="14">
        <v>120</v>
      </c>
      <c r="O183" t="s">
        <v>195</v>
      </c>
      <c r="P183">
        <v>5</v>
      </c>
      <c r="Q183" t="s">
        <v>318</v>
      </c>
      <c r="R183" t="s">
        <v>896</v>
      </c>
      <c r="S183">
        <v>0</v>
      </c>
      <c r="T183">
        <v>0</v>
      </c>
      <c r="U183" t="s">
        <v>2299</v>
      </c>
      <c r="V183" t="s">
        <v>2295</v>
      </c>
      <c r="W183" t="s">
        <v>2300</v>
      </c>
      <c r="X183" t="s">
        <v>2288</v>
      </c>
      <c r="Y183" t="s">
        <v>2301</v>
      </c>
      <c r="Z183" t="s">
        <v>2309</v>
      </c>
      <c r="AA183">
        <v>14</v>
      </c>
      <c r="AB183" s="14">
        <v>120</v>
      </c>
      <c r="AC183" t="s">
        <v>2310</v>
      </c>
      <c r="AD183" t="s">
        <v>2311</v>
      </c>
      <c r="AE183" t="s">
        <v>2643</v>
      </c>
      <c r="AF183">
        <v>2</v>
      </c>
      <c r="AG183">
        <v>1</v>
      </c>
      <c r="AH183">
        <v>7</v>
      </c>
      <c r="AI183">
        <v>1</v>
      </c>
      <c r="AJ183">
        <v>1</v>
      </c>
      <c r="AK183">
        <v>0</v>
      </c>
      <c r="AL183">
        <v>1</v>
      </c>
      <c r="AM183" s="14">
        <v>0</v>
      </c>
      <c r="AN183" t="s">
        <v>2644</v>
      </c>
      <c r="AO183" s="12">
        <v>46054</v>
      </c>
      <c r="AP183">
        <v>2026</v>
      </c>
      <c r="AQ183">
        <v>2</v>
      </c>
      <c r="AR183" t="s">
        <v>2649</v>
      </c>
    </row>
    <row r="184" spans="1:44">
      <c r="A184" t="s">
        <v>966</v>
      </c>
      <c r="B184" s="12">
        <v>46071</v>
      </c>
      <c r="C184" s="12">
        <v>46029</v>
      </c>
      <c r="D184" t="s">
        <v>967</v>
      </c>
      <c r="E184" t="s">
        <v>281</v>
      </c>
      <c r="F184" t="s">
        <v>269</v>
      </c>
      <c r="G184" t="s">
        <v>322</v>
      </c>
      <c r="H184" t="s">
        <v>127</v>
      </c>
      <c r="I184" t="s">
        <v>258</v>
      </c>
      <c r="J184" s="13">
        <v>0.60416666666666663</v>
      </c>
      <c r="K184" s="13"/>
      <c r="L184" s="13"/>
      <c r="M184">
        <v>0</v>
      </c>
      <c r="N184" s="14">
        <v>80</v>
      </c>
      <c r="O184" t="s">
        <v>195</v>
      </c>
      <c r="Q184" t="s">
        <v>326</v>
      </c>
      <c r="R184" t="s">
        <v>896</v>
      </c>
      <c r="S184">
        <v>0</v>
      </c>
      <c r="T184">
        <v>0</v>
      </c>
      <c r="U184" t="s">
        <v>2290</v>
      </c>
      <c r="V184" t="s">
        <v>2291</v>
      </c>
      <c r="W184" t="s">
        <v>2292</v>
      </c>
      <c r="X184" t="s">
        <v>2288</v>
      </c>
      <c r="Y184" t="s">
        <v>2293</v>
      </c>
      <c r="Z184" t="s">
        <v>2315</v>
      </c>
      <c r="AA184">
        <v>10</v>
      </c>
      <c r="AB184" s="14">
        <v>80</v>
      </c>
      <c r="AC184" t="s">
        <v>2316</v>
      </c>
      <c r="AD184" t="s">
        <v>2317</v>
      </c>
      <c r="AE184" t="s">
        <v>2643</v>
      </c>
      <c r="AF184">
        <v>42</v>
      </c>
      <c r="AG184">
        <v>0</v>
      </c>
      <c r="AJ184">
        <v>0</v>
      </c>
      <c r="AL184">
        <v>1</v>
      </c>
      <c r="AM184" s="14">
        <v>0</v>
      </c>
      <c r="AN184" t="s">
        <v>2644</v>
      </c>
      <c r="AO184" s="12">
        <v>46054</v>
      </c>
      <c r="AP184">
        <v>2026</v>
      </c>
      <c r="AQ184">
        <v>2</v>
      </c>
      <c r="AR184" t="s">
        <v>2649</v>
      </c>
    </row>
    <row r="185" spans="1:44">
      <c r="A185" t="s">
        <v>968</v>
      </c>
      <c r="B185" s="12">
        <v>46063</v>
      </c>
      <c r="C185" s="12">
        <v>46017</v>
      </c>
      <c r="D185" t="s">
        <v>441</v>
      </c>
      <c r="E185" t="s">
        <v>281</v>
      </c>
      <c r="F185" t="s">
        <v>297</v>
      </c>
      <c r="G185" t="s">
        <v>368</v>
      </c>
      <c r="H185" t="s">
        <v>115</v>
      </c>
      <c r="I185" t="s">
        <v>271</v>
      </c>
      <c r="J185" s="13">
        <v>0.375</v>
      </c>
      <c r="K185" s="13">
        <v>0.37430555555555556</v>
      </c>
      <c r="L185" s="13">
        <v>0.39027777777777778</v>
      </c>
      <c r="M185">
        <v>30</v>
      </c>
      <c r="N185" s="14">
        <v>65</v>
      </c>
      <c r="O185" t="s">
        <v>195</v>
      </c>
      <c r="P185">
        <v>3</v>
      </c>
      <c r="Q185" t="s">
        <v>318</v>
      </c>
      <c r="R185" t="s">
        <v>896</v>
      </c>
      <c r="S185">
        <v>0</v>
      </c>
      <c r="T185">
        <v>0</v>
      </c>
      <c r="U185" t="s">
        <v>2290</v>
      </c>
      <c r="V185" t="s">
        <v>2291</v>
      </c>
      <c r="W185" t="s">
        <v>2292</v>
      </c>
      <c r="X185" t="s">
        <v>2288</v>
      </c>
      <c r="Y185" t="s">
        <v>2293</v>
      </c>
      <c r="Z185" t="s">
        <v>2306</v>
      </c>
      <c r="AA185">
        <v>7</v>
      </c>
      <c r="AB185" s="14">
        <v>65</v>
      </c>
      <c r="AC185" t="s">
        <v>2307</v>
      </c>
      <c r="AD185" t="s">
        <v>2308</v>
      </c>
      <c r="AE185" t="s">
        <v>2643</v>
      </c>
      <c r="AF185">
        <v>46</v>
      </c>
      <c r="AG185">
        <v>0</v>
      </c>
      <c r="AH185">
        <v>23</v>
      </c>
      <c r="AI185">
        <v>1</v>
      </c>
      <c r="AJ185">
        <v>1</v>
      </c>
      <c r="AK185">
        <v>0</v>
      </c>
      <c r="AL185">
        <v>1</v>
      </c>
      <c r="AM185" s="14">
        <v>0</v>
      </c>
      <c r="AN185" t="s">
        <v>2644</v>
      </c>
      <c r="AO185" s="12">
        <v>46054</v>
      </c>
      <c r="AP185">
        <v>2026</v>
      </c>
      <c r="AQ185">
        <v>2</v>
      </c>
      <c r="AR185" t="s">
        <v>2649</v>
      </c>
    </row>
    <row r="186" spans="1:44">
      <c r="A186" t="s">
        <v>969</v>
      </c>
      <c r="B186" s="12">
        <v>46059</v>
      </c>
      <c r="C186" s="12">
        <v>46030</v>
      </c>
      <c r="D186" t="s">
        <v>970</v>
      </c>
      <c r="E186" t="s">
        <v>268</v>
      </c>
      <c r="F186" t="s">
        <v>409</v>
      </c>
      <c r="G186" t="s">
        <v>552</v>
      </c>
      <c r="H186" t="s">
        <v>115</v>
      </c>
      <c r="I186" t="s">
        <v>271</v>
      </c>
      <c r="J186" s="13">
        <v>0.625</v>
      </c>
      <c r="K186" s="13">
        <v>0.62986111111111109</v>
      </c>
      <c r="L186" s="13">
        <v>0.65138888888888891</v>
      </c>
      <c r="M186">
        <v>20</v>
      </c>
      <c r="N186" s="14">
        <v>150</v>
      </c>
      <c r="O186" t="s">
        <v>169</v>
      </c>
      <c r="P186">
        <v>4</v>
      </c>
      <c r="Q186" t="s">
        <v>318</v>
      </c>
      <c r="R186" t="s">
        <v>896</v>
      </c>
      <c r="S186">
        <v>0</v>
      </c>
      <c r="T186">
        <v>0</v>
      </c>
      <c r="U186" t="s">
        <v>2285</v>
      </c>
      <c r="V186" t="s">
        <v>2286</v>
      </c>
      <c r="W186" t="s">
        <v>2287</v>
      </c>
      <c r="X186" t="s">
        <v>2288</v>
      </c>
      <c r="Y186" t="s">
        <v>2289</v>
      </c>
      <c r="Z186" t="s">
        <v>2318</v>
      </c>
      <c r="AA186">
        <v>28</v>
      </c>
      <c r="AB186" s="14">
        <v>150</v>
      </c>
      <c r="AC186" t="s">
        <v>2319</v>
      </c>
      <c r="AD186" t="s">
        <v>2320</v>
      </c>
      <c r="AE186" t="s">
        <v>2643</v>
      </c>
      <c r="AF186">
        <v>29</v>
      </c>
      <c r="AG186">
        <v>0</v>
      </c>
      <c r="AH186">
        <v>31</v>
      </c>
      <c r="AI186">
        <v>0</v>
      </c>
      <c r="AJ186">
        <v>1</v>
      </c>
      <c r="AK186">
        <v>0</v>
      </c>
      <c r="AL186">
        <v>1</v>
      </c>
      <c r="AM186" s="14">
        <v>0</v>
      </c>
      <c r="AN186" t="s">
        <v>2644</v>
      </c>
      <c r="AO186" s="12">
        <v>46054</v>
      </c>
      <c r="AP186">
        <v>2026</v>
      </c>
      <c r="AQ186">
        <v>2</v>
      </c>
      <c r="AR186" t="s">
        <v>2649</v>
      </c>
    </row>
    <row r="187" spans="1:44">
      <c r="A187" t="s">
        <v>973</v>
      </c>
      <c r="B187" s="12">
        <v>46073</v>
      </c>
      <c r="C187" s="12">
        <v>46027</v>
      </c>
      <c r="D187" t="s">
        <v>872</v>
      </c>
      <c r="E187" t="s">
        <v>339</v>
      </c>
      <c r="F187" t="s">
        <v>282</v>
      </c>
      <c r="G187" t="s">
        <v>461</v>
      </c>
      <c r="H187" t="s">
        <v>115</v>
      </c>
      <c r="I187" t="s">
        <v>299</v>
      </c>
      <c r="J187" s="13">
        <v>0.60416666666666663</v>
      </c>
      <c r="K187" s="13">
        <v>0.60347222222222219</v>
      </c>
      <c r="L187" s="13">
        <v>0.60555555555555551</v>
      </c>
      <c r="M187">
        <v>30</v>
      </c>
      <c r="N187" s="14">
        <v>120</v>
      </c>
      <c r="O187" t="s">
        <v>169</v>
      </c>
      <c r="P187">
        <v>4</v>
      </c>
      <c r="Q187" t="s">
        <v>318</v>
      </c>
      <c r="R187" t="s">
        <v>896</v>
      </c>
      <c r="S187">
        <v>0</v>
      </c>
      <c r="T187">
        <v>0</v>
      </c>
      <c r="U187" t="s">
        <v>2294</v>
      </c>
      <c r="V187" t="s">
        <v>2295</v>
      </c>
      <c r="W187" t="s">
        <v>2296</v>
      </c>
      <c r="X187" t="s">
        <v>2297</v>
      </c>
      <c r="Y187" t="s">
        <v>2298</v>
      </c>
      <c r="Z187" t="s">
        <v>2309</v>
      </c>
      <c r="AA187">
        <v>14</v>
      </c>
      <c r="AB187" s="14">
        <v>120</v>
      </c>
      <c r="AC187" t="s">
        <v>2310</v>
      </c>
      <c r="AD187" t="s">
        <v>2311</v>
      </c>
      <c r="AE187" t="s">
        <v>2643</v>
      </c>
      <c r="AF187">
        <v>46</v>
      </c>
      <c r="AG187">
        <v>0</v>
      </c>
      <c r="AH187">
        <v>3</v>
      </c>
      <c r="AI187">
        <v>1</v>
      </c>
      <c r="AJ187">
        <v>1</v>
      </c>
      <c r="AK187">
        <v>0</v>
      </c>
      <c r="AL187">
        <v>1</v>
      </c>
      <c r="AM187" s="14">
        <v>0</v>
      </c>
      <c r="AN187" t="s">
        <v>2644</v>
      </c>
      <c r="AO187" s="12">
        <v>46054</v>
      </c>
      <c r="AP187">
        <v>2026</v>
      </c>
      <c r="AQ187">
        <v>2</v>
      </c>
      <c r="AR187" t="s">
        <v>2649</v>
      </c>
    </row>
    <row r="188" spans="1:44">
      <c r="A188" t="s">
        <v>977</v>
      </c>
      <c r="B188" s="12">
        <v>46062</v>
      </c>
      <c r="C188" s="12">
        <v>46026</v>
      </c>
      <c r="D188" t="s">
        <v>978</v>
      </c>
      <c r="E188" t="s">
        <v>281</v>
      </c>
      <c r="F188" t="s">
        <v>409</v>
      </c>
      <c r="G188" t="s">
        <v>496</v>
      </c>
      <c r="H188" t="s">
        <v>115</v>
      </c>
      <c r="I188" t="s">
        <v>258</v>
      </c>
      <c r="J188" s="13">
        <v>0.64583333333333337</v>
      </c>
      <c r="K188" s="13">
        <v>0.6479166666666667</v>
      </c>
      <c r="L188" s="13">
        <v>0.66249999999999998</v>
      </c>
      <c r="M188">
        <v>30</v>
      </c>
      <c r="N188" s="14">
        <v>150</v>
      </c>
      <c r="O188" t="s">
        <v>195</v>
      </c>
      <c r="P188">
        <v>4</v>
      </c>
      <c r="Q188" t="s">
        <v>305</v>
      </c>
      <c r="R188" t="s">
        <v>896</v>
      </c>
      <c r="S188">
        <v>0</v>
      </c>
      <c r="T188">
        <v>0</v>
      </c>
      <c r="U188" t="s">
        <v>2290</v>
      </c>
      <c r="V188" t="s">
        <v>2291</v>
      </c>
      <c r="W188" t="s">
        <v>2292</v>
      </c>
      <c r="X188" t="s">
        <v>2288</v>
      </c>
      <c r="Y188" t="s">
        <v>2293</v>
      </c>
      <c r="Z188" t="s">
        <v>2318</v>
      </c>
      <c r="AA188">
        <v>28</v>
      </c>
      <c r="AB188" s="14">
        <v>150</v>
      </c>
      <c r="AC188" t="s">
        <v>2319</v>
      </c>
      <c r="AD188" t="s">
        <v>2320</v>
      </c>
      <c r="AE188" t="s">
        <v>2643</v>
      </c>
      <c r="AF188">
        <v>36</v>
      </c>
      <c r="AG188">
        <v>0</v>
      </c>
      <c r="AH188">
        <v>21</v>
      </c>
      <c r="AI188">
        <v>1</v>
      </c>
      <c r="AJ188">
        <v>1</v>
      </c>
      <c r="AK188">
        <v>0</v>
      </c>
      <c r="AL188">
        <v>1</v>
      </c>
      <c r="AM188" s="14">
        <v>0</v>
      </c>
      <c r="AN188" t="s">
        <v>2644</v>
      </c>
      <c r="AO188" s="12">
        <v>46054</v>
      </c>
      <c r="AP188">
        <v>2026</v>
      </c>
      <c r="AQ188">
        <v>2</v>
      </c>
      <c r="AR188" t="s">
        <v>2649</v>
      </c>
    </row>
    <row r="189" spans="1:44">
      <c r="A189" t="s">
        <v>980</v>
      </c>
      <c r="B189" s="12">
        <v>46079</v>
      </c>
      <c r="C189" s="12">
        <v>46066</v>
      </c>
      <c r="D189" t="s">
        <v>982</v>
      </c>
      <c r="E189" t="s">
        <v>255</v>
      </c>
      <c r="F189" t="s">
        <v>269</v>
      </c>
      <c r="G189" t="s">
        <v>542</v>
      </c>
      <c r="H189" t="s">
        <v>115</v>
      </c>
      <c r="I189" t="s">
        <v>271</v>
      </c>
      <c r="J189" s="13">
        <v>0.5</v>
      </c>
      <c r="K189" s="13">
        <v>0.51249999999999996</v>
      </c>
      <c r="L189" s="13">
        <v>0.50624999999999998</v>
      </c>
      <c r="M189">
        <v>30</v>
      </c>
      <c r="N189" s="14">
        <v>80</v>
      </c>
      <c r="O189" t="s">
        <v>169</v>
      </c>
      <c r="P189">
        <v>5</v>
      </c>
      <c r="Q189" t="s">
        <v>305</v>
      </c>
      <c r="R189" t="s">
        <v>896</v>
      </c>
      <c r="S189">
        <v>0</v>
      </c>
      <c r="T189">
        <v>0</v>
      </c>
      <c r="U189" t="s">
        <v>2299</v>
      </c>
      <c r="V189" t="s">
        <v>2295</v>
      </c>
      <c r="W189" t="s">
        <v>2300</v>
      </c>
      <c r="X189" t="s">
        <v>2288</v>
      </c>
      <c r="Y189" t="s">
        <v>2301</v>
      </c>
      <c r="Z189" t="s">
        <v>2315</v>
      </c>
      <c r="AA189">
        <v>10</v>
      </c>
      <c r="AB189" s="14">
        <v>80</v>
      </c>
      <c r="AC189" t="s">
        <v>2316</v>
      </c>
      <c r="AD189" t="s">
        <v>2317</v>
      </c>
      <c r="AE189" t="s">
        <v>2643</v>
      </c>
      <c r="AF189">
        <v>13</v>
      </c>
      <c r="AG189">
        <v>0</v>
      </c>
      <c r="AJ189">
        <v>1</v>
      </c>
      <c r="AK189">
        <v>0</v>
      </c>
      <c r="AL189">
        <v>1</v>
      </c>
      <c r="AM189" s="14">
        <v>0</v>
      </c>
      <c r="AN189" t="s">
        <v>2644</v>
      </c>
      <c r="AO189" s="12">
        <v>46054</v>
      </c>
      <c r="AP189">
        <v>2026</v>
      </c>
      <c r="AQ189">
        <v>2</v>
      </c>
      <c r="AR189" t="s">
        <v>2649</v>
      </c>
    </row>
    <row r="190" spans="1:44">
      <c r="A190" t="s">
        <v>984</v>
      </c>
      <c r="B190" s="12">
        <v>46064</v>
      </c>
      <c r="C190" s="12">
        <v>46051</v>
      </c>
      <c r="D190" t="s">
        <v>765</v>
      </c>
      <c r="E190" t="s">
        <v>255</v>
      </c>
      <c r="F190" t="s">
        <v>269</v>
      </c>
      <c r="G190" t="s">
        <v>391</v>
      </c>
      <c r="H190" t="s">
        <v>127</v>
      </c>
      <c r="I190" t="s">
        <v>299</v>
      </c>
      <c r="J190" s="13">
        <v>0.5</v>
      </c>
      <c r="K190" s="13"/>
      <c r="L190" s="13"/>
      <c r="M190">
        <v>0</v>
      </c>
      <c r="N190" s="14">
        <v>80</v>
      </c>
      <c r="O190" t="s">
        <v>195</v>
      </c>
      <c r="Q190" t="s">
        <v>285</v>
      </c>
      <c r="R190" t="s">
        <v>896</v>
      </c>
      <c r="S190">
        <v>0</v>
      </c>
      <c r="T190">
        <v>0</v>
      </c>
      <c r="U190" t="s">
        <v>2299</v>
      </c>
      <c r="V190" t="s">
        <v>2295</v>
      </c>
      <c r="W190" t="s">
        <v>2300</v>
      </c>
      <c r="X190" t="s">
        <v>2288</v>
      </c>
      <c r="Y190" t="s">
        <v>2301</v>
      </c>
      <c r="Z190" t="s">
        <v>2315</v>
      </c>
      <c r="AA190">
        <v>10</v>
      </c>
      <c r="AB190" s="14">
        <v>80</v>
      </c>
      <c r="AC190" t="s">
        <v>2316</v>
      </c>
      <c r="AD190" t="s">
        <v>2317</v>
      </c>
      <c r="AE190" t="s">
        <v>2643</v>
      </c>
      <c r="AF190">
        <v>13</v>
      </c>
      <c r="AG190">
        <v>0</v>
      </c>
      <c r="AJ190">
        <v>0</v>
      </c>
      <c r="AL190">
        <v>1</v>
      </c>
      <c r="AM190" s="14">
        <v>0</v>
      </c>
      <c r="AN190" t="s">
        <v>2644</v>
      </c>
      <c r="AO190" s="12">
        <v>46054</v>
      </c>
      <c r="AP190">
        <v>2026</v>
      </c>
      <c r="AQ190">
        <v>2</v>
      </c>
      <c r="AR190" t="s">
        <v>2649</v>
      </c>
    </row>
    <row r="191" spans="1:44">
      <c r="A191" t="s">
        <v>985</v>
      </c>
      <c r="B191" s="12">
        <v>46075</v>
      </c>
      <c r="C191" s="12">
        <v>46022</v>
      </c>
      <c r="D191" t="s">
        <v>843</v>
      </c>
      <c r="E191" t="s">
        <v>255</v>
      </c>
      <c r="F191" t="s">
        <v>409</v>
      </c>
      <c r="G191" t="s">
        <v>648</v>
      </c>
      <c r="H191" t="s">
        <v>466</v>
      </c>
      <c r="I191" t="s">
        <v>258</v>
      </c>
      <c r="J191" s="13">
        <v>0.5</v>
      </c>
      <c r="K191" s="13">
        <v>0.50486111111111109</v>
      </c>
      <c r="L191" s="13">
        <v>0.50347222222222221</v>
      </c>
      <c r="M191">
        <v>60</v>
      </c>
      <c r="N191" s="14">
        <v>150</v>
      </c>
      <c r="O191" t="s">
        <v>195</v>
      </c>
      <c r="P191">
        <v>4</v>
      </c>
      <c r="Q191" t="s">
        <v>262</v>
      </c>
      <c r="R191" t="s">
        <v>896</v>
      </c>
      <c r="S191">
        <v>0</v>
      </c>
      <c r="T191">
        <v>0</v>
      </c>
      <c r="U191" t="s">
        <v>2299</v>
      </c>
      <c r="V191" t="s">
        <v>2295</v>
      </c>
      <c r="W191" t="s">
        <v>2300</v>
      </c>
      <c r="X191" t="s">
        <v>2288</v>
      </c>
      <c r="Y191" t="s">
        <v>2301</v>
      </c>
      <c r="Z191" t="s">
        <v>2318</v>
      </c>
      <c r="AA191">
        <v>28</v>
      </c>
      <c r="AB191" s="14">
        <v>150</v>
      </c>
      <c r="AC191" t="s">
        <v>2319</v>
      </c>
      <c r="AD191" t="s">
        <v>2320</v>
      </c>
      <c r="AE191" t="s">
        <v>2643</v>
      </c>
      <c r="AF191">
        <v>53</v>
      </c>
      <c r="AG191">
        <v>0</v>
      </c>
      <c r="AJ191">
        <v>0</v>
      </c>
      <c r="AL191">
        <v>1</v>
      </c>
      <c r="AM191" s="14">
        <v>0</v>
      </c>
      <c r="AN191" t="s">
        <v>2644</v>
      </c>
      <c r="AO191" s="12">
        <v>46054</v>
      </c>
      <c r="AP191">
        <v>2026</v>
      </c>
      <c r="AQ191">
        <v>2</v>
      </c>
      <c r="AR191" t="s">
        <v>2649</v>
      </c>
    </row>
    <row r="192" spans="1:44">
      <c r="A192" t="s">
        <v>987</v>
      </c>
      <c r="B192" s="12">
        <v>46077</v>
      </c>
      <c r="C192" s="12">
        <v>46055</v>
      </c>
      <c r="D192" t="s">
        <v>460</v>
      </c>
      <c r="E192" t="s">
        <v>255</v>
      </c>
      <c r="F192" t="s">
        <v>282</v>
      </c>
      <c r="G192" t="s">
        <v>424</v>
      </c>
      <c r="H192" t="s">
        <v>122</v>
      </c>
      <c r="I192" t="s">
        <v>271</v>
      </c>
      <c r="J192" s="13">
        <v>0.47916666666666669</v>
      </c>
      <c r="K192" s="13"/>
      <c r="L192" s="13"/>
      <c r="M192">
        <v>0</v>
      </c>
      <c r="N192" s="14">
        <v>120</v>
      </c>
      <c r="O192" t="s">
        <v>169</v>
      </c>
      <c r="Q192" t="s">
        <v>305</v>
      </c>
      <c r="R192" t="s">
        <v>896</v>
      </c>
      <c r="S192">
        <v>0</v>
      </c>
      <c r="T192">
        <v>0</v>
      </c>
      <c r="U192" t="s">
        <v>2299</v>
      </c>
      <c r="V192" t="s">
        <v>2295</v>
      </c>
      <c r="W192" t="s">
        <v>2300</v>
      </c>
      <c r="X192" t="s">
        <v>2288</v>
      </c>
      <c r="Y192" t="s">
        <v>2301</v>
      </c>
      <c r="Z192" t="s">
        <v>2309</v>
      </c>
      <c r="AA192">
        <v>14</v>
      </c>
      <c r="AB192" s="14">
        <v>120</v>
      </c>
      <c r="AC192" t="s">
        <v>2310</v>
      </c>
      <c r="AD192" t="s">
        <v>2311</v>
      </c>
      <c r="AE192" t="s">
        <v>2643</v>
      </c>
      <c r="AF192">
        <v>22</v>
      </c>
      <c r="AG192">
        <v>0</v>
      </c>
      <c r="AJ192">
        <v>1</v>
      </c>
      <c r="AK192">
        <v>1</v>
      </c>
      <c r="AL192">
        <v>1</v>
      </c>
      <c r="AM192" s="14">
        <v>0</v>
      </c>
      <c r="AN192" t="s">
        <v>2644</v>
      </c>
      <c r="AO192" s="12">
        <v>46054</v>
      </c>
      <c r="AP192">
        <v>2026</v>
      </c>
      <c r="AQ192">
        <v>2</v>
      </c>
      <c r="AR192" t="s">
        <v>2649</v>
      </c>
    </row>
    <row r="193" spans="1:44">
      <c r="A193" t="s">
        <v>988</v>
      </c>
      <c r="B193" s="12">
        <v>46055</v>
      </c>
      <c r="C193" s="12">
        <v>46053</v>
      </c>
      <c r="D193" t="s">
        <v>989</v>
      </c>
      <c r="E193" t="s">
        <v>281</v>
      </c>
      <c r="F193" t="s">
        <v>269</v>
      </c>
      <c r="G193" t="s">
        <v>322</v>
      </c>
      <c r="H193" t="s">
        <v>122</v>
      </c>
      <c r="I193" t="s">
        <v>271</v>
      </c>
      <c r="J193" s="13">
        <v>0.58333333333333337</v>
      </c>
      <c r="K193" s="13"/>
      <c r="L193" s="13"/>
      <c r="M193">
        <v>0</v>
      </c>
      <c r="N193" s="14">
        <v>80</v>
      </c>
      <c r="O193" t="s">
        <v>195</v>
      </c>
      <c r="Q193" t="s">
        <v>262</v>
      </c>
      <c r="R193" t="s">
        <v>896</v>
      </c>
      <c r="S193">
        <v>0</v>
      </c>
      <c r="T193">
        <v>0</v>
      </c>
      <c r="U193" t="s">
        <v>2290</v>
      </c>
      <c r="V193" t="s">
        <v>2291</v>
      </c>
      <c r="W193" t="s">
        <v>2292</v>
      </c>
      <c r="X193" t="s">
        <v>2288</v>
      </c>
      <c r="Y193" t="s">
        <v>2293</v>
      </c>
      <c r="Z193" t="s">
        <v>2315</v>
      </c>
      <c r="AA193">
        <v>10</v>
      </c>
      <c r="AB193" s="14">
        <v>80</v>
      </c>
      <c r="AC193" t="s">
        <v>2316</v>
      </c>
      <c r="AD193" t="s">
        <v>2317</v>
      </c>
      <c r="AE193" t="s">
        <v>2643</v>
      </c>
      <c r="AF193">
        <v>2</v>
      </c>
      <c r="AG193">
        <v>1</v>
      </c>
      <c r="AJ193">
        <v>1</v>
      </c>
      <c r="AK193">
        <v>1</v>
      </c>
      <c r="AL193">
        <v>1</v>
      </c>
      <c r="AM193" s="14">
        <v>0</v>
      </c>
      <c r="AN193" t="s">
        <v>2644</v>
      </c>
      <c r="AO193" s="12">
        <v>46054</v>
      </c>
      <c r="AP193">
        <v>2026</v>
      </c>
      <c r="AQ193">
        <v>2</v>
      </c>
      <c r="AR193" t="s">
        <v>2649</v>
      </c>
    </row>
    <row r="194" spans="1:44">
      <c r="A194" t="s">
        <v>990</v>
      </c>
      <c r="B194" s="12">
        <v>46067</v>
      </c>
      <c r="C194" s="12">
        <v>46043</v>
      </c>
      <c r="D194" t="s">
        <v>514</v>
      </c>
      <c r="E194" t="s">
        <v>255</v>
      </c>
      <c r="F194" t="s">
        <v>269</v>
      </c>
      <c r="G194" t="s">
        <v>542</v>
      </c>
      <c r="H194" t="s">
        <v>115</v>
      </c>
      <c r="I194" t="s">
        <v>258</v>
      </c>
      <c r="J194" s="13">
        <v>0.4375</v>
      </c>
      <c r="K194" s="13">
        <v>0.43055555555555558</v>
      </c>
      <c r="L194" s="13">
        <v>0.46458333333333335</v>
      </c>
      <c r="M194">
        <v>30</v>
      </c>
      <c r="N194" s="14">
        <v>80</v>
      </c>
      <c r="O194" t="s">
        <v>195</v>
      </c>
      <c r="P194">
        <v>3</v>
      </c>
      <c r="Q194" t="s">
        <v>262</v>
      </c>
      <c r="R194" t="s">
        <v>896</v>
      </c>
      <c r="S194">
        <v>0</v>
      </c>
      <c r="T194">
        <v>0</v>
      </c>
      <c r="U194" t="s">
        <v>2299</v>
      </c>
      <c r="V194" t="s">
        <v>2295</v>
      </c>
      <c r="W194" t="s">
        <v>2300</v>
      </c>
      <c r="X194" t="s">
        <v>2288</v>
      </c>
      <c r="Y194" t="s">
        <v>2301</v>
      </c>
      <c r="Z194" t="s">
        <v>2315</v>
      </c>
      <c r="AA194">
        <v>10</v>
      </c>
      <c r="AB194" s="14">
        <v>80</v>
      </c>
      <c r="AC194" t="s">
        <v>2316</v>
      </c>
      <c r="AD194" t="s">
        <v>2317</v>
      </c>
      <c r="AE194" t="s">
        <v>2643</v>
      </c>
      <c r="AF194">
        <v>24</v>
      </c>
      <c r="AG194">
        <v>0</v>
      </c>
      <c r="AH194">
        <v>49</v>
      </c>
      <c r="AI194">
        <v>0</v>
      </c>
      <c r="AJ194">
        <v>1</v>
      </c>
      <c r="AK194">
        <v>0</v>
      </c>
      <c r="AL194">
        <v>1</v>
      </c>
      <c r="AM194" s="14">
        <v>0</v>
      </c>
      <c r="AN194" t="s">
        <v>2644</v>
      </c>
      <c r="AO194" s="12">
        <v>46054</v>
      </c>
      <c r="AP194">
        <v>2026</v>
      </c>
      <c r="AQ194">
        <v>2</v>
      </c>
      <c r="AR194" t="s">
        <v>2649</v>
      </c>
    </row>
    <row r="195" spans="1:44">
      <c r="A195" t="s">
        <v>992</v>
      </c>
      <c r="B195" s="12">
        <v>46068</v>
      </c>
      <c r="C195" s="12">
        <v>46055</v>
      </c>
      <c r="D195" t="s">
        <v>267</v>
      </c>
      <c r="E195" t="s">
        <v>268</v>
      </c>
      <c r="F195" t="s">
        <v>269</v>
      </c>
      <c r="G195" t="s">
        <v>270</v>
      </c>
      <c r="H195" t="s">
        <v>127</v>
      </c>
      <c r="I195" t="s">
        <v>258</v>
      </c>
      <c r="J195" s="13">
        <v>0.5625</v>
      </c>
      <c r="K195" s="13"/>
      <c r="L195" s="13"/>
      <c r="M195">
        <v>0</v>
      </c>
      <c r="N195" s="14">
        <v>80</v>
      </c>
      <c r="O195" t="s">
        <v>195</v>
      </c>
      <c r="Q195" t="s">
        <v>285</v>
      </c>
      <c r="R195" t="s">
        <v>896</v>
      </c>
      <c r="S195">
        <v>0</v>
      </c>
      <c r="T195">
        <v>0</v>
      </c>
      <c r="U195" t="s">
        <v>2285</v>
      </c>
      <c r="V195" t="s">
        <v>2286</v>
      </c>
      <c r="W195" t="s">
        <v>2287</v>
      </c>
      <c r="X195" t="s">
        <v>2288</v>
      </c>
      <c r="Y195" t="s">
        <v>2289</v>
      </c>
      <c r="Z195" t="s">
        <v>2315</v>
      </c>
      <c r="AA195">
        <v>10</v>
      </c>
      <c r="AB195" s="14">
        <v>80</v>
      </c>
      <c r="AC195" t="s">
        <v>2316</v>
      </c>
      <c r="AD195" t="s">
        <v>2317</v>
      </c>
      <c r="AE195" t="s">
        <v>2643</v>
      </c>
      <c r="AF195">
        <v>13</v>
      </c>
      <c r="AG195">
        <v>0</v>
      </c>
      <c r="AJ195">
        <v>0</v>
      </c>
      <c r="AL195">
        <v>1</v>
      </c>
      <c r="AM195" s="14">
        <v>0</v>
      </c>
      <c r="AN195" t="s">
        <v>2644</v>
      </c>
      <c r="AO195" s="12">
        <v>46054</v>
      </c>
      <c r="AP195">
        <v>2026</v>
      </c>
      <c r="AQ195">
        <v>2</v>
      </c>
      <c r="AR195" t="s">
        <v>2649</v>
      </c>
    </row>
    <row r="196" spans="1:44">
      <c r="A196" t="s">
        <v>994</v>
      </c>
      <c r="B196" s="12">
        <v>46067</v>
      </c>
      <c r="C196" s="12">
        <v>46059</v>
      </c>
      <c r="D196" t="s">
        <v>995</v>
      </c>
      <c r="E196" t="s">
        <v>339</v>
      </c>
      <c r="F196" t="s">
        <v>409</v>
      </c>
      <c r="G196" t="s">
        <v>476</v>
      </c>
      <c r="H196" t="s">
        <v>115</v>
      </c>
      <c r="I196" t="s">
        <v>299</v>
      </c>
      <c r="J196" s="13">
        <v>0.33333333333333331</v>
      </c>
      <c r="K196" s="13">
        <v>0.34236111111111112</v>
      </c>
      <c r="L196" s="13">
        <v>0.35833333333333334</v>
      </c>
      <c r="M196">
        <v>20</v>
      </c>
      <c r="N196" s="14">
        <v>150</v>
      </c>
      <c r="O196" t="s">
        <v>195</v>
      </c>
      <c r="P196">
        <v>5</v>
      </c>
      <c r="Q196" t="s">
        <v>326</v>
      </c>
      <c r="R196" t="s">
        <v>896</v>
      </c>
      <c r="S196">
        <v>0</v>
      </c>
      <c r="T196">
        <v>0</v>
      </c>
      <c r="U196" t="s">
        <v>2294</v>
      </c>
      <c r="V196" t="s">
        <v>2295</v>
      </c>
      <c r="W196" t="s">
        <v>2296</v>
      </c>
      <c r="X196" t="s">
        <v>2297</v>
      </c>
      <c r="Y196" t="s">
        <v>2298</v>
      </c>
      <c r="Z196" t="s">
        <v>2318</v>
      </c>
      <c r="AA196">
        <v>28</v>
      </c>
      <c r="AB196" s="14">
        <v>150</v>
      </c>
      <c r="AC196" t="s">
        <v>2319</v>
      </c>
      <c r="AD196" t="s">
        <v>2320</v>
      </c>
      <c r="AE196" t="s">
        <v>2643</v>
      </c>
      <c r="AF196">
        <v>8</v>
      </c>
      <c r="AG196">
        <v>1</v>
      </c>
      <c r="AH196">
        <v>23</v>
      </c>
      <c r="AI196">
        <v>1</v>
      </c>
      <c r="AJ196">
        <v>1</v>
      </c>
      <c r="AK196">
        <v>0</v>
      </c>
      <c r="AL196">
        <v>1</v>
      </c>
      <c r="AM196" s="14">
        <v>0</v>
      </c>
      <c r="AN196" t="s">
        <v>2644</v>
      </c>
      <c r="AO196" s="12">
        <v>46054</v>
      </c>
      <c r="AP196">
        <v>2026</v>
      </c>
      <c r="AQ196">
        <v>2</v>
      </c>
      <c r="AR196" t="s">
        <v>2649</v>
      </c>
    </row>
    <row r="197" spans="1:44">
      <c r="A197" t="s">
        <v>998</v>
      </c>
      <c r="B197" s="12">
        <v>46064</v>
      </c>
      <c r="C197" s="12">
        <v>46053</v>
      </c>
      <c r="D197" t="s">
        <v>999</v>
      </c>
      <c r="E197" t="s">
        <v>268</v>
      </c>
      <c r="F197" t="s">
        <v>256</v>
      </c>
      <c r="G197" t="s">
        <v>419</v>
      </c>
      <c r="H197" t="s">
        <v>115</v>
      </c>
      <c r="I197" t="s">
        <v>258</v>
      </c>
      <c r="J197" s="13">
        <v>0.66666666666666663</v>
      </c>
      <c r="K197" s="13">
        <v>0.67500000000000004</v>
      </c>
      <c r="L197" s="13">
        <v>0.68888888888888888</v>
      </c>
      <c r="M197">
        <v>60</v>
      </c>
      <c r="N197" s="14">
        <v>95</v>
      </c>
      <c r="O197" t="s">
        <v>169</v>
      </c>
      <c r="P197">
        <v>4</v>
      </c>
      <c r="Q197" t="s">
        <v>318</v>
      </c>
      <c r="R197" t="s">
        <v>896</v>
      </c>
      <c r="S197">
        <v>0</v>
      </c>
      <c r="T197">
        <v>0</v>
      </c>
      <c r="U197" t="s">
        <v>2285</v>
      </c>
      <c r="V197" t="s">
        <v>2286</v>
      </c>
      <c r="W197" t="s">
        <v>2287</v>
      </c>
      <c r="X197" t="s">
        <v>2288</v>
      </c>
      <c r="Y197" t="s">
        <v>2289</v>
      </c>
      <c r="Z197" t="s">
        <v>2312</v>
      </c>
      <c r="AA197">
        <v>21</v>
      </c>
      <c r="AB197" s="14">
        <v>95</v>
      </c>
      <c r="AC197" t="s">
        <v>2313</v>
      </c>
      <c r="AD197" t="s">
        <v>2314</v>
      </c>
      <c r="AE197" t="s">
        <v>2643</v>
      </c>
      <c r="AF197">
        <v>11</v>
      </c>
      <c r="AG197">
        <v>1</v>
      </c>
      <c r="AH197">
        <v>20</v>
      </c>
      <c r="AI197">
        <v>1</v>
      </c>
      <c r="AJ197">
        <v>1</v>
      </c>
      <c r="AK197">
        <v>0</v>
      </c>
      <c r="AL197">
        <v>1</v>
      </c>
      <c r="AM197" s="14">
        <v>0</v>
      </c>
      <c r="AN197" t="s">
        <v>2644</v>
      </c>
      <c r="AO197" s="12">
        <v>46054</v>
      </c>
      <c r="AP197">
        <v>2026</v>
      </c>
      <c r="AQ197">
        <v>2</v>
      </c>
      <c r="AR197" t="s">
        <v>2649</v>
      </c>
    </row>
    <row r="198" spans="1:44">
      <c r="A198" t="s">
        <v>1001</v>
      </c>
      <c r="B198" s="12">
        <v>46066</v>
      </c>
      <c r="C198" s="12">
        <v>46025</v>
      </c>
      <c r="D198" t="s">
        <v>381</v>
      </c>
      <c r="E198" t="s">
        <v>339</v>
      </c>
      <c r="F198" t="s">
        <v>282</v>
      </c>
      <c r="G198" t="s">
        <v>564</v>
      </c>
      <c r="H198" t="s">
        <v>127</v>
      </c>
      <c r="I198" t="s">
        <v>316</v>
      </c>
      <c r="J198" s="13">
        <v>0.5</v>
      </c>
      <c r="K198" s="13"/>
      <c r="L198" s="13"/>
      <c r="M198">
        <v>0</v>
      </c>
      <c r="N198" s="14">
        <v>120</v>
      </c>
      <c r="O198" t="s">
        <v>195</v>
      </c>
      <c r="Q198" t="s">
        <v>262</v>
      </c>
      <c r="R198" t="s">
        <v>896</v>
      </c>
      <c r="S198">
        <v>0</v>
      </c>
      <c r="T198">
        <v>0</v>
      </c>
      <c r="U198" t="s">
        <v>2294</v>
      </c>
      <c r="V198" t="s">
        <v>2295</v>
      </c>
      <c r="W198" t="s">
        <v>2296</v>
      </c>
      <c r="X198" t="s">
        <v>2297</v>
      </c>
      <c r="Y198" t="s">
        <v>2298</v>
      </c>
      <c r="Z198" t="s">
        <v>2309</v>
      </c>
      <c r="AA198">
        <v>14</v>
      </c>
      <c r="AB198" s="14">
        <v>120</v>
      </c>
      <c r="AC198" t="s">
        <v>2310</v>
      </c>
      <c r="AD198" t="s">
        <v>2311</v>
      </c>
      <c r="AE198" t="s">
        <v>2643</v>
      </c>
      <c r="AF198">
        <v>41</v>
      </c>
      <c r="AG198">
        <v>0</v>
      </c>
      <c r="AJ198">
        <v>0</v>
      </c>
      <c r="AL198">
        <v>1</v>
      </c>
      <c r="AM198" s="14">
        <v>0</v>
      </c>
      <c r="AN198" t="s">
        <v>2644</v>
      </c>
      <c r="AO198" s="12">
        <v>46054</v>
      </c>
      <c r="AP198">
        <v>2026</v>
      </c>
      <c r="AQ198">
        <v>2</v>
      </c>
      <c r="AR198" t="s">
        <v>2649</v>
      </c>
    </row>
    <row r="199" spans="1:44">
      <c r="A199" t="s">
        <v>1002</v>
      </c>
      <c r="B199" s="12">
        <v>46081</v>
      </c>
      <c r="C199" s="12">
        <v>46042</v>
      </c>
      <c r="D199" t="s">
        <v>978</v>
      </c>
      <c r="E199" t="s">
        <v>281</v>
      </c>
      <c r="F199" t="s">
        <v>282</v>
      </c>
      <c r="G199" t="s">
        <v>283</v>
      </c>
      <c r="H199" t="s">
        <v>115</v>
      </c>
      <c r="I199" t="s">
        <v>271</v>
      </c>
      <c r="J199" s="13">
        <v>0.47916666666666669</v>
      </c>
      <c r="K199" s="13">
        <v>0.48472222222222222</v>
      </c>
      <c r="L199" s="13">
        <v>0.48680555555555555</v>
      </c>
      <c r="M199">
        <v>45</v>
      </c>
      <c r="N199" s="14">
        <v>120</v>
      </c>
      <c r="O199" t="s">
        <v>195</v>
      </c>
      <c r="P199">
        <v>5</v>
      </c>
      <c r="Q199" t="s">
        <v>285</v>
      </c>
      <c r="R199" t="s">
        <v>896</v>
      </c>
      <c r="S199">
        <v>0</v>
      </c>
      <c r="T199">
        <v>0</v>
      </c>
      <c r="U199" t="s">
        <v>2290</v>
      </c>
      <c r="V199" t="s">
        <v>2291</v>
      </c>
      <c r="W199" t="s">
        <v>2292</v>
      </c>
      <c r="X199" t="s">
        <v>2288</v>
      </c>
      <c r="Y199" t="s">
        <v>2293</v>
      </c>
      <c r="Z199" t="s">
        <v>2309</v>
      </c>
      <c r="AA199">
        <v>14</v>
      </c>
      <c r="AB199" s="14">
        <v>120</v>
      </c>
      <c r="AC199" t="s">
        <v>2310</v>
      </c>
      <c r="AD199" t="s">
        <v>2311</v>
      </c>
      <c r="AE199" t="s">
        <v>2643</v>
      </c>
      <c r="AF199">
        <v>39</v>
      </c>
      <c r="AG199">
        <v>0</v>
      </c>
      <c r="AH199">
        <v>3</v>
      </c>
      <c r="AI199">
        <v>1</v>
      </c>
      <c r="AJ199">
        <v>1</v>
      </c>
      <c r="AK199">
        <v>0</v>
      </c>
      <c r="AL199">
        <v>1</v>
      </c>
      <c r="AM199" s="14">
        <v>0</v>
      </c>
      <c r="AN199" t="s">
        <v>2644</v>
      </c>
      <c r="AO199" s="12">
        <v>46054</v>
      </c>
      <c r="AP199">
        <v>2026</v>
      </c>
      <c r="AQ199">
        <v>2</v>
      </c>
      <c r="AR199" t="s">
        <v>2649</v>
      </c>
    </row>
    <row r="200" spans="1:44">
      <c r="A200" t="s">
        <v>1005</v>
      </c>
      <c r="B200" s="12">
        <v>46071</v>
      </c>
      <c r="C200" s="12">
        <v>46048</v>
      </c>
      <c r="D200" t="s">
        <v>946</v>
      </c>
      <c r="E200" t="s">
        <v>255</v>
      </c>
      <c r="F200" t="s">
        <v>269</v>
      </c>
      <c r="G200" t="s">
        <v>542</v>
      </c>
      <c r="H200" t="s">
        <v>115</v>
      </c>
      <c r="I200" t="s">
        <v>271</v>
      </c>
      <c r="J200" s="13">
        <v>0.5625</v>
      </c>
      <c r="K200" s="13">
        <v>0.56666666666666665</v>
      </c>
      <c r="L200" s="13">
        <v>0.57708333333333328</v>
      </c>
      <c r="M200">
        <v>60</v>
      </c>
      <c r="N200" s="14">
        <v>80</v>
      </c>
      <c r="O200" t="s">
        <v>195</v>
      </c>
      <c r="P200">
        <v>5</v>
      </c>
      <c r="Q200" t="s">
        <v>305</v>
      </c>
      <c r="R200" t="s">
        <v>896</v>
      </c>
      <c r="S200">
        <v>0</v>
      </c>
      <c r="T200">
        <v>0</v>
      </c>
      <c r="U200" t="s">
        <v>2299</v>
      </c>
      <c r="V200" t="s">
        <v>2295</v>
      </c>
      <c r="W200" t="s">
        <v>2300</v>
      </c>
      <c r="X200" t="s">
        <v>2288</v>
      </c>
      <c r="Y200" t="s">
        <v>2301</v>
      </c>
      <c r="Z200" t="s">
        <v>2315</v>
      </c>
      <c r="AA200">
        <v>10</v>
      </c>
      <c r="AB200" s="14">
        <v>80</v>
      </c>
      <c r="AC200" t="s">
        <v>2316</v>
      </c>
      <c r="AD200" t="s">
        <v>2317</v>
      </c>
      <c r="AE200" t="s">
        <v>2643</v>
      </c>
      <c r="AF200">
        <v>23</v>
      </c>
      <c r="AG200">
        <v>0</v>
      </c>
      <c r="AH200">
        <v>15</v>
      </c>
      <c r="AI200">
        <v>1</v>
      </c>
      <c r="AJ200">
        <v>1</v>
      </c>
      <c r="AK200">
        <v>0</v>
      </c>
      <c r="AL200">
        <v>1</v>
      </c>
      <c r="AM200" s="14">
        <v>0</v>
      </c>
      <c r="AN200" t="s">
        <v>2644</v>
      </c>
      <c r="AO200" s="12">
        <v>46054</v>
      </c>
      <c r="AP200">
        <v>2026</v>
      </c>
      <c r="AQ200">
        <v>2</v>
      </c>
      <c r="AR200" t="s">
        <v>2649</v>
      </c>
    </row>
    <row r="201" spans="1:44">
      <c r="A201" t="s">
        <v>1007</v>
      </c>
      <c r="B201" s="12">
        <v>46079</v>
      </c>
      <c r="C201" s="12">
        <v>46069</v>
      </c>
      <c r="D201" t="s">
        <v>1008</v>
      </c>
      <c r="E201" t="s">
        <v>268</v>
      </c>
      <c r="F201" t="s">
        <v>409</v>
      </c>
      <c r="G201" t="s">
        <v>552</v>
      </c>
      <c r="H201" t="s">
        <v>115</v>
      </c>
      <c r="I201" t="s">
        <v>316</v>
      </c>
      <c r="J201" s="13">
        <v>0.45833333333333331</v>
      </c>
      <c r="K201" s="13">
        <v>0.46041666666666664</v>
      </c>
      <c r="L201" s="13">
        <v>0.48125000000000001</v>
      </c>
      <c r="M201">
        <v>30</v>
      </c>
      <c r="N201" s="14">
        <v>150</v>
      </c>
      <c r="O201" t="s">
        <v>169</v>
      </c>
      <c r="P201">
        <v>2</v>
      </c>
      <c r="Q201" t="s">
        <v>326</v>
      </c>
      <c r="R201" t="s">
        <v>896</v>
      </c>
      <c r="S201">
        <v>0</v>
      </c>
      <c r="T201">
        <v>0</v>
      </c>
      <c r="U201" t="s">
        <v>2285</v>
      </c>
      <c r="V201" t="s">
        <v>2286</v>
      </c>
      <c r="W201" t="s">
        <v>2287</v>
      </c>
      <c r="X201" t="s">
        <v>2288</v>
      </c>
      <c r="Y201" t="s">
        <v>2289</v>
      </c>
      <c r="Z201" t="s">
        <v>2318</v>
      </c>
      <c r="AA201">
        <v>28</v>
      </c>
      <c r="AB201" s="14">
        <v>150</v>
      </c>
      <c r="AC201" t="s">
        <v>2319</v>
      </c>
      <c r="AD201" t="s">
        <v>2320</v>
      </c>
      <c r="AE201" t="s">
        <v>2643</v>
      </c>
      <c r="AF201">
        <v>10</v>
      </c>
      <c r="AG201">
        <v>1</v>
      </c>
      <c r="AH201">
        <v>30</v>
      </c>
      <c r="AI201">
        <v>1</v>
      </c>
      <c r="AJ201">
        <v>1</v>
      </c>
      <c r="AK201">
        <v>0</v>
      </c>
      <c r="AL201">
        <v>1</v>
      </c>
      <c r="AM201" s="14">
        <v>0</v>
      </c>
      <c r="AN201" t="s">
        <v>2644</v>
      </c>
      <c r="AO201" s="12">
        <v>46054</v>
      </c>
      <c r="AP201">
        <v>2026</v>
      </c>
      <c r="AQ201">
        <v>2</v>
      </c>
      <c r="AR201" t="s">
        <v>2649</v>
      </c>
    </row>
    <row r="202" spans="1:44">
      <c r="A202" t="s">
        <v>1011</v>
      </c>
      <c r="B202" s="12">
        <v>46080</v>
      </c>
      <c r="C202" s="12">
        <v>46055</v>
      </c>
      <c r="D202" t="s">
        <v>1012</v>
      </c>
      <c r="E202" t="s">
        <v>268</v>
      </c>
      <c r="F202" t="s">
        <v>256</v>
      </c>
      <c r="G202" t="s">
        <v>419</v>
      </c>
      <c r="H202" t="s">
        <v>127</v>
      </c>
      <c r="I202" t="s">
        <v>316</v>
      </c>
      <c r="J202" s="13">
        <v>0.41666666666666669</v>
      </c>
      <c r="K202" s="13"/>
      <c r="L202" s="13"/>
      <c r="M202">
        <v>0</v>
      </c>
      <c r="N202" s="14">
        <v>95</v>
      </c>
      <c r="O202" t="s">
        <v>169</v>
      </c>
      <c r="Q202" t="s">
        <v>285</v>
      </c>
      <c r="R202" t="s">
        <v>896</v>
      </c>
      <c r="S202">
        <v>0</v>
      </c>
      <c r="T202">
        <v>0</v>
      </c>
      <c r="U202" t="s">
        <v>2285</v>
      </c>
      <c r="V202" t="s">
        <v>2286</v>
      </c>
      <c r="W202" t="s">
        <v>2287</v>
      </c>
      <c r="X202" t="s">
        <v>2288</v>
      </c>
      <c r="Y202" t="s">
        <v>2289</v>
      </c>
      <c r="Z202" t="s">
        <v>2312</v>
      </c>
      <c r="AA202">
        <v>21</v>
      </c>
      <c r="AB202" s="14">
        <v>95</v>
      </c>
      <c r="AC202" t="s">
        <v>2313</v>
      </c>
      <c r="AD202" t="s">
        <v>2314</v>
      </c>
      <c r="AE202" t="s">
        <v>2643</v>
      </c>
      <c r="AF202">
        <v>25</v>
      </c>
      <c r="AG202">
        <v>0</v>
      </c>
      <c r="AJ202">
        <v>0</v>
      </c>
      <c r="AL202">
        <v>1</v>
      </c>
      <c r="AM202" s="14">
        <v>0</v>
      </c>
      <c r="AN202" t="s">
        <v>2644</v>
      </c>
      <c r="AO202" s="12">
        <v>46054</v>
      </c>
      <c r="AP202">
        <v>2026</v>
      </c>
      <c r="AQ202">
        <v>2</v>
      </c>
      <c r="AR202" t="s">
        <v>2649</v>
      </c>
    </row>
    <row r="203" spans="1:44">
      <c r="A203" t="s">
        <v>1013</v>
      </c>
      <c r="B203" s="12">
        <v>46057</v>
      </c>
      <c r="C203" s="12">
        <v>46056</v>
      </c>
      <c r="D203" t="s">
        <v>1014</v>
      </c>
      <c r="E203" t="s">
        <v>268</v>
      </c>
      <c r="F203" t="s">
        <v>409</v>
      </c>
      <c r="G203" t="s">
        <v>552</v>
      </c>
      <c r="H203" t="s">
        <v>115</v>
      </c>
      <c r="I203" t="s">
        <v>316</v>
      </c>
      <c r="J203" s="13">
        <v>0.47916666666666669</v>
      </c>
      <c r="K203" s="13">
        <v>0.48333333333333334</v>
      </c>
      <c r="L203" s="13">
        <v>0.48194444444444445</v>
      </c>
      <c r="M203">
        <v>45</v>
      </c>
      <c r="N203" s="14">
        <v>150</v>
      </c>
      <c r="O203" t="s">
        <v>195</v>
      </c>
      <c r="P203">
        <v>5</v>
      </c>
      <c r="Q203" t="s">
        <v>305</v>
      </c>
      <c r="R203" t="s">
        <v>896</v>
      </c>
      <c r="S203">
        <v>0</v>
      </c>
      <c r="T203">
        <v>0</v>
      </c>
      <c r="U203" t="s">
        <v>2285</v>
      </c>
      <c r="V203" t="s">
        <v>2286</v>
      </c>
      <c r="W203" t="s">
        <v>2287</v>
      </c>
      <c r="X203" t="s">
        <v>2288</v>
      </c>
      <c r="Y203" t="s">
        <v>2289</v>
      </c>
      <c r="Z203" t="s">
        <v>2318</v>
      </c>
      <c r="AA203">
        <v>28</v>
      </c>
      <c r="AB203" s="14">
        <v>150</v>
      </c>
      <c r="AC203" t="s">
        <v>2319</v>
      </c>
      <c r="AD203" t="s">
        <v>2320</v>
      </c>
      <c r="AE203" t="s">
        <v>2643</v>
      </c>
      <c r="AF203">
        <v>1</v>
      </c>
      <c r="AG203">
        <v>1</v>
      </c>
      <c r="AJ203">
        <v>1</v>
      </c>
      <c r="AK203">
        <v>0</v>
      </c>
      <c r="AL203">
        <v>1</v>
      </c>
      <c r="AM203" s="14">
        <v>0</v>
      </c>
      <c r="AN203" t="s">
        <v>2644</v>
      </c>
      <c r="AO203" s="12">
        <v>46054</v>
      </c>
      <c r="AP203">
        <v>2026</v>
      </c>
      <c r="AQ203">
        <v>2</v>
      </c>
      <c r="AR203" t="s">
        <v>2649</v>
      </c>
    </row>
    <row r="204" spans="1:44">
      <c r="A204" t="s">
        <v>1017</v>
      </c>
      <c r="B204" s="12">
        <v>46058</v>
      </c>
      <c r="C204" s="12">
        <v>46056</v>
      </c>
      <c r="D204" t="s">
        <v>1018</v>
      </c>
      <c r="E204" t="s">
        <v>339</v>
      </c>
      <c r="F204" t="s">
        <v>409</v>
      </c>
      <c r="G204" t="s">
        <v>476</v>
      </c>
      <c r="H204" t="s">
        <v>115</v>
      </c>
      <c r="I204" t="s">
        <v>299</v>
      </c>
      <c r="J204" s="13">
        <v>0.52083333333333337</v>
      </c>
      <c r="K204" s="13">
        <v>0.53333333333333333</v>
      </c>
      <c r="L204" s="13">
        <v>0.5395833333333333</v>
      </c>
      <c r="M204">
        <v>45</v>
      </c>
      <c r="N204" s="14">
        <v>150</v>
      </c>
      <c r="O204" t="s">
        <v>195</v>
      </c>
      <c r="P204">
        <v>4</v>
      </c>
      <c r="Q204" t="s">
        <v>318</v>
      </c>
      <c r="R204" t="s">
        <v>896</v>
      </c>
      <c r="S204">
        <v>0</v>
      </c>
      <c r="T204">
        <v>0</v>
      </c>
      <c r="U204" t="s">
        <v>2294</v>
      </c>
      <c r="V204" t="s">
        <v>2295</v>
      </c>
      <c r="W204" t="s">
        <v>2296</v>
      </c>
      <c r="X204" t="s">
        <v>2297</v>
      </c>
      <c r="Y204" t="s">
        <v>2298</v>
      </c>
      <c r="Z204" t="s">
        <v>2318</v>
      </c>
      <c r="AA204">
        <v>28</v>
      </c>
      <c r="AB204" s="14">
        <v>150</v>
      </c>
      <c r="AC204" t="s">
        <v>2319</v>
      </c>
      <c r="AD204" t="s">
        <v>2320</v>
      </c>
      <c r="AE204" t="s">
        <v>2643</v>
      </c>
      <c r="AF204">
        <v>2</v>
      </c>
      <c r="AG204">
        <v>1</v>
      </c>
      <c r="AH204">
        <v>9</v>
      </c>
      <c r="AI204">
        <v>1</v>
      </c>
      <c r="AJ204">
        <v>1</v>
      </c>
      <c r="AK204">
        <v>0</v>
      </c>
      <c r="AL204">
        <v>1</v>
      </c>
      <c r="AM204" s="14">
        <v>0</v>
      </c>
      <c r="AN204" t="s">
        <v>2644</v>
      </c>
      <c r="AO204" s="12">
        <v>46054</v>
      </c>
      <c r="AP204">
        <v>2026</v>
      </c>
      <c r="AQ204">
        <v>2</v>
      </c>
      <c r="AR204" t="s">
        <v>2649</v>
      </c>
    </row>
    <row r="205" spans="1:44">
      <c r="A205" t="s">
        <v>1020</v>
      </c>
      <c r="B205" s="12">
        <v>46080</v>
      </c>
      <c r="C205" s="12">
        <v>46060</v>
      </c>
      <c r="D205" t="s">
        <v>321</v>
      </c>
      <c r="E205" t="s">
        <v>268</v>
      </c>
      <c r="F205" t="s">
        <v>269</v>
      </c>
      <c r="G205" t="s">
        <v>270</v>
      </c>
      <c r="H205" t="s">
        <v>115</v>
      </c>
      <c r="I205" t="s">
        <v>316</v>
      </c>
      <c r="J205" s="13">
        <v>0.45833333333333331</v>
      </c>
      <c r="K205" s="13">
        <v>0.45833333333333331</v>
      </c>
      <c r="L205" s="13">
        <v>0.47847222222222224</v>
      </c>
      <c r="M205">
        <v>30</v>
      </c>
      <c r="N205" s="14">
        <v>80</v>
      </c>
      <c r="O205" t="s">
        <v>195</v>
      </c>
      <c r="P205">
        <v>4</v>
      </c>
      <c r="Q205" t="s">
        <v>305</v>
      </c>
      <c r="R205" t="s">
        <v>896</v>
      </c>
      <c r="S205">
        <v>0</v>
      </c>
      <c r="T205">
        <v>0</v>
      </c>
      <c r="U205" t="s">
        <v>2285</v>
      </c>
      <c r="V205" t="s">
        <v>2286</v>
      </c>
      <c r="W205" t="s">
        <v>2287</v>
      </c>
      <c r="X205" t="s">
        <v>2288</v>
      </c>
      <c r="Y205" t="s">
        <v>2289</v>
      </c>
      <c r="Z205" t="s">
        <v>2315</v>
      </c>
      <c r="AA205">
        <v>10</v>
      </c>
      <c r="AB205" s="14">
        <v>80</v>
      </c>
      <c r="AC205" t="s">
        <v>2316</v>
      </c>
      <c r="AD205" t="s">
        <v>2317</v>
      </c>
      <c r="AE205" t="s">
        <v>2643</v>
      </c>
      <c r="AF205">
        <v>20</v>
      </c>
      <c r="AG205">
        <v>0</v>
      </c>
      <c r="AH205">
        <v>29</v>
      </c>
      <c r="AI205">
        <v>1</v>
      </c>
      <c r="AJ205">
        <v>1</v>
      </c>
      <c r="AK205">
        <v>0</v>
      </c>
      <c r="AL205">
        <v>1</v>
      </c>
      <c r="AM205" s="14">
        <v>0</v>
      </c>
      <c r="AN205" t="s">
        <v>2644</v>
      </c>
      <c r="AO205" s="12">
        <v>46054</v>
      </c>
      <c r="AP205">
        <v>2026</v>
      </c>
      <c r="AQ205">
        <v>2</v>
      </c>
      <c r="AR205" t="s">
        <v>2649</v>
      </c>
    </row>
    <row r="206" spans="1:44">
      <c r="A206" t="s">
        <v>1021</v>
      </c>
      <c r="B206" s="12">
        <v>46081</v>
      </c>
      <c r="C206" s="12">
        <v>46049</v>
      </c>
      <c r="D206" t="s">
        <v>1022</v>
      </c>
      <c r="E206" t="s">
        <v>281</v>
      </c>
      <c r="F206" t="s">
        <v>269</v>
      </c>
      <c r="G206" t="s">
        <v>322</v>
      </c>
      <c r="H206" t="s">
        <v>115</v>
      </c>
      <c r="I206" t="s">
        <v>258</v>
      </c>
      <c r="J206" s="13">
        <v>0.52083333333333337</v>
      </c>
      <c r="K206" s="13">
        <v>0.52847222222222223</v>
      </c>
      <c r="L206" s="13">
        <v>0.54236111111111107</v>
      </c>
      <c r="M206">
        <v>30</v>
      </c>
      <c r="N206" s="14">
        <v>80</v>
      </c>
      <c r="O206" t="s">
        <v>195</v>
      </c>
      <c r="P206">
        <v>5</v>
      </c>
      <c r="Q206" t="s">
        <v>326</v>
      </c>
      <c r="R206" t="s">
        <v>896</v>
      </c>
      <c r="S206">
        <v>0</v>
      </c>
      <c r="T206">
        <v>0</v>
      </c>
      <c r="U206" t="s">
        <v>2290</v>
      </c>
      <c r="V206" t="s">
        <v>2291</v>
      </c>
      <c r="W206" t="s">
        <v>2292</v>
      </c>
      <c r="X206" t="s">
        <v>2288</v>
      </c>
      <c r="Y206" t="s">
        <v>2293</v>
      </c>
      <c r="Z206" t="s">
        <v>2315</v>
      </c>
      <c r="AA206">
        <v>10</v>
      </c>
      <c r="AB206" s="14">
        <v>80</v>
      </c>
      <c r="AC206" t="s">
        <v>2316</v>
      </c>
      <c r="AD206" t="s">
        <v>2317</v>
      </c>
      <c r="AE206" t="s">
        <v>2643</v>
      </c>
      <c r="AF206">
        <v>32</v>
      </c>
      <c r="AG206">
        <v>0</v>
      </c>
      <c r="AH206">
        <v>20</v>
      </c>
      <c r="AI206">
        <v>1</v>
      </c>
      <c r="AJ206">
        <v>1</v>
      </c>
      <c r="AK206">
        <v>0</v>
      </c>
      <c r="AL206">
        <v>1</v>
      </c>
      <c r="AM206" s="14">
        <v>0</v>
      </c>
      <c r="AN206" t="s">
        <v>2644</v>
      </c>
      <c r="AO206" s="12">
        <v>46054</v>
      </c>
      <c r="AP206">
        <v>2026</v>
      </c>
      <c r="AQ206">
        <v>2</v>
      </c>
      <c r="AR206" t="s">
        <v>2649</v>
      </c>
    </row>
    <row r="207" spans="1:44">
      <c r="A207" t="s">
        <v>1024</v>
      </c>
      <c r="B207" s="12">
        <v>46081</v>
      </c>
      <c r="C207" s="12">
        <v>46028</v>
      </c>
      <c r="D207" t="s">
        <v>330</v>
      </c>
      <c r="E207" t="s">
        <v>339</v>
      </c>
      <c r="F207" t="s">
        <v>282</v>
      </c>
      <c r="G207" t="s">
        <v>564</v>
      </c>
      <c r="H207" t="s">
        <v>115</v>
      </c>
      <c r="I207" t="s">
        <v>271</v>
      </c>
      <c r="J207" s="13">
        <v>0.52083333333333337</v>
      </c>
      <c r="K207" s="13">
        <v>0.52847222222222223</v>
      </c>
      <c r="L207" s="13">
        <v>0.52083333333333337</v>
      </c>
      <c r="M207">
        <v>30</v>
      </c>
      <c r="N207" s="14">
        <v>120</v>
      </c>
      <c r="O207" t="s">
        <v>195</v>
      </c>
      <c r="P207">
        <v>4</v>
      </c>
      <c r="Q207" t="s">
        <v>305</v>
      </c>
      <c r="R207" t="s">
        <v>896</v>
      </c>
      <c r="S207">
        <v>0</v>
      </c>
      <c r="T207">
        <v>0</v>
      </c>
      <c r="U207" t="s">
        <v>2294</v>
      </c>
      <c r="V207" t="s">
        <v>2295</v>
      </c>
      <c r="W207" t="s">
        <v>2296</v>
      </c>
      <c r="X207" t="s">
        <v>2297</v>
      </c>
      <c r="Y207" t="s">
        <v>2298</v>
      </c>
      <c r="Z207" t="s">
        <v>2309</v>
      </c>
      <c r="AA207">
        <v>14</v>
      </c>
      <c r="AB207" s="14">
        <v>120</v>
      </c>
      <c r="AC207" t="s">
        <v>2310</v>
      </c>
      <c r="AD207" t="s">
        <v>2311</v>
      </c>
      <c r="AE207" t="s">
        <v>2643</v>
      </c>
      <c r="AF207">
        <v>53</v>
      </c>
      <c r="AG207">
        <v>0</v>
      </c>
      <c r="AJ207">
        <v>1</v>
      </c>
      <c r="AK207">
        <v>0</v>
      </c>
      <c r="AL207">
        <v>1</v>
      </c>
      <c r="AM207" s="14">
        <v>0</v>
      </c>
      <c r="AN207" t="s">
        <v>2644</v>
      </c>
      <c r="AO207" s="12">
        <v>46054</v>
      </c>
      <c r="AP207">
        <v>2026</v>
      </c>
      <c r="AQ207">
        <v>2</v>
      </c>
      <c r="AR207" t="s">
        <v>2649</v>
      </c>
    </row>
    <row r="208" spans="1:44">
      <c r="A208" t="s">
        <v>1026</v>
      </c>
      <c r="B208" s="12">
        <v>46060</v>
      </c>
      <c r="C208" s="12">
        <v>46051</v>
      </c>
      <c r="D208" t="s">
        <v>837</v>
      </c>
      <c r="E208" t="s">
        <v>281</v>
      </c>
      <c r="F208" t="s">
        <v>297</v>
      </c>
      <c r="G208" t="s">
        <v>368</v>
      </c>
      <c r="H208" t="s">
        <v>115</v>
      </c>
      <c r="I208" t="s">
        <v>316</v>
      </c>
      <c r="J208" s="13">
        <v>0.4375</v>
      </c>
      <c r="K208" s="13">
        <v>0.44236111111111109</v>
      </c>
      <c r="L208" s="13">
        <v>0.44513888888888886</v>
      </c>
      <c r="M208">
        <v>20</v>
      </c>
      <c r="N208" s="14">
        <v>65</v>
      </c>
      <c r="O208" t="s">
        <v>169</v>
      </c>
      <c r="P208">
        <v>3</v>
      </c>
      <c r="Q208" t="s">
        <v>285</v>
      </c>
      <c r="R208" t="s">
        <v>896</v>
      </c>
      <c r="S208">
        <v>0</v>
      </c>
      <c r="T208">
        <v>0</v>
      </c>
      <c r="U208" t="s">
        <v>2290</v>
      </c>
      <c r="V208" t="s">
        <v>2291</v>
      </c>
      <c r="W208" t="s">
        <v>2292</v>
      </c>
      <c r="X208" t="s">
        <v>2288</v>
      </c>
      <c r="Y208" t="s">
        <v>2293</v>
      </c>
      <c r="Z208" t="s">
        <v>2306</v>
      </c>
      <c r="AA208">
        <v>7</v>
      </c>
      <c r="AB208" s="14">
        <v>65</v>
      </c>
      <c r="AC208" t="s">
        <v>2307</v>
      </c>
      <c r="AD208" t="s">
        <v>2308</v>
      </c>
      <c r="AE208" t="s">
        <v>2643</v>
      </c>
      <c r="AF208">
        <v>9</v>
      </c>
      <c r="AG208">
        <v>0</v>
      </c>
      <c r="AH208">
        <v>4</v>
      </c>
      <c r="AI208">
        <v>1</v>
      </c>
      <c r="AJ208">
        <v>1</v>
      </c>
      <c r="AK208">
        <v>0</v>
      </c>
      <c r="AL208">
        <v>1</v>
      </c>
      <c r="AM208" s="14">
        <v>0</v>
      </c>
      <c r="AN208" t="s">
        <v>2644</v>
      </c>
      <c r="AO208" s="12">
        <v>46054</v>
      </c>
      <c r="AP208">
        <v>2026</v>
      </c>
      <c r="AQ208">
        <v>2</v>
      </c>
      <c r="AR208" t="s">
        <v>2649</v>
      </c>
    </row>
    <row r="209" spans="1:44">
      <c r="A209" t="s">
        <v>1029</v>
      </c>
      <c r="B209" s="12">
        <v>46072</v>
      </c>
      <c r="C209" s="12">
        <v>46034</v>
      </c>
      <c r="D209" t="s">
        <v>1031</v>
      </c>
      <c r="E209" t="s">
        <v>255</v>
      </c>
      <c r="F209" t="s">
        <v>297</v>
      </c>
      <c r="G209" t="s">
        <v>639</v>
      </c>
      <c r="H209" t="s">
        <v>122</v>
      </c>
      <c r="I209" t="s">
        <v>316</v>
      </c>
      <c r="J209" s="13">
        <v>0.35416666666666669</v>
      </c>
      <c r="K209" s="13"/>
      <c r="L209" s="13"/>
      <c r="M209">
        <v>0</v>
      </c>
      <c r="N209" s="14">
        <v>65</v>
      </c>
      <c r="O209" t="s">
        <v>195</v>
      </c>
      <c r="Q209" t="s">
        <v>305</v>
      </c>
      <c r="R209" t="s">
        <v>896</v>
      </c>
      <c r="S209">
        <v>0</v>
      </c>
      <c r="T209">
        <v>0</v>
      </c>
      <c r="U209" t="s">
        <v>2299</v>
      </c>
      <c r="V209" t="s">
        <v>2295</v>
      </c>
      <c r="W209" t="s">
        <v>2300</v>
      </c>
      <c r="X209" t="s">
        <v>2288</v>
      </c>
      <c r="Y209" t="s">
        <v>2301</v>
      </c>
      <c r="Z209" t="s">
        <v>2306</v>
      </c>
      <c r="AA209">
        <v>7</v>
      </c>
      <c r="AB209" s="14">
        <v>65</v>
      </c>
      <c r="AC209" t="s">
        <v>2307</v>
      </c>
      <c r="AD209" t="s">
        <v>2308</v>
      </c>
      <c r="AE209" t="s">
        <v>2643</v>
      </c>
      <c r="AF209">
        <v>38</v>
      </c>
      <c r="AG209">
        <v>0</v>
      </c>
      <c r="AJ209">
        <v>1</v>
      </c>
      <c r="AK209">
        <v>1</v>
      </c>
      <c r="AL209">
        <v>1</v>
      </c>
      <c r="AM209" s="14">
        <v>0</v>
      </c>
      <c r="AN209" t="s">
        <v>2644</v>
      </c>
      <c r="AO209" s="12">
        <v>46054</v>
      </c>
      <c r="AP209">
        <v>2026</v>
      </c>
      <c r="AQ209">
        <v>2</v>
      </c>
      <c r="AR209" t="s">
        <v>2649</v>
      </c>
    </row>
    <row r="210" spans="1:44">
      <c r="A210" t="s">
        <v>1032</v>
      </c>
      <c r="B210" s="12">
        <v>46055</v>
      </c>
      <c r="C210" s="12">
        <v>46033</v>
      </c>
      <c r="D210" t="s">
        <v>930</v>
      </c>
      <c r="E210" t="s">
        <v>339</v>
      </c>
      <c r="F210" t="s">
        <v>409</v>
      </c>
      <c r="G210" t="s">
        <v>501</v>
      </c>
      <c r="H210" t="s">
        <v>115</v>
      </c>
      <c r="I210" t="s">
        <v>258</v>
      </c>
      <c r="J210" s="13">
        <v>0.54166666666666663</v>
      </c>
      <c r="K210" s="13">
        <v>0.54097222222222219</v>
      </c>
      <c r="L210" s="13">
        <v>0.54861111111111116</v>
      </c>
      <c r="M210">
        <v>60</v>
      </c>
      <c r="N210" s="14">
        <v>150</v>
      </c>
      <c r="O210" t="s">
        <v>195</v>
      </c>
      <c r="P210">
        <v>5</v>
      </c>
      <c r="Q210" t="s">
        <v>262</v>
      </c>
      <c r="R210" t="s">
        <v>896</v>
      </c>
      <c r="S210">
        <v>0</v>
      </c>
      <c r="T210">
        <v>0</v>
      </c>
      <c r="U210" t="s">
        <v>2294</v>
      </c>
      <c r="V210" t="s">
        <v>2295</v>
      </c>
      <c r="W210" t="s">
        <v>2296</v>
      </c>
      <c r="X210" t="s">
        <v>2297</v>
      </c>
      <c r="Y210" t="s">
        <v>2298</v>
      </c>
      <c r="Z210" t="s">
        <v>2318</v>
      </c>
      <c r="AA210">
        <v>28</v>
      </c>
      <c r="AB210" s="14">
        <v>150</v>
      </c>
      <c r="AC210" t="s">
        <v>2319</v>
      </c>
      <c r="AD210" t="s">
        <v>2320</v>
      </c>
      <c r="AE210" t="s">
        <v>2643</v>
      </c>
      <c r="AF210">
        <v>22</v>
      </c>
      <c r="AG210">
        <v>1</v>
      </c>
      <c r="AH210">
        <v>11</v>
      </c>
      <c r="AI210">
        <v>1</v>
      </c>
      <c r="AJ210">
        <v>1</v>
      </c>
      <c r="AK210">
        <v>0</v>
      </c>
      <c r="AL210">
        <v>1</v>
      </c>
      <c r="AM210" s="14">
        <v>0</v>
      </c>
      <c r="AN210" t="s">
        <v>2644</v>
      </c>
      <c r="AO210" s="12">
        <v>46054</v>
      </c>
      <c r="AP210">
        <v>2026</v>
      </c>
      <c r="AQ210">
        <v>2</v>
      </c>
      <c r="AR210" t="s">
        <v>2649</v>
      </c>
    </row>
    <row r="211" spans="1:44">
      <c r="A211" t="s">
        <v>1034</v>
      </c>
      <c r="B211" s="12">
        <v>46056</v>
      </c>
      <c r="C211" s="12">
        <v>46025</v>
      </c>
      <c r="D211" t="s">
        <v>460</v>
      </c>
      <c r="E211" t="s">
        <v>268</v>
      </c>
      <c r="F211" t="s">
        <v>297</v>
      </c>
      <c r="G211" t="s">
        <v>583</v>
      </c>
      <c r="H211" t="s">
        <v>115</v>
      </c>
      <c r="I211" t="s">
        <v>316</v>
      </c>
      <c r="J211" s="13">
        <v>0.375</v>
      </c>
      <c r="K211" s="13">
        <v>0.36875000000000002</v>
      </c>
      <c r="L211" s="13">
        <v>0.375</v>
      </c>
      <c r="M211">
        <v>30</v>
      </c>
      <c r="N211" s="14">
        <v>65</v>
      </c>
      <c r="O211" t="s">
        <v>195</v>
      </c>
      <c r="P211">
        <v>2</v>
      </c>
      <c r="Q211" t="s">
        <v>318</v>
      </c>
      <c r="R211" t="s">
        <v>896</v>
      </c>
      <c r="S211">
        <v>0</v>
      </c>
      <c r="T211">
        <v>0</v>
      </c>
      <c r="U211" t="s">
        <v>2285</v>
      </c>
      <c r="V211" t="s">
        <v>2286</v>
      </c>
      <c r="W211" t="s">
        <v>2287</v>
      </c>
      <c r="X211" t="s">
        <v>2288</v>
      </c>
      <c r="Y211" t="s">
        <v>2289</v>
      </c>
      <c r="Z211" t="s">
        <v>2306</v>
      </c>
      <c r="AA211">
        <v>7</v>
      </c>
      <c r="AB211" s="14">
        <v>65</v>
      </c>
      <c r="AC211" t="s">
        <v>2307</v>
      </c>
      <c r="AD211" t="s">
        <v>2308</v>
      </c>
      <c r="AE211" t="s">
        <v>2643</v>
      </c>
      <c r="AF211">
        <v>31</v>
      </c>
      <c r="AG211">
        <v>0</v>
      </c>
      <c r="AH211">
        <v>9</v>
      </c>
      <c r="AI211">
        <v>1</v>
      </c>
      <c r="AJ211">
        <v>1</v>
      </c>
      <c r="AK211">
        <v>0</v>
      </c>
      <c r="AL211">
        <v>1</v>
      </c>
      <c r="AM211" s="14">
        <v>0</v>
      </c>
      <c r="AN211" t="s">
        <v>2644</v>
      </c>
      <c r="AO211" s="12">
        <v>46054</v>
      </c>
      <c r="AP211">
        <v>2026</v>
      </c>
      <c r="AQ211">
        <v>2</v>
      </c>
      <c r="AR211" t="s">
        <v>2649</v>
      </c>
    </row>
    <row r="212" spans="1:44">
      <c r="A212" t="s">
        <v>1035</v>
      </c>
      <c r="B212" s="12">
        <v>46070</v>
      </c>
      <c r="C212" s="12">
        <v>46067</v>
      </c>
      <c r="D212" t="s">
        <v>1036</v>
      </c>
      <c r="E212" t="s">
        <v>339</v>
      </c>
      <c r="F212" t="s">
        <v>409</v>
      </c>
      <c r="G212" t="s">
        <v>501</v>
      </c>
      <c r="H212" t="s">
        <v>115</v>
      </c>
      <c r="I212" t="s">
        <v>258</v>
      </c>
      <c r="J212" s="13">
        <v>0.4375</v>
      </c>
      <c r="K212" s="13">
        <v>0.43472222222222223</v>
      </c>
      <c r="L212" s="13">
        <v>0.45763888888888887</v>
      </c>
      <c r="M212">
        <v>30</v>
      </c>
      <c r="N212" s="14">
        <v>150</v>
      </c>
      <c r="O212" t="s">
        <v>169</v>
      </c>
      <c r="P212">
        <v>3</v>
      </c>
      <c r="Q212" t="s">
        <v>305</v>
      </c>
      <c r="R212" t="s">
        <v>896</v>
      </c>
      <c r="S212">
        <v>0</v>
      </c>
      <c r="T212">
        <v>0</v>
      </c>
      <c r="U212" t="s">
        <v>2294</v>
      </c>
      <c r="V212" t="s">
        <v>2295</v>
      </c>
      <c r="W212" t="s">
        <v>2296</v>
      </c>
      <c r="X212" t="s">
        <v>2297</v>
      </c>
      <c r="Y212" t="s">
        <v>2298</v>
      </c>
      <c r="Z212" t="s">
        <v>2318</v>
      </c>
      <c r="AA212">
        <v>28</v>
      </c>
      <c r="AB212" s="14">
        <v>150</v>
      </c>
      <c r="AC212" t="s">
        <v>2319</v>
      </c>
      <c r="AD212" t="s">
        <v>2320</v>
      </c>
      <c r="AE212" t="s">
        <v>2643</v>
      </c>
      <c r="AF212">
        <v>3</v>
      </c>
      <c r="AG212">
        <v>1</v>
      </c>
      <c r="AH212">
        <v>33</v>
      </c>
      <c r="AI212">
        <v>0</v>
      </c>
      <c r="AJ212">
        <v>1</v>
      </c>
      <c r="AK212">
        <v>0</v>
      </c>
      <c r="AL212">
        <v>1</v>
      </c>
      <c r="AM212" s="14">
        <v>0</v>
      </c>
      <c r="AN212" t="s">
        <v>2644</v>
      </c>
      <c r="AO212" s="12">
        <v>46054</v>
      </c>
      <c r="AP212">
        <v>2026</v>
      </c>
      <c r="AQ212">
        <v>2</v>
      </c>
      <c r="AR212" t="s">
        <v>2649</v>
      </c>
    </row>
    <row r="213" spans="1:44">
      <c r="A213" t="s">
        <v>1039</v>
      </c>
      <c r="B213" s="12">
        <v>46070</v>
      </c>
      <c r="C213" s="12">
        <v>46055</v>
      </c>
      <c r="D213" t="s">
        <v>1022</v>
      </c>
      <c r="E213" t="s">
        <v>255</v>
      </c>
      <c r="F213" t="s">
        <v>269</v>
      </c>
      <c r="G213" t="s">
        <v>391</v>
      </c>
      <c r="H213" t="s">
        <v>122</v>
      </c>
      <c r="I213" t="s">
        <v>271</v>
      </c>
      <c r="J213" s="13">
        <v>0.375</v>
      </c>
      <c r="K213" s="13"/>
      <c r="L213" s="13"/>
      <c r="M213">
        <v>0</v>
      </c>
      <c r="N213" s="14">
        <v>80</v>
      </c>
      <c r="O213" t="s">
        <v>195</v>
      </c>
      <c r="Q213" t="s">
        <v>285</v>
      </c>
      <c r="R213" t="s">
        <v>896</v>
      </c>
      <c r="S213">
        <v>0</v>
      </c>
      <c r="T213">
        <v>0</v>
      </c>
      <c r="U213" t="s">
        <v>2299</v>
      </c>
      <c r="V213" t="s">
        <v>2295</v>
      </c>
      <c r="W213" t="s">
        <v>2300</v>
      </c>
      <c r="X213" t="s">
        <v>2288</v>
      </c>
      <c r="Y213" t="s">
        <v>2301</v>
      </c>
      <c r="Z213" t="s">
        <v>2315</v>
      </c>
      <c r="AA213">
        <v>10</v>
      </c>
      <c r="AB213" s="14">
        <v>80</v>
      </c>
      <c r="AC213" t="s">
        <v>2316</v>
      </c>
      <c r="AD213" t="s">
        <v>2317</v>
      </c>
      <c r="AE213" t="s">
        <v>2643</v>
      </c>
      <c r="AF213">
        <v>15</v>
      </c>
      <c r="AG213">
        <v>0</v>
      </c>
      <c r="AJ213">
        <v>1</v>
      </c>
      <c r="AK213">
        <v>1</v>
      </c>
      <c r="AL213">
        <v>1</v>
      </c>
      <c r="AM213" s="14">
        <v>0</v>
      </c>
      <c r="AN213" t="s">
        <v>2644</v>
      </c>
      <c r="AO213" s="12">
        <v>46054</v>
      </c>
      <c r="AP213">
        <v>2026</v>
      </c>
      <c r="AQ213">
        <v>2</v>
      </c>
      <c r="AR213" t="s">
        <v>2649</v>
      </c>
    </row>
    <row r="214" spans="1:44">
      <c r="A214" t="s">
        <v>1041</v>
      </c>
      <c r="B214" s="12">
        <v>46058</v>
      </c>
      <c r="C214" s="12">
        <v>46023</v>
      </c>
      <c r="D214" t="s">
        <v>1042</v>
      </c>
      <c r="E214" t="s">
        <v>268</v>
      </c>
      <c r="F214" t="s">
        <v>282</v>
      </c>
      <c r="G214" t="s">
        <v>524</v>
      </c>
      <c r="H214" t="s">
        <v>115</v>
      </c>
      <c r="I214" t="s">
        <v>258</v>
      </c>
      <c r="J214" s="13">
        <v>0.5</v>
      </c>
      <c r="K214" s="13">
        <v>0.50486111111111109</v>
      </c>
      <c r="L214" s="13">
        <v>0.52638888888888891</v>
      </c>
      <c r="M214">
        <v>60</v>
      </c>
      <c r="N214" s="14">
        <v>120</v>
      </c>
      <c r="O214" t="s">
        <v>169</v>
      </c>
      <c r="P214">
        <v>5</v>
      </c>
      <c r="Q214" t="s">
        <v>326</v>
      </c>
      <c r="R214" t="s">
        <v>896</v>
      </c>
      <c r="S214">
        <v>0</v>
      </c>
      <c r="T214">
        <v>0</v>
      </c>
      <c r="U214" t="s">
        <v>2285</v>
      </c>
      <c r="V214" t="s">
        <v>2286</v>
      </c>
      <c r="W214" t="s">
        <v>2287</v>
      </c>
      <c r="X214" t="s">
        <v>2288</v>
      </c>
      <c r="Y214" t="s">
        <v>2289</v>
      </c>
      <c r="Z214" t="s">
        <v>2309</v>
      </c>
      <c r="AA214">
        <v>14</v>
      </c>
      <c r="AB214" s="14">
        <v>120</v>
      </c>
      <c r="AC214" t="s">
        <v>2310</v>
      </c>
      <c r="AD214" t="s">
        <v>2311</v>
      </c>
      <c r="AE214" t="s">
        <v>2643</v>
      </c>
      <c r="AF214">
        <v>35</v>
      </c>
      <c r="AG214">
        <v>0</v>
      </c>
      <c r="AH214">
        <v>31</v>
      </c>
      <c r="AI214">
        <v>0</v>
      </c>
      <c r="AJ214">
        <v>1</v>
      </c>
      <c r="AK214">
        <v>0</v>
      </c>
      <c r="AL214">
        <v>1</v>
      </c>
      <c r="AM214" s="14">
        <v>0</v>
      </c>
      <c r="AN214" t="s">
        <v>2644</v>
      </c>
      <c r="AO214" s="12">
        <v>46054</v>
      </c>
      <c r="AP214">
        <v>2026</v>
      </c>
      <c r="AQ214">
        <v>2</v>
      </c>
      <c r="AR214" t="s">
        <v>2649</v>
      </c>
    </row>
    <row r="215" spans="1:44">
      <c r="A215" t="s">
        <v>1044</v>
      </c>
      <c r="B215" s="12">
        <v>46081</v>
      </c>
      <c r="C215" s="12">
        <v>46046</v>
      </c>
      <c r="D215" t="s">
        <v>586</v>
      </c>
      <c r="E215" t="s">
        <v>281</v>
      </c>
      <c r="F215" t="s">
        <v>256</v>
      </c>
      <c r="G215" t="s">
        <v>796</v>
      </c>
      <c r="H215" t="s">
        <v>115</v>
      </c>
      <c r="I215" t="s">
        <v>271</v>
      </c>
      <c r="J215" s="13">
        <v>0.625</v>
      </c>
      <c r="K215" s="13">
        <v>0.62986111111111109</v>
      </c>
      <c r="L215" s="13">
        <v>0.64097222222222228</v>
      </c>
      <c r="M215">
        <v>60</v>
      </c>
      <c r="N215" s="14">
        <v>95</v>
      </c>
      <c r="O215" t="s">
        <v>195</v>
      </c>
      <c r="P215">
        <v>2</v>
      </c>
      <c r="Q215" t="s">
        <v>262</v>
      </c>
      <c r="R215" t="s">
        <v>896</v>
      </c>
      <c r="S215">
        <v>0</v>
      </c>
      <c r="T215">
        <v>0</v>
      </c>
      <c r="U215" t="s">
        <v>2290</v>
      </c>
      <c r="V215" t="s">
        <v>2291</v>
      </c>
      <c r="W215" t="s">
        <v>2292</v>
      </c>
      <c r="X215" t="s">
        <v>2288</v>
      </c>
      <c r="Y215" t="s">
        <v>2293</v>
      </c>
      <c r="Z215" t="s">
        <v>2312</v>
      </c>
      <c r="AA215">
        <v>21</v>
      </c>
      <c r="AB215" s="14">
        <v>95</v>
      </c>
      <c r="AC215" t="s">
        <v>2313</v>
      </c>
      <c r="AD215" t="s">
        <v>2314</v>
      </c>
      <c r="AE215" t="s">
        <v>2643</v>
      </c>
      <c r="AF215">
        <v>35</v>
      </c>
      <c r="AG215">
        <v>0</v>
      </c>
      <c r="AH215">
        <v>16</v>
      </c>
      <c r="AI215">
        <v>1</v>
      </c>
      <c r="AJ215">
        <v>1</v>
      </c>
      <c r="AK215">
        <v>0</v>
      </c>
      <c r="AL215">
        <v>1</v>
      </c>
      <c r="AM215" s="14">
        <v>0</v>
      </c>
      <c r="AN215" t="s">
        <v>2644</v>
      </c>
      <c r="AO215" s="12">
        <v>46054</v>
      </c>
      <c r="AP215">
        <v>2026</v>
      </c>
      <c r="AQ215">
        <v>2</v>
      </c>
      <c r="AR215" t="s">
        <v>2649</v>
      </c>
    </row>
    <row r="216" spans="1:44">
      <c r="A216" t="s">
        <v>1045</v>
      </c>
      <c r="B216" s="12">
        <v>46079</v>
      </c>
      <c r="C216" s="12">
        <v>46065</v>
      </c>
      <c r="D216" t="s">
        <v>638</v>
      </c>
      <c r="E216" t="s">
        <v>339</v>
      </c>
      <c r="F216" t="s">
        <v>256</v>
      </c>
      <c r="G216" t="s">
        <v>403</v>
      </c>
      <c r="H216" t="s">
        <v>115</v>
      </c>
      <c r="I216" t="s">
        <v>316</v>
      </c>
      <c r="J216" s="13">
        <v>0.66666666666666663</v>
      </c>
      <c r="K216" s="13">
        <v>0.66180555555555554</v>
      </c>
      <c r="L216" s="13">
        <v>0.6791666666666667</v>
      </c>
      <c r="M216">
        <v>60</v>
      </c>
      <c r="N216" s="14">
        <v>95</v>
      </c>
      <c r="O216" t="s">
        <v>169</v>
      </c>
      <c r="P216">
        <v>3</v>
      </c>
      <c r="Q216" t="s">
        <v>305</v>
      </c>
      <c r="R216" t="s">
        <v>896</v>
      </c>
      <c r="S216">
        <v>0</v>
      </c>
      <c r="T216">
        <v>0</v>
      </c>
      <c r="U216" t="s">
        <v>2294</v>
      </c>
      <c r="V216" t="s">
        <v>2295</v>
      </c>
      <c r="W216" t="s">
        <v>2296</v>
      </c>
      <c r="X216" t="s">
        <v>2297</v>
      </c>
      <c r="Y216" t="s">
        <v>2298</v>
      </c>
      <c r="Z216" t="s">
        <v>2312</v>
      </c>
      <c r="AA216">
        <v>21</v>
      </c>
      <c r="AB216" s="14">
        <v>95</v>
      </c>
      <c r="AC216" t="s">
        <v>2313</v>
      </c>
      <c r="AD216" t="s">
        <v>2314</v>
      </c>
      <c r="AE216" t="s">
        <v>2643</v>
      </c>
      <c r="AF216">
        <v>14</v>
      </c>
      <c r="AG216">
        <v>1</v>
      </c>
      <c r="AH216">
        <v>25</v>
      </c>
      <c r="AI216">
        <v>1</v>
      </c>
      <c r="AJ216">
        <v>1</v>
      </c>
      <c r="AK216">
        <v>0</v>
      </c>
      <c r="AL216">
        <v>1</v>
      </c>
      <c r="AM216" s="14">
        <v>0</v>
      </c>
      <c r="AN216" t="s">
        <v>2644</v>
      </c>
      <c r="AO216" s="12">
        <v>46054</v>
      </c>
      <c r="AP216">
        <v>2026</v>
      </c>
      <c r="AQ216">
        <v>2</v>
      </c>
      <c r="AR216" t="s">
        <v>2649</v>
      </c>
    </row>
    <row r="217" spans="1:44">
      <c r="A217" t="s">
        <v>1048</v>
      </c>
      <c r="B217" s="12">
        <v>46058</v>
      </c>
      <c r="C217" s="12">
        <v>46042</v>
      </c>
      <c r="D217" t="s">
        <v>460</v>
      </c>
      <c r="E217" t="s">
        <v>255</v>
      </c>
      <c r="F217" t="s">
        <v>256</v>
      </c>
      <c r="G217" t="s">
        <v>398</v>
      </c>
      <c r="H217" t="s">
        <v>127</v>
      </c>
      <c r="I217" t="s">
        <v>316</v>
      </c>
      <c r="J217" s="13">
        <v>0.4375</v>
      </c>
      <c r="K217" s="13"/>
      <c r="L217" s="13"/>
      <c r="M217">
        <v>0</v>
      </c>
      <c r="N217" s="14">
        <v>95</v>
      </c>
      <c r="O217" t="s">
        <v>195</v>
      </c>
      <c r="Q217" t="s">
        <v>318</v>
      </c>
      <c r="R217" t="s">
        <v>896</v>
      </c>
      <c r="S217">
        <v>0</v>
      </c>
      <c r="T217">
        <v>0</v>
      </c>
      <c r="U217" t="s">
        <v>2299</v>
      </c>
      <c r="V217" t="s">
        <v>2295</v>
      </c>
      <c r="W217" t="s">
        <v>2300</v>
      </c>
      <c r="X217" t="s">
        <v>2288</v>
      </c>
      <c r="Y217" t="s">
        <v>2301</v>
      </c>
      <c r="Z217" t="s">
        <v>2312</v>
      </c>
      <c r="AA217">
        <v>21</v>
      </c>
      <c r="AB217" s="14">
        <v>95</v>
      </c>
      <c r="AC217" t="s">
        <v>2313</v>
      </c>
      <c r="AD217" t="s">
        <v>2314</v>
      </c>
      <c r="AE217" t="s">
        <v>2643</v>
      </c>
      <c r="AF217">
        <v>16</v>
      </c>
      <c r="AG217">
        <v>1</v>
      </c>
      <c r="AJ217">
        <v>0</v>
      </c>
      <c r="AL217">
        <v>1</v>
      </c>
      <c r="AM217" s="14">
        <v>0</v>
      </c>
      <c r="AN217" t="s">
        <v>2644</v>
      </c>
      <c r="AO217" s="12">
        <v>46054</v>
      </c>
      <c r="AP217">
        <v>2026</v>
      </c>
      <c r="AQ217">
        <v>2</v>
      </c>
      <c r="AR217" t="s">
        <v>2649</v>
      </c>
    </row>
    <row r="218" spans="1:44">
      <c r="A218" t="s">
        <v>1049</v>
      </c>
      <c r="B218" s="12">
        <v>46064</v>
      </c>
      <c r="C218" s="12">
        <v>46012</v>
      </c>
      <c r="D218" t="s">
        <v>1050</v>
      </c>
      <c r="E218" t="s">
        <v>268</v>
      </c>
      <c r="F218" t="s">
        <v>409</v>
      </c>
      <c r="G218" t="s">
        <v>587</v>
      </c>
      <c r="H218" t="s">
        <v>127</v>
      </c>
      <c r="I218" t="s">
        <v>271</v>
      </c>
      <c r="J218" s="13">
        <v>0.41666666666666669</v>
      </c>
      <c r="K218" s="13"/>
      <c r="L218" s="13"/>
      <c r="M218">
        <v>0</v>
      </c>
      <c r="N218" s="14">
        <v>150</v>
      </c>
      <c r="O218" t="s">
        <v>195</v>
      </c>
      <c r="Q218" t="s">
        <v>305</v>
      </c>
      <c r="R218" t="s">
        <v>896</v>
      </c>
      <c r="S218">
        <v>0</v>
      </c>
      <c r="T218">
        <v>0</v>
      </c>
      <c r="U218" t="s">
        <v>2285</v>
      </c>
      <c r="V218" t="s">
        <v>2286</v>
      </c>
      <c r="W218" t="s">
        <v>2287</v>
      </c>
      <c r="X218" t="s">
        <v>2288</v>
      </c>
      <c r="Y218" t="s">
        <v>2289</v>
      </c>
      <c r="Z218" t="s">
        <v>2318</v>
      </c>
      <c r="AA218">
        <v>28</v>
      </c>
      <c r="AB218" s="14">
        <v>150</v>
      </c>
      <c r="AC218" t="s">
        <v>2319</v>
      </c>
      <c r="AD218" t="s">
        <v>2320</v>
      </c>
      <c r="AE218" t="s">
        <v>2643</v>
      </c>
      <c r="AF218">
        <v>52</v>
      </c>
      <c r="AG218">
        <v>0</v>
      </c>
      <c r="AJ218">
        <v>0</v>
      </c>
      <c r="AL218">
        <v>1</v>
      </c>
      <c r="AM218" s="14">
        <v>0</v>
      </c>
      <c r="AN218" t="s">
        <v>2644</v>
      </c>
      <c r="AO218" s="12">
        <v>46054</v>
      </c>
      <c r="AP218">
        <v>2026</v>
      </c>
      <c r="AQ218">
        <v>2</v>
      </c>
      <c r="AR218" t="s">
        <v>2649</v>
      </c>
    </row>
    <row r="219" spans="1:44">
      <c r="A219" t="s">
        <v>1051</v>
      </c>
      <c r="B219" s="12">
        <v>46070</v>
      </c>
      <c r="C219" s="12">
        <v>46017</v>
      </c>
      <c r="D219" t="s">
        <v>514</v>
      </c>
      <c r="E219" t="s">
        <v>255</v>
      </c>
      <c r="F219" t="s">
        <v>256</v>
      </c>
      <c r="G219" t="s">
        <v>257</v>
      </c>
      <c r="H219" t="s">
        <v>115</v>
      </c>
      <c r="I219" t="s">
        <v>258</v>
      </c>
      <c r="J219" s="13">
        <v>0.5625</v>
      </c>
      <c r="K219" s="13">
        <v>0.56597222222222221</v>
      </c>
      <c r="L219" s="13">
        <v>0.58194444444444449</v>
      </c>
      <c r="M219">
        <v>20</v>
      </c>
      <c r="N219" s="14">
        <v>95</v>
      </c>
      <c r="O219" t="s">
        <v>169</v>
      </c>
      <c r="P219">
        <v>4</v>
      </c>
      <c r="Q219" t="s">
        <v>285</v>
      </c>
      <c r="R219" t="s">
        <v>896</v>
      </c>
      <c r="S219">
        <v>0</v>
      </c>
      <c r="T219">
        <v>0</v>
      </c>
      <c r="U219" t="s">
        <v>2299</v>
      </c>
      <c r="V219" t="s">
        <v>2295</v>
      </c>
      <c r="W219" t="s">
        <v>2300</v>
      </c>
      <c r="X219" t="s">
        <v>2288</v>
      </c>
      <c r="Y219" t="s">
        <v>2301</v>
      </c>
      <c r="Z219" t="s">
        <v>2312</v>
      </c>
      <c r="AA219">
        <v>21</v>
      </c>
      <c r="AB219" s="14">
        <v>95</v>
      </c>
      <c r="AC219" t="s">
        <v>2313</v>
      </c>
      <c r="AD219" t="s">
        <v>2314</v>
      </c>
      <c r="AE219" t="s">
        <v>2643</v>
      </c>
      <c r="AF219">
        <v>53</v>
      </c>
      <c r="AG219">
        <v>0</v>
      </c>
      <c r="AH219">
        <v>23</v>
      </c>
      <c r="AI219">
        <v>1</v>
      </c>
      <c r="AJ219">
        <v>1</v>
      </c>
      <c r="AK219">
        <v>0</v>
      </c>
      <c r="AL219">
        <v>1</v>
      </c>
      <c r="AM219" s="14">
        <v>0</v>
      </c>
      <c r="AN219" t="s">
        <v>2644</v>
      </c>
      <c r="AO219" s="12">
        <v>46054</v>
      </c>
      <c r="AP219">
        <v>2026</v>
      </c>
      <c r="AQ219">
        <v>2</v>
      </c>
      <c r="AR219" t="s">
        <v>2649</v>
      </c>
    </row>
    <row r="220" spans="1:44">
      <c r="A220" t="s">
        <v>1054</v>
      </c>
      <c r="B220" s="12">
        <v>46056</v>
      </c>
      <c r="C220" s="12">
        <v>46042</v>
      </c>
      <c r="D220" t="s">
        <v>1055</v>
      </c>
      <c r="E220" t="s">
        <v>339</v>
      </c>
      <c r="F220" t="s">
        <v>256</v>
      </c>
      <c r="G220" t="s">
        <v>345</v>
      </c>
      <c r="H220" t="s">
        <v>115</v>
      </c>
      <c r="I220" t="s">
        <v>299</v>
      </c>
      <c r="J220" s="13">
        <v>0.54166666666666663</v>
      </c>
      <c r="K220" s="13">
        <v>0.55277777777777781</v>
      </c>
      <c r="L220" s="13">
        <v>0.55625000000000002</v>
      </c>
      <c r="M220">
        <v>30</v>
      </c>
      <c r="N220" s="14">
        <v>95</v>
      </c>
      <c r="O220" t="s">
        <v>195</v>
      </c>
      <c r="P220">
        <v>3</v>
      </c>
      <c r="Q220" t="s">
        <v>326</v>
      </c>
      <c r="R220" t="s">
        <v>896</v>
      </c>
      <c r="S220">
        <v>0</v>
      </c>
      <c r="T220">
        <v>0</v>
      </c>
      <c r="U220" t="s">
        <v>2294</v>
      </c>
      <c r="V220" t="s">
        <v>2295</v>
      </c>
      <c r="W220" t="s">
        <v>2296</v>
      </c>
      <c r="X220" t="s">
        <v>2297</v>
      </c>
      <c r="Y220" t="s">
        <v>2298</v>
      </c>
      <c r="Z220" t="s">
        <v>2312</v>
      </c>
      <c r="AA220">
        <v>21</v>
      </c>
      <c r="AB220" s="14">
        <v>95</v>
      </c>
      <c r="AC220" t="s">
        <v>2313</v>
      </c>
      <c r="AD220" t="s">
        <v>2314</v>
      </c>
      <c r="AE220" t="s">
        <v>2643</v>
      </c>
      <c r="AF220">
        <v>14</v>
      </c>
      <c r="AG220">
        <v>1</v>
      </c>
      <c r="AH220">
        <v>5</v>
      </c>
      <c r="AI220">
        <v>1</v>
      </c>
      <c r="AJ220">
        <v>1</v>
      </c>
      <c r="AK220">
        <v>0</v>
      </c>
      <c r="AL220">
        <v>1</v>
      </c>
      <c r="AM220" s="14">
        <v>0</v>
      </c>
      <c r="AN220" t="s">
        <v>2644</v>
      </c>
      <c r="AO220" s="12">
        <v>46054</v>
      </c>
      <c r="AP220">
        <v>2026</v>
      </c>
      <c r="AQ220">
        <v>2</v>
      </c>
      <c r="AR220" t="s">
        <v>2649</v>
      </c>
    </row>
    <row r="221" spans="1:44">
      <c r="A221" t="s">
        <v>1056</v>
      </c>
      <c r="B221" s="12">
        <v>46073</v>
      </c>
      <c r="C221" s="12">
        <v>46039</v>
      </c>
      <c r="D221" t="s">
        <v>941</v>
      </c>
      <c r="E221" t="s">
        <v>281</v>
      </c>
      <c r="F221" t="s">
        <v>282</v>
      </c>
      <c r="G221" t="s">
        <v>283</v>
      </c>
      <c r="H221" t="s">
        <v>115</v>
      </c>
      <c r="I221" t="s">
        <v>316</v>
      </c>
      <c r="J221" s="13">
        <v>0.5625</v>
      </c>
      <c r="K221" s="13">
        <v>0.56736111111111109</v>
      </c>
      <c r="L221" s="13">
        <v>0.56736111111111109</v>
      </c>
      <c r="M221">
        <v>30</v>
      </c>
      <c r="N221" s="14">
        <v>120</v>
      </c>
      <c r="O221" t="s">
        <v>195</v>
      </c>
      <c r="P221">
        <v>5</v>
      </c>
      <c r="Q221" t="s">
        <v>318</v>
      </c>
      <c r="R221" t="s">
        <v>896</v>
      </c>
      <c r="S221">
        <v>0</v>
      </c>
      <c r="T221">
        <v>0</v>
      </c>
      <c r="U221" t="s">
        <v>2290</v>
      </c>
      <c r="V221" t="s">
        <v>2291</v>
      </c>
      <c r="W221" t="s">
        <v>2292</v>
      </c>
      <c r="X221" t="s">
        <v>2288</v>
      </c>
      <c r="Y221" t="s">
        <v>2293</v>
      </c>
      <c r="Z221" t="s">
        <v>2309</v>
      </c>
      <c r="AA221">
        <v>14</v>
      </c>
      <c r="AB221" s="14">
        <v>120</v>
      </c>
      <c r="AC221" t="s">
        <v>2310</v>
      </c>
      <c r="AD221" t="s">
        <v>2311</v>
      </c>
      <c r="AE221" t="s">
        <v>2643</v>
      </c>
      <c r="AF221">
        <v>34</v>
      </c>
      <c r="AG221">
        <v>0</v>
      </c>
      <c r="AH221">
        <v>0</v>
      </c>
      <c r="AI221">
        <v>1</v>
      </c>
      <c r="AJ221">
        <v>1</v>
      </c>
      <c r="AK221">
        <v>0</v>
      </c>
      <c r="AL221">
        <v>1</v>
      </c>
      <c r="AM221" s="14">
        <v>0</v>
      </c>
      <c r="AN221" t="s">
        <v>2644</v>
      </c>
      <c r="AO221" s="12">
        <v>46054</v>
      </c>
      <c r="AP221">
        <v>2026</v>
      </c>
      <c r="AQ221">
        <v>2</v>
      </c>
      <c r="AR221" t="s">
        <v>2649</v>
      </c>
    </row>
    <row r="222" spans="1:44">
      <c r="A222" t="s">
        <v>1059</v>
      </c>
      <c r="B222" s="12">
        <v>46069</v>
      </c>
      <c r="C222" s="12">
        <v>46027</v>
      </c>
      <c r="D222" t="s">
        <v>1060</v>
      </c>
      <c r="E222" t="s">
        <v>268</v>
      </c>
      <c r="F222" t="s">
        <v>256</v>
      </c>
      <c r="G222" t="s">
        <v>886</v>
      </c>
      <c r="H222" t="s">
        <v>127</v>
      </c>
      <c r="I222" t="s">
        <v>299</v>
      </c>
      <c r="J222" s="13">
        <v>0.4375</v>
      </c>
      <c r="K222" s="13">
        <v>0.43055555555555558</v>
      </c>
      <c r="L222" s="13">
        <v>0.4465277777777778</v>
      </c>
      <c r="M222">
        <v>60</v>
      </c>
      <c r="N222" s="14">
        <v>95</v>
      </c>
      <c r="O222" t="s">
        <v>195</v>
      </c>
      <c r="P222">
        <v>2</v>
      </c>
      <c r="Q222" t="s">
        <v>318</v>
      </c>
      <c r="R222" t="s">
        <v>896</v>
      </c>
      <c r="S222">
        <v>0</v>
      </c>
      <c r="T222">
        <v>0</v>
      </c>
      <c r="U222" t="s">
        <v>2285</v>
      </c>
      <c r="V222" t="s">
        <v>2286</v>
      </c>
      <c r="W222" t="s">
        <v>2287</v>
      </c>
      <c r="X222" t="s">
        <v>2288</v>
      </c>
      <c r="Y222" t="s">
        <v>2289</v>
      </c>
      <c r="Z222" t="s">
        <v>2312</v>
      </c>
      <c r="AA222">
        <v>21</v>
      </c>
      <c r="AB222" s="14">
        <v>95</v>
      </c>
      <c r="AC222" t="s">
        <v>2313</v>
      </c>
      <c r="AD222" t="s">
        <v>2314</v>
      </c>
      <c r="AE222" t="s">
        <v>2643</v>
      </c>
      <c r="AF222">
        <v>42</v>
      </c>
      <c r="AG222">
        <v>0</v>
      </c>
      <c r="AJ222">
        <v>0</v>
      </c>
      <c r="AL222">
        <v>1</v>
      </c>
      <c r="AM222" s="14">
        <v>0</v>
      </c>
      <c r="AN222" t="s">
        <v>2644</v>
      </c>
      <c r="AO222" s="12">
        <v>46054</v>
      </c>
      <c r="AP222">
        <v>2026</v>
      </c>
      <c r="AQ222">
        <v>2</v>
      </c>
      <c r="AR222" t="s">
        <v>2649</v>
      </c>
    </row>
    <row r="223" spans="1:44">
      <c r="A223" t="s">
        <v>1061</v>
      </c>
      <c r="B223" s="12">
        <v>46080</v>
      </c>
      <c r="C223" s="12">
        <v>46043</v>
      </c>
      <c r="D223" t="s">
        <v>909</v>
      </c>
      <c r="E223" t="s">
        <v>339</v>
      </c>
      <c r="F223" t="s">
        <v>269</v>
      </c>
      <c r="G223" t="s">
        <v>340</v>
      </c>
      <c r="H223" t="s">
        <v>115</v>
      </c>
      <c r="I223" t="s">
        <v>299</v>
      </c>
      <c r="J223" s="13">
        <v>0.4375</v>
      </c>
      <c r="K223" s="13">
        <v>0.44374999999999998</v>
      </c>
      <c r="L223" s="13">
        <v>0.46041666666666664</v>
      </c>
      <c r="M223">
        <v>30</v>
      </c>
      <c r="N223" s="14">
        <v>80</v>
      </c>
      <c r="O223" t="s">
        <v>195</v>
      </c>
      <c r="P223">
        <v>5</v>
      </c>
      <c r="Q223" t="s">
        <v>285</v>
      </c>
      <c r="R223" t="s">
        <v>896</v>
      </c>
      <c r="S223">
        <v>0</v>
      </c>
      <c r="T223">
        <v>0</v>
      </c>
      <c r="U223" t="s">
        <v>2294</v>
      </c>
      <c r="V223" t="s">
        <v>2295</v>
      </c>
      <c r="W223" t="s">
        <v>2296</v>
      </c>
      <c r="X223" t="s">
        <v>2297</v>
      </c>
      <c r="Y223" t="s">
        <v>2298</v>
      </c>
      <c r="Z223" t="s">
        <v>2315</v>
      </c>
      <c r="AA223">
        <v>10</v>
      </c>
      <c r="AB223" s="14">
        <v>80</v>
      </c>
      <c r="AC223" t="s">
        <v>2316</v>
      </c>
      <c r="AD223" t="s">
        <v>2317</v>
      </c>
      <c r="AE223" t="s">
        <v>2643</v>
      </c>
      <c r="AF223">
        <v>37</v>
      </c>
      <c r="AG223">
        <v>0</v>
      </c>
      <c r="AH223">
        <v>24</v>
      </c>
      <c r="AI223">
        <v>1</v>
      </c>
      <c r="AJ223">
        <v>1</v>
      </c>
      <c r="AK223">
        <v>0</v>
      </c>
      <c r="AL223">
        <v>1</v>
      </c>
      <c r="AM223" s="14">
        <v>0</v>
      </c>
      <c r="AN223" t="s">
        <v>2644</v>
      </c>
      <c r="AO223" s="12">
        <v>46054</v>
      </c>
      <c r="AP223">
        <v>2026</v>
      </c>
      <c r="AQ223">
        <v>2</v>
      </c>
      <c r="AR223" t="s">
        <v>2649</v>
      </c>
    </row>
    <row r="224" spans="1:44">
      <c r="A224" t="s">
        <v>1062</v>
      </c>
      <c r="B224" s="12">
        <v>46057</v>
      </c>
      <c r="C224" s="12">
        <v>46032</v>
      </c>
      <c r="D224" t="s">
        <v>280</v>
      </c>
      <c r="E224" t="s">
        <v>281</v>
      </c>
      <c r="F224" t="s">
        <v>409</v>
      </c>
      <c r="G224" t="s">
        <v>535</v>
      </c>
      <c r="H224" t="s">
        <v>115</v>
      </c>
      <c r="I224" t="s">
        <v>299</v>
      </c>
      <c r="J224" s="13">
        <v>0.41666666666666669</v>
      </c>
      <c r="K224" s="13">
        <v>0.41249999999999998</v>
      </c>
      <c r="L224" s="13">
        <v>0.41805555555555557</v>
      </c>
      <c r="M224">
        <v>20</v>
      </c>
      <c r="N224" s="14">
        <v>150</v>
      </c>
      <c r="O224" t="s">
        <v>169</v>
      </c>
      <c r="P224">
        <v>4</v>
      </c>
      <c r="Q224" t="s">
        <v>305</v>
      </c>
      <c r="R224" t="s">
        <v>896</v>
      </c>
      <c r="S224">
        <v>0</v>
      </c>
      <c r="T224">
        <v>0</v>
      </c>
      <c r="U224" t="s">
        <v>2290</v>
      </c>
      <c r="V224" t="s">
        <v>2291</v>
      </c>
      <c r="W224" t="s">
        <v>2292</v>
      </c>
      <c r="X224" t="s">
        <v>2288</v>
      </c>
      <c r="Y224" t="s">
        <v>2293</v>
      </c>
      <c r="Z224" t="s">
        <v>2318</v>
      </c>
      <c r="AA224">
        <v>28</v>
      </c>
      <c r="AB224" s="14">
        <v>150</v>
      </c>
      <c r="AC224" t="s">
        <v>2319</v>
      </c>
      <c r="AD224" t="s">
        <v>2320</v>
      </c>
      <c r="AE224" t="s">
        <v>2643</v>
      </c>
      <c r="AF224">
        <v>25</v>
      </c>
      <c r="AG224">
        <v>1</v>
      </c>
      <c r="AH224">
        <v>8</v>
      </c>
      <c r="AI224">
        <v>1</v>
      </c>
      <c r="AJ224">
        <v>1</v>
      </c>
      <c r="AK224">
        <v>0</v>
      </c>
      <c r="AL224">
        <v>1</v>
      </c>
      <c r="AM224" s="14">
        <v>0</v>
      </c>
      <c r="AN224" t="s">
        <v>2644</v>
      </c>
      <c r="AO224" s="12">
        <v>46054</v>
      </c>
      <c r="AP224">
        <v>2026</v>
      </c>
      <c r="AQ224">
        <v>2</v>
      </c>
      <c r="AR224" t="s">
        <v>2649</v>
      </c>
    </row>
    <row r="225" spans="1:44">
      <c r="A225" t="s">
        <v>1064</v>
      </c>
      <c r="B225" s="12">
        <v>46058</v>
      </c>
      <c r="C225" s="12">
        <v>46051</v>
      </c>
      <c r="D225" t="s">
        <v>1065</v>
      </c>
      <c r="E225" t="s">
        <v>255</v>
      </c>
      <c r="F225" t="s">
        <v>269</v>
      </c>
      <c r="G225" t="s">
        <v>391</v>
      </c>
      <c r="H225" t="s">
        <v>115</v>
      </c>
      <c r="I225" t="s">
        <v>258</v>
      </c>
      <c r="J225" s="13">
        <v>0.58333333333333337</v>
      </c>
      <c r="K225" s="13">
        <v>0.59305555555555556</v>
      </c>
      <c r="L225" s="13">
        <v>0.58611111111111114</v>
      </c>
      <c r="M225">
        <v>30</v>
      </c>
      <c r="N225" s="14">
        <v>80</v>
      </c>
      <c r="O225" t="s">
        <v>169</v>
      </c>
      <c r="P225">
        <v>4</v>
      </c>
      <c r="Q225" t="s">
        <v>326</v>
      </c>
      <c r="R225" t="s">
        <v>896</v>
      </c>
      <c r="S225">
        <v>0</v>
      </c>
      <c r="T225">
        <v>0</v>
      </c>
      <c r="U225" t="s">
        <v>2299</v>
      </c>
      <c r="V225" t="s">
        <v>2295</v>
      </c>
      <c r="W225" t="s">
        <v>2300</v>
      </c>
      <c r="X225" t="s">
        <v>2288</v>
      </c>
      <c r="Y225" t="s">
        <v>2301</v>
      </c>
      <c r="Z225" t="s">
        <v>2315</v>
      </c>
      <c r="AA225">
        <v>10</v>
      </c>
      <c r="AB225" s="14">
        <v>80</v>
      </c>
      <c r="AC225" t="s">
        <v>2316</v>
      </c>
      <c r="AD225" t="s">
        <v>2317</v>
      </c>
      <c r="AE225" t="s">
        <v>2643</v>
      </c>
      <c r="AF225">
        <v>7</v>
      </c>
      <c r="AG225">
        <v>1</v>
      </c>
      <c r="AJ225">
        <v>1</v>
      </c>
      <c r="AK225">
        <v>0</v>
      </c>
      <c r="AL225">
        <v>1</v>
      </c>
      <c r="AM225" s="14">
        <v>0</v>
      </c>
      <c r="AN225" t="s">
        <v>2644</v>
      </c>
      <c r="AO225" s="12">
        <v>46054</v>
      </c>
      <c r="AP225">
        <v>2026</v>
      </c>
      <c r="AQ225">
        <v>2</v>
      </c>
      <c r="AR225" t="s">
        <v>2649</v>
      </c>
    </row>
    <row r="226" spans="1:44">
      <c r="A226" t="s">
        <v>1066</v>
      </c>
      <c r="B226" s="12">
        <v>46057</v>
      </c>
      <c r="C226" s="12">
        <v>46047</v>
      </c>
      <c r="D226" t="s">
        <v>1067</v>
      </c>
      <c r="E226" t="s">
        <v>268</v>
      </c>
      <c r="F226" t="s">
        <v>297</v>
      </c>
      <c r="G226" t="s">
        <v>628</v>
      </c>
      <c r="H226" t="s">
        <v>115</v>
      </c>
      <c r="I226" t="s">
        <v>316</v>
      </c>
      <c r="J226" s="13">
        <v>0.66666666666666663</v>
      </c>
      <c r="K226" s="13">
        <v>0.67152777777777772</v>
      </c>
      <c r="L226" s="13">
        <v>0.69305555555555554</v>
      </c>
      <c r="M226">
        <v>20</v>
      </c>
      <c r="N226" s="14">
        <v>65</v>
      </c>
      <c r="O226" t="s">
        <v>195</v>
      </c>
      <c r="P226">
        <v>2</v>
      </c>
      <c r="Q226" t="s">
        <v>262</v>
      </c>
      <c r="R226" t="s">
        <v>896</v>
      </c>
      <c r="S226">
        <v>0</v>
      </c>
      <c r="T226">
        <v>0</v>
      </c>
      <c r="U226" t="s">
        <v>2285</v>
      </c>
      <c r="V226" t="s">
        <v>2286</v>
      </c>
      <c r="W226" t="s">
        <v>2287</v>
      </c>
      <c r="X226" t="s">
        <v>2288</v>
      </c>
      <c r="Y226" t="s">
        <v>2289</v>
      </c>
      <c r="Z226" t="s">
        <v>2306</v>
      </c>
      <c r="AA226">
        <v>7</v>
      </c>
      <c r="AB226" s="14">
        <v>65</v>
      </c>
      <c r="AC226" t="s">
        <v>2307</v>
      </c>
      <c r="AD226" t="s">
        <v>2308</v>
      </c>
      <c r="AE226" t="s">
        <v>2643</v>
      </c>
      <c r="AF226">
        <v>10</v>
      </c>
      <c r="AG226">
        <v>0</v>
      </c>
      <c r="AH226">
        <v>31</v>
      </c>
      <c r="AI226">
        <v>0</v>
      </c>
      <c r="AJ226">
        <v>1</v>
      </c>
      <c r="AK226">
        <v>0</v>
      </c>
      <c r="AL226">
        <v>1</v>
      </c>
      <c r="AM226" s="14">
        <v>0</v>
      </c>
      <c r="AN226" t="s">
        <v>2644</v>
      </c>
      <c r="AO226" s="12">
        <v>46054</v>
      </c>
      <c r="AP226">
        <v>2026</v>
      </c>
      <c r="AQ226">
        <v>2</v>
      </c>
      <c r="AR226" t="s">
        <v>2649</v>
      </c>
    </row>
    <row r="227" spans="1:44">
      <c r="A227" t="s">
        <v>1069</v>
      </c>
      <c r="B227" s="12">
        <v>46063</v>
      </c>
      <c r="C227" s="12">
        <v>46015</v>
      </c>
      <c r="D227" t="s">
        <v>921</v>
      </c>
      <c r="E227" t="s">
        <v>255</v>
      </c>
      <c r="F227" t="s">
        <v>409</v>
      </c>
      <c r="G227" t="s">
        <v>648</v>
      </c>
      <c r="H227" t="s">
        <v>115</v>
      </c>
      <c r="I227" t="s">
        <v>271</v>
      </c>
      <c r="J227" s="13">
        <v>0.58333333333333337</v>
      </c>
      <c r="K227" s="13">
        <v>0.57708333333333328</v>
      </c>
      <c r="L227" s="13">
        <v>0.60138888888888886</v>
      </c>
      <c r="M227">
        <v>45</v>
      </c>
      <c r="N227" s="14">
        <v>150</v>
      </c>
      <c r="O227" t="s">
        <v>195</v>
      </c>
      <c r="P227">
        <v>3</v>
      </c>
      <c r="Q227" t="s">
        <v>318</v>
      </c>
      <c r="R227" t="s">
        <v>896</v>
      </c>
      <c r="S227">
        <v>0</v>
      </c>
      <c r="T227">
        <v>0</v>
      </c>
      <c r="U227" t="s">
        <v>2299</v>
      </c>
      <c r="V227" t="s">
        <v>2295</v>
      </c>
      <c r="W227" t="s">
        <v>2300</v>
      </c>
      <c r="X227" t="s">
        <v>2288</v>
      </c>
      <c r="Y227" t="s">
        <v>2301</v>
      </c>
      <c r="Z227" t="s">
        <v>2318</v>
      </c>
      <c r="AA227">
        <v>28</v>
      </c>
      <c r="AB227" s="14">
        <v>150</v>
      </c>
      <c r="AC227" t="s">
        <v>2319</v>
      </c>
      <c r="AD227" t="s">
        <v>2320</v>
      </c>
      <c r="AE227" t="s">
        <v>2643</v>
      </c>
      <c r="AF227">
        <v>48</v>
      </c>
      <c r="AG227">
        <v>0</v>
      </c>
      <c r="AH227">
        <v>35</v>
      </c>
      <c r="AI227">
        <v>0</v>
      </c>
      <c r="AJ227">
        <v>1</v>
      </c>
      <c r="AK227">
        <v>0</v>
      </c>
      <c r="AL227">
        <v>1</v>
      </c>
      <c r="AM227" s="14">
        <v>0</v>
      </c>
      <c r="AN227" t="s">
        <v>2644</v>
      </c>
      <c r="AO227" s="12">
        <v>46054</v>
      </c>
      <c r="AP227">
        <v>2026</v>
      </c>
      <c r="AQ227">
        <v>2</v>
      </c>
      <c r="AR227" t="s">
        <v>2649</v>
      </c>
    </row>
    <row r="228" spans="1:44">
      <c r="A228" t="s">
        <v>1070</v>
      </c>
      <c r="B228" s="12">
        <v>46076</v>
      </c>
      <c r="C228" s="12">
        <v>46069</v>
      </c>
      <c r="D228" t="s">
        <v>1071</v>
      </c>
      <c r="E228" t="s">
        <v>339</v>
      </c>
      <c r="F228" t="s">
        <v>297</v>
      </c>
      <c r="G228" t="s">
        <v>569</v>
      </c>
      <c r="H228" t="s">
        <v>115</v>
      </c>
      <c r="I228" t="s">
        <v>271</v>
      </c>
      <c r="J228" s="13">
        <v>0.58333333333333337</v>
      </c>
      <c r="K228" s="13">
        <v>0.59375</v>
      </c>
      <c r="L228" s="13">
        <v>0.60486111111111107</v>
      </c>
      <c r="M228">
        <v>20</v>
      </c>
      <c r="N228" s="14">
        <v>65</v>
      </c>
      <c r="O228" t="s">
        <v>195</v>
      </c>
      <c r="P228">
        <v>2</v>
      </c>
      <c r="Q228" t="s">
        <v>305</v>
      </c>
      <c r="R228" t="s">
        <v>896</v>
      </c>
      <c r="S228">
        <v>0</v>
      </c>
      <c r="T228">
        <v>0</v>
      </c>
      <c r="U228" t="s">
        <v>2294</v>
      </c>
      <c r="V228" t="s">
        <v>2295</v>
      </c>
      <c r="W228" t="s">
        <v>2296</v>
      </c>
      <c r="X228" t="s">
        <v>2297</v>
      </c>
      <c r="Y228" t="s">
        <v>2298</v>
      </c>
      <c r="Z228" t="s">
        <v>2306</v>
      </c>
      <c r="AA228">
        <v>7</v>
      </c>
      <c r="AB228" s="14">
        <v>65</v>
      </c>
      <c r="AC228" t="s">
        <v>2307</v>
      </c>
      <c r="AD228" t="s">
        <v>2308</v>
      </c>
      <c r="AE228" t="s">
        <v>2643</v>
      </c>
      <c r="AF228">
        <v>7</v>
      </c>
      <c r="AG228">
        <v>1</v>
      </c>
      <c r="AH228">
        <v>16</v>
      </c>
      <c r="AI228">
        <v>1</v>
      </c>
      <c r="AJ228">
        <v>1</v>
      </c>
      <c r="AK228">
        <v>0</v>
      </c>
      <c r="AL228">
        <v>1</v>
      </c>
      <c r="AM228" s="14">
        <v>0</v>
      </c>
      <c r="AN228" t="s">
        <v>2644</v>
      </c>
      <c r="AO228" s="12">
        <v>46054</v>
      </c>
      <c r="AP228">
        <v>2026</v>
      </c>
      <c r="AQ228">
        <v>2</v>
      </c>
      <c r="AR228" t="s">
        <v>2649</v>
      </c>
    </row>
    <row r="229" spans="1:44">
      <c r="A229" t="s">
        <v>1074</v>
      </c>
      <c r="B229" s="12">
        <v>46072</v>
      </c>
      <c r="C229" s="12">
        <v>46046</v>
      </c>
      <c r="D229" t="s">
        <v>344</v>
      </c>
      <c r="E229" t="s">
        <v>255</v>
      </c>
      <c r="F229" t="s">
        <v>297</v>
      </c>
      <c r="G229" t="s">
        <v>331</v>
      </c>
      <c r="H229" t="s">
        <v>115</v>
      </c>
      <c r="I229" t="s">
        <v>316</v>
      </c>
      <c r="J229" s="13">
        <v>0.41666666666666669</v>
      </c>
      <c r="K229" s="13">
        <v>0.42708333333333331</v>
      </c>
      <c r="L229" s="13">
        <v>0.4236111111111111</v>
      </c>
      <c r="M229">
        <v>20</v>
      </c>
      <c r="N229" s="14">
        <v>65</v>
      </c>
      <c r="O229" t="s">
        <v>195</v>
      </c>
      <c r="P229">
        <v>5</v>
      </c>
      <c r="Q229" t="s">
        <v>305</v>
      </c>
      <c r="R229" t="s">
        <v>896</v>
      </c>
      <c r="S229">
        <v>0</v>
      </c>
      <c r="T229">
        <v>0</v>
      </c>
      <c r="U229" t="s">
        <v>2299</v>
      </c>
      <c r="V229" t="s">
        <v>2295</v>
      </c>
      <c r="W229" t="s">
        <v>2300</v>
      </c>
      <c r="X229" t="s">
        <v>2288</v>
      </c>
      <c r="Y229" t="s">
        <v>2301</v>
      </c>
      <c r="Z229" t="s">
        <v>2306</v>
      </c>
      <c r="AA229">
        <v>7</v>
      </c>
      <c r="AB229" s="14">
        <v>65</v>
      </c>
      <c r="AC229" t="s">
        <v>2307</v>
      </c>
      <c r="AD229" t="s">
        <v>2308</v>
      </c>
      <c r="AE229" t="s">
        <v>2643</v>
      </c>
      <c r="AF229">
        <v>26</v>
      </c>
      <c r="AG229">
        <v>0</v>
      </c>
      <c r="AJ229">
        <v>1</v>
      </c>
      <c r="AK229">
        <v>0</v>
      </c>
      <c r="AL229">
        <v>1</v>
      </c>
      <c r="AM229" s="14">
        <v>0</v>
      </c>
      <c r="AN229" t="s">
        <v>2644</v>
      </c>
      <c r="AO229" s="12">
        <v>46054</v>
      </c>
      <c r="AP229">
        <v>2026</v>
      </c>
      <c r="AQ229">
        <v>2</v>
      </c>
      <c r="AR229" t="s">
        <v>2649</v>
      </c>
    </row>
    <row r="230" spans="1:44">
      <c r="A230" t="s">
        <v>1076</v>
      </c>
      <c r="B230" s="12">
        <v>46080</v>
      </c>
      <c r="C230" s="12">
        <v>46065</v>
      </c>
      <c r="D230" t="s">
        <v>1077</v>
      </c>
      <c r="E230" t="s">
        <v>281</v>
      </c>
      <c r="F230" t="s">
        <v>269</v>
      </c>
      <c r="G230" t="s">
        <v>363</v>
      </c>
      <c r="H230" t="s">
        <v>115</v>
      </c>
      <c r="I230" t="s">
        <v>258</v>
      </c>
      <c r="J230" s="13">
        <v>0.625</v>
      </c>
      <c r="K230" s="13">
        <v>0.63055555555555554</v>
      </c>
      <c r="L230" s="13">
        <v>0.64583333333333337</v>
      </c>
      <c r="M230">
        <v>45</v>
      </c>
      <c r="N230" s="14">
        <v>80</v>
      </c>
      <c r="O230" t="s">
        <v>195</v>
      </c>
      <c r="P230">
        <v>5</v>
      </c>
      <c r="Q230" t="s">
        <v>318</v>
      </c>
      <c r="R230" t="s">
        <v>896</v>
      </c>
      <c r="S230">
        <v>0</v>
      </c>
      <c r="T230">
        <v>0</v>
      </c>
      <c r="U230" t="s">
        <v>2290</v>
      </c>
      <c r="V230" t="s">
        <v>2291</v>
      </c>
      <c r="W230" t="s">
        <v>2292</v>
      </c>
      <c r="X230" t="s">
        <v>2288</v>
      </c>
      <c r="Y230" t="s">
        <v>2293</v>
      </c>
      <c r="Z230" t="s">
        <v>2315</v>
      </c>
      <c r="AA230">
        <v>10</v>
      </c>
      <c r="AB230" s="14">
        <v>80</v>
      </c>
      <c r="AC230" t="s">
        <v>2316</v>
      </c>
      <c r="AD230" t="s">
        <v>2317</v>
      </c>
      <c r="AE230" t="s">
        <v>2643</v>
      </c>
      <c r="AF230">
        <v>15</v>
      </c>
      <c r="AG230">
        <v>0</v>
      </c>
      <c r="AH230">
        <v>22</v>
      </c>
      <c r="AI230">
        <v>1</v>
      </c>
      <c r="AJ230">
        <v>1</v>
      </c>
      <c r="AK230">
        <v>0</v>
      </c>
      <c r="AL230">
        <v>1</v>
      </c>
      <c r="AM230" s="14">
        <v>0</v>
      </c>
      <c r="AN230" t="s">
        <v>2644</v>
      </c>
      <c r="AO230" s="12">
        <v>46054</v>
      </c>
      <c r="AP230">
        <v>2026</v>
      </c>
      <c r="AQ230">
        <v>2</v>
      </c>
      <c r="AR230" t="s">
        <v>2649</v>
      </c>
    </row>
    <row r="231" spans="1:44">
      <c r="A231" t="s">
        <v>1079</v>
      </c>
      <c r="B231" s="12">
        <v>46067</v>
      </c>
      <c r="C231" s="12">
        <v>46048</v>
      </c>
      <c r="D231" t="s">
        <v>402</v>
      </c>
      <c r="E231" t="s">
        <v>339</v>
      </c>
      <c r="F231" t="s">
        <v>256</v>
      </c>
      <c r="G231" t="s">
        <v>403</v>
      </c>
      <c r="H231" t="s">
        <v>115</v>
      </c>
      <c r="I231" t="s">
        <v>316</v>
      </c>
      <c r="J231" s="13">
        <v>0.35416666666666669</v>
      </c>
      <c r="K231" s="13">
        <v>0.36319444444444443</v>
      </c>
      <c r="L231" s="13">
        <v>0.36666666666666664</v>
      </c>
      <c r="M231">
        <v>20</v>
      </c>
      <c r="N231" s="14">
        <v>95</v>
      </c>
      <c r="O231" t="s">
        <v>195</v>
      </c>
      <c r="P231">
        <v>4</v>
      </c>
      <c r="Q231" t="s">
        <v>318</v>
      </c>
      <c r="R231" t="s">
        <v>896</v>
      </c>
      <c r="S231">
        <v>0</v>
      </c>
      <c r="T231">
        <v>0</v>
      </c>
      <c r="U231" t="s">
        <v>2294</v>
      </c>
      <c r="V231" t="s">
        <v>2295</v>
      </c>
      <c r="W231" t="s">
        <v>2296</v>
      </c>
      <c r="X231" t="s">
        <v>2297</v>
      </c>
      <c r="Y231" t="s">
        <v>2298</v>
      </c>
      <c r="Z231" t="s">
        <v>2312</v>
      </c>
      <c r="AA231">
        <v>21</v>
      </c>
      <c r="AB231" s="14">
        <v>95</v>
      </c>
      <c r="AC231" t="s">
        <v>2313</v>
      </c>
      <c r="AD231" t="s">
        <v>2314</v>
      </c>
      <c r="AE231" t="s">
        <v>2643</v>
      </c>
      <c r="AF231">
        <v>19</v>
      </c>
      <c r="AG231">
        <v>1</v>
      </c>
      <c r="AH231">
        <v>5</v>
      </c>
      <c r="AI231">
        <v>1</v>
      </c>
      <c r="AJ231">
        <v>1</v>
      </c>
      <c r="AK231">
        <v>0</v>
      </c>
      <c r="AL231">
        <v>1</v>
      </c>
      <c r="AM231" s="14">
        <v>0</v>
      </c>
      <c r="AN231" t="s">
        <v>2644</v>
      </c>
      <c r="AO231" s="12">
        <v>46054</v>
      </c>
      <c r="AP231">
        <v>2026</v>
      </c>
      <c r="AQ231">
        <v>2</v>
      </c>
      <c r="AR231" t="s">
        <v>2649</v>
      </c>
    </row>
    <row r="232" spans="1:44">
      <c r="A232" t="s">
        <v>1081</v>
      </c>
      <c r="B232" s="12">
        <v>46054</v>
      </c>
      <c r="C232" s="12">
        <v>46035</v>
      </c>
      <c r="D232" t="s">
        <v>1060</v>
      </c>
      <c r="E232" t="s">
        <v>281</v>
      </c>
      <c r="F232" t="s">
        <v>282</v>
      </c>
      <c r="G232" t="s">
        <v>283</v>
      </c>
      <c r="H232" t="s">
        <v>122</v>
      </c>
      <c r="I232" t="s">
        <v>271</v>
      </c>
      <c r="J232" s="13">
        <v>0.625</v>
      </c>
      <c r="K232" s="13"/>
      <c r="L232" s="13"/>
      <c r="M232">
        <v>0</v>
      </c>
      <c r="N232" s="14">
        <v>120</v>
      </c>
      <c r="O232" t="s">
        <v>169</v>
      </c>
      <c r="Q232" t="s">
        <v>318</v>
      </c>
      <c r="R232" t="s">
        <v>896</v>
      </c>
      <c r="S232">
        <v>0</v>
      </c>
      <c r="T232">
        <v>0</v>
      </c>
      <c r="U232" t="s">
        <v>2290</v>
      </c>
      <c r="V232" t="s">
        <v>2291</v>
      </c>
      <c r="W232" t="s">
        <v>2292</v>
      </c>
      <c r="X232" t="s">
        <v>2288</v>
      </c>
      <c r="Y232" t="s">
        <v>2293</v>
      </c>
      <c r="Z232" t="s">
        <v>2309</v>
      </c>
      <c r="AA232">
        <v>14</v>
      </c>
      <c r="AB232" s="14">
        <v>120</v>
      </c>
      <c r="AC232" t="s">
        <v>2310</v>
      </c>
      <c r="AD232" t="s">
        <v>2311</v>
      </c>
      <c r="AE232" t="s">
        <v>2643</v>
      </c>
      <c r="AF232">
        <v>19</v>
      </c>
      <c r="AG232">
        <v>0</v>
      </c>
      <c r="AJ232">
        <v>1</v>
      </c>
      <c r="AK232">
        <v>1</v>
      </c>
      <c r="AL232">
        <v>1</v>
      </c>
      <c r="AM232" s="14">
        <v>0</v>
      </c>
      <c r="AN232" t="s">
        <v>2644</v>
      </c>
      <c r="AO232" s="12">
        <v>46054</v>
      </c>
      <c r="AP232">
        <v>2026</v>
      </c>
      <c r="AQ232">
        <v>2</v>
      </c>
      <c r="AR232" t="s">
        <v>2649</v>
      </c>
    </row>
    <row r="233" spans="1:44">
      <c r="A233" t="s">
        <v>1082</v>
      </c>
      <c r="B233" s="12">
        <v>46062</v>
      </c>
      <c r="C233" s="12">
        <v>46043</v>
      </c>
      <c r="D233" t="s">
        <v>1083</v>
      </c>
      <c r="E233" t="s">
        <v>281</v>
      </c>
      <c r="F233" t="s">
        <v>256</v>
      </c>
      <c r="G233" t="s">
        <v>429</v>
      </c>
      <c r="H233" t="s">
        <v>115</v>
      </c>
      <c r="I233" t="s">
        <v>316</v>
      </c>
      <c r="J233" s="13">
        <v>0.54166666666666663</v>
      </c>
      <c r="K233" s="13">
        <v>0.53749999999999998</v>
      </c>
      <c r="L233" s="13">
        <v>0.5541666666666667</v>
      </c>
      <c r="M233">
        <v>30</v>
      </c>
      <c r="N233" s="14">
        <v>95</v>
      </c>
      <c r="O233" t="s">
        <v>195</v>
      </c>
      <c r="P233">
        <v>4</v>
      </c>
      <c r="Q233" t="s">
        <v>326</v>
      </c>
      <c r="R233" t="s">
        <v>896</v>
      </c>
      <c r="S233">
        <v>0</v>
      </c>
      <c r="T233">
        <v>0</v>
      </c>
      <c r="U233" t="s">
        <v>2290</v>
      </c>
      <c r="V233" t="s">
        <v>2291</v>
      </c>
      <c r="W233" t="s">
        <v>2292</v>
      </c>
      <c r="X233" t="s">
        <v>2288</v>
      </c>
      <c r="Y233" t="s">
        <v>2293</v>
      </c>
      <c r="Z233" t="s">
        <v>2312</v>
      </c>
      <c r="AA233">
        <v>21</v>
      </c>
      <c r="AB233" s="14">
        <v>95</v>
      </c>
      <c r="AC233" t="s">
        <v>2313</v>
      </c>
      <c r="AD233" t="s">
        <v>2314</v>
      </c>
      <c r="AE233" t="s">
        <v>2643</v>
      </c>
      <c r="AF233">
        <v>19</v>
      </c>
      <c r="AG233">
        <v>1</v>
      </c>
      <c r="AH233">
        <v>24</v>
      </c>
      <c r="AI233">
        <v>1</v>
      </c>
      <c r="AJ233">
        <v>1</v>
      </c>
      <c r="AK233">
        <v>0</v>
      </c>
      <c r="AL233">
        <v>1</v>
      </c>
      <c r="AM233" s="14">
        <v>0</v>
      </c>
      <c r="AN233" t="s">
        <v>2644</v>
      </c>
      <c r="AO233" s="12">
        <v>46054</v>
      </c>
      <c r="AP233">
        <v>2026</v>
      </c>
      <c r="AQ233">
        <v>2</v>
      </c>
      <c r="AR233" t="s">
        <v>2649</v>
      </c>
    </row>
    <row r="234" spans="1:44">
      <c r="A234" t="s">
        <v>1085</v>
      </c>
      <c r="B234" s="12">
        <v>46062</v>
      </c>
      <c r="C234" s="12">
        <v>46013</v>
      </c>
      <c r="D234" t="s">
        <v>820</v>
      </c>
      <c r="E234" t="s">
        <v>268</v>
      </c>
      <c r="F234" t="s">
        <v>269</v>
      </c>
      <c r="G234" t="s">
        <v>435</v>
      </c>
      <c r="H234" t="s">
        <v>466</v>
      </c>
      <c r="I234" t="s">
        <v>258</v>
      </c>
      <c r="J234" s="13">
        <v>0.58333333333333337</v>
      </c>
      <c r="K234" s="13"/>
      <c r="L234" s="13"/>
      <c r="M234">
        <v>0</v>
      </c>
      <c r="N234" s="14">
        <v>80</v>
      </c>
      <c r="O234" t="s">
        <v>169</v>
      </c>
      <c r="Q234" t="s">
        <v>326</v>
      </c>
      <c r="R234" t="s">
        <v>896</v>
      </c>
      <c r="S234">
        <v>0</v>
      </c>
      <c r="T234">
        <v>0</v>
      </c>
      <c r="U234" t="s">
        <v>2285</v>
      </c>
      <c r="V234" t="s">
        <v>2286</v>
      </c>
      <c r="W234" t="s">
        <v>2287</v>
      </c>
      <c r="X234" t="s">
        <v>2288</v>
      </c>
      <c r="Y234" t="s">
        <v>2289</v>
      </c>
      <c r="Z234" t="s">
        <v>2315</v>
      </c>
      <c r="AA234">
        <v>10</v>
      </c>
      <c r="AB234" s="14">
        <v>80</v>
      </c>
      <c r="AC234" t="s">
        <v>2316</v>
      </c>
      <c r="AD234" t="s">
        <v>2317</v>
      </c>
      <c r="AE234" t="s">
        <v>2643</v>
      </c>
      <c r="AF234">
        <v>49</v>
      </c>
      <c r="AG234">
        <v>0</v>
      </c>
      <c r="AJ234">
        <v>0</v>
      </c>
      <c r="AL234">
        <v>1</v>
      </c>
      <c r="AM234" s="14">
        <v>0</v>
      </c>
      <c r="AN234" t="s">
        <v>2644</v>
      </c>
      <c r="AO234" s="12">
        <v>46054</v>
      </c>
      <c r="AP234">
        <v>2026</v>
      </c>
      <c r="AQ234">
        <v>2</v>
      </c>
      <c r="AR234" t="s">
        <v>2649</v>
      </c>
    </row>
    <row r="235" spans="1:44">
      <c r="A235" t="s">
        <v>1086</v>
      </c>
      <c r="B235" s="12">
        <v>46074</v>
      </c>
      <c r="C235" s="12">
        <v>46059</v>
      </c>
      <c r="D235" t="s">
        <v>1088</v>
      </c>
      <c r="E235" t="s">
        <v>281</v>
      </c>
      <c r="F235" t="s">
        <v>256</v>
      </c>
      <c r="G235" t="s">
        <v>429</v>
      </c>
      <c r="H235" t="s">
        <v>115</v>
      </c>
      <c r="I235" t="s">
        <v>258</v>
      </c>
      <c r="J235" s="13">
        <v>0.64583333333333337</v>
      </c>
      <c r="K235" s="13">
        <v>0.65347222222222223</v>
      </c>
      <c r="L235" s="13">
        <v>0.65208333333333335</v>
      </c>
      <c r="M235">
        <v>30</v>
      </c>
      <c r="N235" s="14">
        <v>95</v>
      </c>
      <c r="O235" t="s">
        <v>195</v>
      </c>
      <c r="P235">
        <v>2</v>
      </c>
      <c r="Q235" t="s">
        <v>318</v>
      </c>
      <c r="R235" t="s">
        <v>896</v>
      </c>
      <c r="S235">
        <v>0</v>
      </c>
      <c r="T235">
        <v>0</v>
      </c>
      <c r="U235" t="s">
        <v>2290</v>
      </c>
      <c r="V235" t="s">
        <v>2291</v>
      </c>
      <c r="W235" t="s">
        <v>2292</v>
      </c>
      <c r="X235" t="s">
        <v>2288</v>
      </c>
      <c r="Y235" t="s">
        <v>2293</v>
      </c>
      <c r="Z235" t="s">
        <v>2312</v>
      </c>
      <c r="AA235">
        <v>21</v>
      </c>
      <c r="AB235" s="14">
        <v>95</v>
      </c>
      <c r="AC235" t="s">
        <v>2313</v>
      </c>
      <c r="AD235" t="s">
        <v>2314</v>
      </c>
      <c r="AE235" t="s">
        <v>2643</v>
      </c>
      <c r="AF235">
        <v>15</v>
      </c>
      <c r="AG235">
        <v>1</v>
      </c>
      <c r="AJ235">
        <v>1</v>
      </c>
      <c r="AK235">
        <v>0</v>
      </c>
      <c r="AL235">
        <v>1</v>
      </c>
      <c r="AM235" s="14">
        <v>0</v>
      </c>
      <c r="AN235" t="s">
        <v>2644</v>
      </c>
      <c r="AO235" s="12">
        <v>46054</v>
      </c>
      <c r="AP235">
        <v>2026</v>
      </c>
      <c r="AQ235">
        <v>2</v>
      </c>
      <c r="AR235" t="s">
        <v>2649</v>
      </c>
    </row>
    <row r="236" spans="1:44">
      <c r="A236" t="s">
        <v>1091</v>
      </c>
      <c r="B236" s="12">
        <v>46071</v>
      </c>
      <c r="C236" s="12">
        <v>46024</v>
      </c>
      <c r="D236" t="s">
        <v>254</v>
      </c>
      <c r="E236" t="s">
        <v>255</v>
      </c>
      <c r="F236" t="s">
        <v>282</v>
      </c>
      <c r="G236" t="s">
        <v>424</v>
      </c>
      <c r="H236" t="s">
        <v>127</v>
      </c>
      <c r="I236" t="s">
        <v>258</v>
      </c>
      <c r="J236" s="13">
        <v>0.64583333333333337</v>
      </c>
      <c r="K236" s="13"/>
      <c r="L236" s="13"/>
      <c r="M236">
        <v>0</v>
      </c>
      <c r="N236" s="14">
        <v>120</v>
      </c>
      <c r="O236" t="s">
        <v>195</v>
      </c>
      <c r="Q236" t="s">
        <v>305</v>
      </c>
      <c r="R236" t="s">
        <v>896</v>
      </c>
      <c r="S236">
        <v>0</v>
      </c>
      <c r="T236">
        <v>0</v>
      </c>
      <c r="U236" t="s">
        <v>2299</v>
      </c>
      <c r="V236" t="s">
        <v>2295</v>
      </c>
      <c r="W236" t="s">
        <v>2300</v>
      </c>
      <c r="X236" t="s">
        <v>2288</v>
      </c>
      <c r="Y236" t="s">
        <v>2301</v>
      </c>
      <c r="Z236" t="s">
        <v>2309</v>
      </c>
      <c r="AA236">
        <v>14</v>
      </c>
      <c r="AB236" s="14">
        <v>120</v>
      </c>
      <c r="AC236" t="s">
        <v>2310</v>
      </c>
      <c r="AD236" t="s">
        <v>2311</v>
      </c>
      <c r="AE236" t="s">
        <v>2643</v>
      </c>
      <c r="AF236">
        <v>47</v>
      </c>
      <c r="AG236">
        <v>0</v>
      </c>
      <c r="AJ236">
        <v>0</v>
      </c>
      <c r="AL236">
        <v>1</v>
      </c>
      <c r="AM236" s="14">
        <v>0</v>
      </c>
      <c r="AN236" t="s">
        <v>2644</v>
      </c>
      <c r="AO236" s="12">
        <v>46054</v>
      </c>
      <c r="AP236">
        <v>2026</v>
      </c>
      <c r="AQ236">
        <v>2</v>
      </c>
      <c r="AR236" t="s">
        <v>2649</v>
      </c>
    </row>
    <row r="237" spans="1:44">
      <c r="A237" t="s">
        <v>1092</v>
      </c>
      <c r="B237" s="12">
        <v>46080</v>
      </c>
      <c r="C237" s="12">
        <v>46070</v>
      </c>
      <c r="D237" t="s">
        <v>344</v>
      </c>
      <c r="E237" t="s">
        <v>255</v>
      </c>
      <c r="F237" t="s">
        <v>269</v>
      </c>
      <c r="G237" t="s">
        <v>391</v>
      </c>
      <c r="H237" t="s">
        <v>122</v>
      </c>
      <c r="I237" t="s">
        <v>299</v>
      </c>
      <c r="J237" s="13">
        <v>0.60416666666666663</v>
      </c>
      <c r="K237" s="13"/>
      <c r="L237" s="13"/>
      <c r="M237">
        <v>0</v>
      </c>
      <c r="N237" s="14">
        <v>80</v>
      </c>
      <c r="O237" t="s">
        <v>169</v>
      </c>
      <c r="Q237" t="s">
        <v>262</v>
      </c>
      <c r="R237" t="s">
        <v>896</v>
      </c>
      <c r="S237">
        <v>0</v>
      </c>
      <c r="T237">
        <v>0</v>
      </c>
      <c r="U237" t="s">
        <v>2299</v>
      </c>
      <c r="V237" t="s">
        <v>2295</v>
      </c>
      <c r="W237" t="s">
        <v>2300</v>
      </c>
      <c r="X237" t="s">
        <v>2288</v>
      </c>
      <c r="Y237" t="s">
        <v>2301</v>
      </c>
      <c r="Z237" t="s">
        <v>2315</v>
      </c>
      <c r="AA237">
        <v>10</v>
      </c>
      <c r="AB237" s="14">
        <v>80</v>
      </c>
      <c r="AC237" t="s">
        <v>2316</v>
      </c>
      <c r="AD237" t="s">
        <v>2317</v>
      </c>
      <c r="AE237" t="s">
        <v>2643</v>
      </c>
      <c r="AF237">
        <v>10</v>
      </c>
      <c r="AG237">
        <v>1</v>
      </c>
      <c r="AJ237">
        <v>1</v>
      </c>
      <c r="AK237">
        <v>1</v>
      </c>
      <c r="AL237">
        <v>1</v>
      </c>
      <c r="AM237" s="14">
        <v>0</v>
      </c>
      <c r="AN237" t="s">
        <v>2644</v>
      </c>
      <c r="AO237" s="12">
        <v>46054</v>
      </c>
      <c r="AP237">
        <v>2026</v>
      </c>
      <c r="AQ237">
        <v>2</v>
      </c>
      <c r="AR237" t="s">
        <v>2649</v>
      </c>
    </row>
    <row r="238" spans="1:44">
      <c r="A238" t="s">
        <v>1093</v>
      </c>
      <c r="B238" s="12">
        <v>46058</v>
      </c>
      <c r="C238" s="12">
        <v>46027</v>
      </c>
      <c r="D238" t="s">
        <v>857</v>
      </c>
      <c r="E238" t="s">
        <v>255</v>
      </c>
      <c r="F238" t="s">
        <v>256</v>
      </c>
      <c r="G238" t="s">
        <v>398</v>
      </c>
      <c r="H238" t="s">
        <v>115</v>
      </c>
      <c r="I238" t="s">
        <v>316</v>
      </c>
      <c r="J238" s="13">
        <v>0.64583333333333337</v>
      </c>
      <c r="K238" s="13">
        <v>0.65555555555555556</v>
      </c>
      <c r="L238" s="13">
        <v>0.65208333333333335</v>
      </c>
      <c r="M238">
        <v>60</v>
      </c>
      <c r="N238" s="14">
        <v>95</v>
      </c>
      <c r="O238" t="s">
        <v>195</v>
      </c>
      <c r="P238">
        <v>4</v>
      </c>
      <c r="Q238" t="s">
        <v>262</v>
      </c>
      <c r="R238" t="s">
        <v>896</v>
      </c>
      <c r="S238">
        <v>0</v>
      </c>
      <c r="T238">
        <v>0</v>
      </c>
      <c r="U238" t="s">
        <v>2299</v>
      </c>
      <c r="V238" t="s">
        <v>2295</v>
      </c>
      <c r="W238" t="s">
        <v>2300</v>
      </c>
      <c r="X238" t="s">
        <v>2288</v>
      </c>
      <c r="Y238" t="s">
        <v>2301</v>
      </c>
      <c r="Z238" t="s">
        <v>2312</v>
      </c>
      <c r="AA238">
        <v>21</v>
      </c>
      <c r="AB238" s="14">
        <v>95</v>
      </c>
      <c r="AC238" t="s">
        <v>2313</v>
      </c>
      <c r="AD238" t="s">
        <v>2314</v>
      </c>
      <c r="AE238" t="s">
        <v>2643</v>
      </c>
      <c r="AF238">
        <v>31</v>
      </c>
      <c r="AG238">
        <v>0</v>
      </c>
      <c r="AJ238">
        <v>1</v>
      </c>
      <c r="AK238">
        <v>0</v>
      </c>
      <c r="AL238">
        <v>1</v>
      </c>
      <c r="AM238" s="14">
        <v>0</v>
      </c>
      <c r="AN238" t="s">
        <v>2644</v>
      </c>
      <c r="AO238" s="12">
        <v>46054</v>
      </c>
      <c r="AP238">
        <v>2026</v>
      </c>
      <c r="AQ238">
        <v>2</v>
      </c>
      <c r="AR238" t="s">
        <v>2649</v>
      </c>
    </row>
    <row r="239" spans="1:44">
      <c r="A239" t="s">
        <v>1094</v>
      </c>
      <c r="B239" s="12">
        <v>46066</v>
      </c>
      <c r="C239" s="12">
        <v>46031</v>
      </c>
      <c r="D239" t="s">
        <v>731</v>
      </c>
      <c r="E239" t="s">
        <v>255</v>
      </c>
      <c r="G239" t="s">
        <v>542</v>
      </c>
      <c r="H239" t="s">
        <v>115</v>
      </c>
      <c r="I239" t="s">
        <v>258</v>
      </c>
      <c r="J239" s="13">
        <v>0.47916666666666669</v>
      </c>
      <c r="K239" s="13">
        <v>0.47569444444444442</v>
      </c>
      <c r="L239" s="13">
        <v>0.50694444444444442</v>
      </c>
      <c r="M239">
        <v>20</v>
      </c>
      <c r="N239" s="14">
        <v>80</v>
      </c>
      <c r="O239" t="s">
        <v>195</v>
      </c>
      <c r="P239">
        <v>5</v>
      </c>
      <c r="Q239" t="s">
        <v>262</v>
      </c>
      <c r="R239" t="s">
        <v>896</v>
      </c>
      <c r="S239">
        <v>0</v>
      </c>
      <c r="T239">
        <v>1</v>
      </c>
      <c r="U239" t="s">
        <v>2299</v>
      </c>
      <c r="V239" t="s">
        <v>2295</v>
      </c>
      <c r="W239" t="s">
        <v>2300</v>
      </c>
      <c r="X239" t="s">
        <v>2288</v>
      </c>
      <c r="Y239" t="s">
        <v>2301</v>
      </c>
      <c r="AE239" t="s">
        <v>2646</v>
      </c>
      <c r="AF239">
        <v>35</v>
      </c>
      <c r="AH239">
        <v>45</v>
      </c>
      <c r="AI239">
        <v>0</v>
      </c>
      <c r="AJ239">
        <v>1</v>
      </c>
      <c r="AK239">
        <v>0</v>
      </c>
      <c r="AL239">
        <v>1</v>
      </c>
      <c r="AN239" t="s">
        <v>2647</v>
      </c>
      <c r="AO239" s="12">
        <v>46054</v>
      </c>
      <c r="AP239">
        <v>2026</v>
      </c>
      <c r="AQ239">
        <v>2</v>
      </c>
      <c r="AR239" t="s">
        <v>2649</v>
      </c>
    </row>
    <row r="240" spans="1:44">
      <c r="A240" t="s">
        <v>1096</v>
      </c>
      <c r="B240" s="12">
        <v>46060</v>
      </c>
      <c r="C240" s="12">
        <v>46038</v>
      </c>
      <c r="D240" t="s">
        <v>1097</v>
      </c>
      <c r="E240" t="s">
        <v>339</v>
      </c>
      <c r="F240" t="s">
        <v>297</v>
      </c>
      <c r="G240" t="s">
        <v>780</v>
      </c>
      <c r="H240" t="s">
        <v>115</v>
      </c>
      <c r="I240" t="s">
        <v>299</v>
      </c>
      <c r="J240" s="13">
        <v>0.64583333333333337</v>
      </c>
      <c r="K240" s="13">
        <v>0.65277777777777779</v>
      </c>
      <c r="L240" s="13">
        <v>0.65763888888888888</v>
      </c>
      <c r="M240">
        <v>30</v>
      </c>
      <c r="N240" s="14">
        <v>65</v>
      </c>
      <c r="O240" t="s">
        <v>195</v>
      </c>
      <c r="P240">
        <v>2</v>
      </c>
      <c r="Q240" t="s">
        <v>326</v>
      </c>
      <c r="R240" t="s">
        <v>896</v>
      </c>
      <c r="S240">
        <v>0</v>
      </c>
      <c r="T240">
        <v>0</v>
      </c>
      <c r="U240" t="s">
        <v>2294</v>
      </c>
      <c r="V240" t="s">
        <v>2295</v>
      </c>
      <c r="W240" t="s">
        <v>2296</v>
      </c>
      <c r="X240" t="s">
        <v>2297</v>
      </c>
      <c r="Y240" t="s">
        <v>2298</v>
      </c>
      <c r="Z240" t="s">
        <v>2306</v>
      </c>
      <c r="AA240">
        <v>7</v>
      </c>
      <c r="AB240" s="14">
        <v>65</v>
      </c>
      <c r="AC240" t="s">
        <v>2307</v>
      </c>
      <c r="AD240" t="s">
        <v>2308</v>
      </c>
      <c r="AE240" t="s">
        <v>2643</v>
      </c>
      <c r="AF240">
        <v>22</v>
      </c>
      <c r="AG240">
        <v>0</v>
      </c>
      <c r="AH240">
        <v>7</v>
      </c>
      <c r="AI240">
        <v>1</v>
      </c>
      <c r="AJ240">
        <v>1</v>
      </c>
      <c r="AK240">
        <v>0</v>
      </c>
      <c r="AL240">
        <v>1</v>
      </c>
      <c r="AM240" s="14">
        <v>0</v>
      </c>
      <c r="AN240" t="s">
        <v>2644</v>
      </c>
      <c r="AO240" s="12">
        <v>46054</v>
      </c>
      <c r="AP240">
        <v>2026</v>
      </c>
      <c r="AQ240">
        <v>2</v>
      </c>
      <c r="AR240" t="s">
        <v>2649</v>
      </c>
    </row>
    <row r="241" spans="1:44">
      <c r="A241" t="s">
        <v>1100</v>
      </c>
      <c r="B241" s="12">
        <v>46065</v>
      </c>
      <c r="C241" s="12">
        <v>46010</v>
      </c>
      <c r="D241" t="s">
        <v>372</v>
      </c>
      <c r="E241" t="s">
        <v>268</v>
      </c>
      <c r="F241" t="s">
        <v>409</v>
      </c>
      <c r="G241" t="s">
        <v>587</v>
      </c>
      <c r="H241" t="s">
        <v>115</v>
      </c>
      <c r="I241" t="s">
        <v>271</v>
      </c>
      <c r="J241" s="13">
        <v>0.39583333333333331</v>
      </c>
      <c r="K241" s="13">
        <v>0.40208333333333335</v>
      </c>
      <c r="L241" s="13">
        <v>0.39930555555555558</v>
      </c>
      <c r="M241">
        <v>20</v>
      </c>
      <c r="N241" s="14">
        <v>150</v>
      </c>
      <c r="O241" t="s">
        <v>195</v>
      </c>
      <c r="P241">
        <v>2</v>
      </c>
      <c r="Q241" t="s">
        <v>262</v>
      </c>
      <c r="R241" t="s">
        <v>896</v>
      </c>
      <c r="S241">
        <v>0</v>
      </c>
      <c r="T241">
        <v>0</v>
      </c>
      <c r="U241" t="s">
        <v>2285</v>
      </c>
      <c r="V241" t="s">
        <v>2286</v>
      </c>
      <c r="W241" t="s">
        <v>2287</v>
      </c>
      <c r="X241" t="s">
        <v>2288</v>
      </c>
      <c r="Y241" t="s">
        <v>2289</v>
      </c>
      <c r="Z241" t="s">
        <v>2318</v>
      </c>
      <c r="AA241">
        <v>28</v>
      </c>
      <c r="AB241" s="14">
        <v>150</v>
      </c>
      <c r="AC241" t="s">
        <v>2319</v>
      </c>
      <c r="AD241" t="s">
        <v>2320</v>
      </c>
      <c r="AE241" t="s">
        <v>2643</v>
      </c>
      <c r="AF241">
        <v>55</v>
      </c>
      <c r="AG241">
        <v>0</v>
      </c>
      <c r="AJ241">
        <v>1</v>
      </c>
      <c r="AK241">
        <v>0</v>
      </c>
      <c r="AL241">
        <v>1</v>
      </c>
      <c r="AM241" s="14">
        <v>0</v>
      </c>
      <c r="AN241" t="s">
        <v>2644</v>
      </c>
      <c r="AO241" s="12">
        <v>46054</v>
      </c>
      <c r="AP241">
        <v>2026</v>
      </c>
      <c r="AQ241">
        <v>2</v>
      </c>
      <c r="AR241" t="s">
        <v>2649</v>
      </c>
    </row>
    <row r="242" spans="1:44">
      <c r="A242" t="s">
        <v>1102</v>
      </c>
      <c r="B242" s="12">
        <v>46067</v>
      </c>
      <c r="C242" s="12">
        <v>46022</v>
      </c>
      <c r="D242" t="s">
        <v>1103</v>
      </c>
      <c r="E242" t="s">
        <v>281</v>
      </c>
      <c r="F242" t="s">
        <v>282</v>
      </c>
      <c r="G242" t="s">
        <v>283</v>
      </c>
      <c r="H242" t="s">
        <v>115</v>
      </c>
      <c r="I242" t="s">
        <v>316</v>
      </c>
      <c r="J242" s="13">
        <v>0.60416666666666663</v>
      </c>
      <c r="K242" s="13">
        <v>0.61111111111111116</v>
      </c>
      <c r="L242" s="13">
        <v>0.62569444444444444</v>
      </c>
      <c r="M242">
        <v>45</v>
      </c>
      <c r="N242" s="14">
        <v>120</v>
      </c>
      <c r="O242" t="s">
        <v>195</v>
      </c>
      <c r="P242">
        <v>5</v>
      </c>
      <c r="Q242" t="s">
        <v>326</v>
      </c>
      <c r="R242" t="s">
        <v>896</v>
      </c>
      <c r="S242">
        <v>0</v>
      </c>
      <c r="T242">
        <v>0</v>
      </c>
      <c r="U242" t="s">
        <v>2290</v>
      </c>
      <c r="V242" t="s">
        <v>2291</v>
      </c>
      <c r="W242" t="s">
        <v>2292</v>
      </c>
      <c r="X242" t="s">
        <v>2288</v>
      </c>
      <c r="Y242" t="s">
        <v>2293</v>
      </c>
      <c r="Z242" t="s">
        <v>2309</v>
      </c>
      <c r="AA242">
        <v>14</v>
      </c>
      <c r="AB242" s="14">
        <v>120</v>
      </c>
      <c r="AC242" t="s">
        <v>2310</v>
      </c>
      <c r="AD242" t="s">
        <v>2311</v>
      </c>
      <c r="AE242" t="s">
        <v>2643</v>
      </c>
      <c r="AF242">
        <v>45</v>
      </c>
      <c r="AG242">
        <v>0</v>
      </c>
      <c r="AH242">
        <v>21</v>
      </c>
      <c r="AI242">
        <v>1</v>
      </c>
      <c r="AJ242">
        <v>1</v>
      </c>
      <c r="AK242">
        <v>0</v>
      </c>
      <c r="AL242">
        <v>1</v>
      </c>
      <c r="AM242" s="14">
        <v>0</v>
      </c>
      <c r="AN242" t="s">
        <v>2644</v>
      </c>
      <c r="AO242" s="12">
        <v>46054</v>
      </c>
      <c r="AP242">
        <v>2026</v>
      </c>
      <c r="AQ242">
        <v>2</v>
      </c>
      <c r="AR242" t="s">
        <v>2649</v>
      </c>
    </row>
    <row r="243" spans="1:44">
      <c r="A243" t="s">
        <v>1106</v>
      </c>
      <c r="B243" s="12">
        <v>46076</v>
      </c>
      <c r="C243" s="12">
        <v>46064</v>
      </c>
      <c r="D243" t="s">
        <v>1022</v>
      </c>
      <c r="E243" t="s">
        <v>281</v>
      </c>
      <c r="F243" t="s">
        <v>269</v>
      </c>
      <c r="G243" t="s">
        <v>363</v>
      </c>
      <c r="H243" t="s">
        <v>115</v>
      </c>
      <c r="I243" t="s">
        <v>299</v>
      </c>
      <c r="J243" s="13">
        <v>0.64583333333333337</v>
      </c>
      <c r="K243" s="13">
        <v>0.64652777777777781</v>
      </c>
      <c r="L243" s="13">
        <v>0.66388888888888886</v>
      </c>
      <c r="M243">
        <v>30</v>
      </c>
      <c r="N243" s="14">
        <v>80</v>
      </c>
      <c r="O243" t="s">
        <v>195</v>
      </c>
      <c r="Q243" t="s">
        <v>262</v>
      </c>
      <c r="R243" t="s">
        <v>896</v>
      </c>
      <c r="S243">
        <v>0</v>
      </c>
      <c r="T243">
        <v>0</v>
      </c>
      <c r="U243" t="s">
        <v>2290</v>
      </c>
      <c r="V243" t="s">
        <v>2291</v>
      </c>
      <c r="W243" t="s">
        <v>2292</v>
      </c>
      <c r="X243" t="s">
        <v>2288</v>
      </c>
      <c r="Y243" t="s">
        <v>2293</v>
      </c>
      <c r="Z243" t="s">
        <v>2315</v>
      </c>
      <c r="AA243">
        <v>10</v>
      </c>
      <c r="AB243" s="14">
        <v>80</v>
      </c>
      <c r="AC243" t="s">
        <v>2316</v>
      </c>
      <c r="AD243" t="s">
        <v>2317</v>
      </c>
      <c r="AE243" t="s">
        <v>2643</v>
      </c>
      <c r="AF243">
        <v>12</v>
      </c>
      <c r="AG243">
        <v>0</v>
      </c>
      <c r="AH243">
        <v>25</v>
      </c>
      <c r="AI243">
        <v>1</v>
      </c>
      <c r="AJ243">
        <v>1</v>
      </c>
      <c r="AK243">
        <v>0</v>
      </c>
      <c r="AL243">
        <v>1</v>
      </c>
      <c r="AM243" s="14">
        <v>0</v>
      </c>
      <c r="AN243" t="s">
        <v>2644</v>
      </c>
      <c r="AO243" s="12">
        <v>46054</v>
      </c>
      <c r="AP243">
        <v>2026</v>
      </c>
      <c r="AQ243">
        <v>2</v>
      </c>
      <c r="AR243" t="s">
        <v>2649</v>
      </c>
    </row>
    <row r="244" spans="1:44">
      <c r="A244" t="s">
        <v>1108</v>
      </c>
      <c r="B244" s="12">
        <v>46062</v>
      </c>
      <c r="C244" s="12">
        <v>46039</v>
      </c>
      <c r="D244" t="s">
        <v>978</v>
      </c>
      <c r="E244" t="s">
        <v>268</v>
      </c>
      <c r="F244" t="s">
        <v>256</v>
      </c>
      <c r="G244" t="s">
        <v>886</v>
      </c>
      <c r="H244" t="s">
        <v>466</v>
      </c>
      <c r="I244" t="s">
        <v>258</v>
      </c>
      <c r="J244" s="13">
        <v>0.33333333333333331</v>
      </c>
      <c r="K244" s="13"/>
      <c r="L244" s="13"/>
      <c r="M244">
        <v>0</v>
      </c>
      <c r="N244" s="14">
        <v>95</v>
      </c>
      <c r="O244" t="s">
        <v>195</v>
      </c>
      <c r="Q244" t="s">
        <v>305</v>
      </c>
      <c r="R244" t="s">
        <v>896</v>
      </c>
      <c r="S244">
        <v>0</v>
      </c>
      <c r="T244">
        <v>0</v>
      </c>
      <c r="U244" t="s">
        <v>2285</v>
      </c>
      <c r="V244" t="s">
        <v>2286</v>
      </c>
      <c r="W244" t="s">
        <v>2287</v>
      </c>
      <c r="X244" t="s">
        <v>2288</v>
      </c>
      <c r="Y244" t="s">
        <v>2289</v>
      </c>
      <c r="Z244" t="s">
        <v>2312</v>
      </c>
      <c r="AA244">
        <v>21</v>
      </c>
      <c r="AB244" s="14">
        <v>95</v>
      </c>
      <c r="AC244" t="s">
        <v>2313</v>
      </c>
      <c r="AD244" t="s">
        <v>2314</v>
      </c>
      <c r="AE244" t="s">
        <v>2643</v>
      </c>
      <c r="AF244">
        <v>23</v>
      </c>
      <c r="AG244">
        <v>0</v>
      </c>
      <c r="AJ244">
        <v>0</v>
      </c>
      <c r="AL244">
        <v>1</v>
      </c>
      <c r="AM244" s="14">
        <v>0</v>
      </c>
      <c r="AN244" t="s">
        <v>2644</v>
      </c>
      <c r="AO244" s="12">
        <v>46054</v>
      </c>
      <c r="AP244">
        <v>2026</v>
      </c>
      <c r="AQ244">
        <v>2</v>
      </c>
      <c r="AR244" t="s">
        <v>2649</v>
      </c>
    </row>
    <row r="245" spans="1:44">
      <c r="A245" t="s">
        <v>1109</v>
      </c>
      <c r="B245" s="12">
        <v>46077</v>
      </c>
      <c r="C245" s="12">
        <v>46022</v>
      </c>
      <c r="D245" t="s">
        <v>1110</v>
      </c>
      <c r="E245" t="s">
        <v>268</v>
      </c>
      <c r="F245" t="s">
        <v>256</v>
      </c>
      <c r="G245" t="s">
        <v>886</v>
      </c>
      <c r="H245" t="s">
        <v>115</v>
      </c>
      <c r="I245" t="s">
        <v>316</v>
      </c>
      <c r="J245" s="13">
        <v>0.35416666666666669</v>
      </c>
      <c r="K245" s="13">
        <v>0.35208333333333336</v>
      </c>
      <c r="L245" s="13">
        <v>0.38124999999999998</v>
      </c>
      <c r="M245">
        <v>30</v>
      </c>
      <c r="N245" s="14">
        <v>95</v>
      </c>
      <c r="O245" t="s">
        <v>169</v>
      </c>
      <c r="P245">
        <v>4</v>
      </c>
      <c r="Q245" t="s">
        <v>305</v>
      </c>
      <c r="R245" t="s">
        <v>896</v>
      </c>
      <c r="S245">
        <v>0</v>
      </c>
      <c r="T245">
        <v>0</v>
      </c>
      <c r="U245" t="s">
        <v>2285</v>
      </c>
      <c r="V245" t="s">
        <v>2286</v>
      </c>
      <c r="W245" t="s">
        <v>2287</v>
      </c>
      <c r="X245" t="s">
        <v>2288</v>
      </c>
      <c r="Y245" t="s">
        <v>2289</v>
      </c>
      <c r="Z245" t="s">
        <v>2312</v>
      </c>
      <c r="AA245">
        <v>21</v>
      </c>
      <c r="AB245" s="14">
        <v>95</v>
      </c>
      <c r="AC245" t="s">
        <v>2313</v>
      </c>
      <c r="AD245" t="s">
        <v>2314</v>
      </c>
      <c r="AE245" t="s">
        <v>2643</v>
      </c>
      <c r="AF245">
        <v>55</v>
      </c>
      <c r="AG245">
        <v>0</v>
      </c>
      <c r="AH245">
        <v>42</v>
      </c>
      <c r="AI245">
        <v>0</v>
      </c>
      <c r="AJ245">
        <v>1</v>
      </c>
      <c r="AK245">
        <v>0</v>
      </c>
      <c r="AL245">
        <v>1</v>
      </c>
      <c r="AM245" s="14">
        <v>0</v>
      </c>
      <c r="AN245" t="s">
        <v>2644</v>
      </c>
      <c r="AO245" s="12">
        <v>46054</v>
      </c>
      <c r="AP245">
        <v>2026</v>
      </c>
      <c r="AQ245">
        <v>2</v>
      </c>
      <c r="AR245" t="s">
        <v>2649</v>
      </c>
    </row>
    <row r="246" spans="1:44">
      <c r="A246" t="s">
        <v>1112</v>
      </c>
      <c r="B246" s="12">
        <v>46060</v>
      </c>
      <c r="C246" s="12">
        <v>46042</v>
      </c>
      <c r="D246" t="s">
        <v>386</v>
      </c>
      <c r="E246" t="s">
        <v>268</v>
      </c>
      <c r="F246" t="s">
        <v>269</v>
      </c>
      <c r="G246" t="s">
        <v>270</v>
      </c>
      <c r="H246" t="s">
        <v>115</v>
      </c>
      <c r="I246" t="s">
        <v>271</v>
      </c>
      <c r="J246" s="13">
        <v>0.45833333333333331</v>
      </c>
      <c r="K246" s="13">
        <v>0.46875</v>
      </c>
      <c r="L246" s="13">
        <v>0.46597222222222223</v>
      </c>
      <c r="M246">
        <v>30</v>
      </c>
      <c r="N246" s="14">
        <v>80</v>
      </c>
      <c r="O246" t="s">
        <v>169</v>
      </c>
      <c r="P246">
        <v>4</v>
      </c>
      <c r="Q246" t="s">
        <v>305</v>
      </c>
      <c r="R246" t="s">
        <v>896</v>
      </c>
      <c r="S246">
        <v>0</v>
      </c>
      <c r="T246">
        <v>0</v>
      </c>
      <c r="U246" t="s">
        <v>2285</v>
      </c>
      <c r="V246" t="s">
        <v>2286</v>
      </c>
      <c r="W246" t="s">
        <v>2287</v>
      </c>
      <c r="X246" t="s">
        <v>2288</v>
      </c>
      <c r="Y246" t="s">
        <v>2289</v>
      </c>
      <c r="Z246" t="s">
        <v>2315</v>
      </c>
      <c r="AA246">
        <v>10</v>
      </c>
      <c r="AB246" s="14">
        <v>80</v>
      </c>
      <c r="AC246" t="s">
        <v>2316</v>
      </c>
      <c r="AD246" t="s">
        <v>2317</v>
      </c>
      <c r="AE246" t="s">
        <v>2643</v>
      </c>
      <c r="AF246">
        <v>18</v>
      </c>
      <c r="AG246">
        <v>0</v>
      </c>
      <c r="AJ246">
        <v>1</v>
      </c>
      <c r="AK246">
        <v>0</v>
      </c>
      <c r="AL246">
        <v>1</v>
      </c>
      <c r="AM246" s="14">
        <v>0</v>
      </c>
      <c r="AN246" t="s">
        <v>2644</v>
      </c>
      <c r="AO246" s="12">
        <v>46054</v>
      </c>
      <c r="AP246">
        <v>2026</v>
      </c>
      <c r="AQ246">
        <v>2</v>
      </c>
      <c r="AR246" t="s">
        <v>2649</v>
      </c>
    </row>
    <row r="247" spans="1:44">
      <c r="A247" t="s">
        <v>1115</v>
      </c>
      <c r="B247" s="12">
        <v>46081</v>
      </c>
      <c r="C247" s="12">
        <v>46055</v>
      </c>
      <c r="D247" t="s">
        <v>1116</v>
      </c>
      <c r="E247" t="s">
        <v>339</v>
      </c>
      <c r="F247" t="s">
        <v>297</v>
      </c>
      <c r="G247" t="s">
        <v>780</v>
      </c>
      <c r="H247" t="s">
        <v>127</v>
      </c>
      <c r="I247" t="s">
        <v>299</v>
      </c>
      <c r="J247" s="13">
        <v>0.58333333333333337</v>
      </c>
      <c r="K247" s="13"/>
      <c r="L247" s="13"/>
      <c r="M247">
        <v>0</v>
      </c>
      <c r="N247" s="14">
        <v>65</v>
      </c>
      <c r="O247" t="s">
        <v>169</v>
      </c>
      <c r="Q247" t="s">
        <v>318</v>
      </c>
      <c r="R247" t="s">
        <v>896</v>
      </c>
      <c r="S247">
        <v>0</v>
      </c>
      <c r="T247">
        <v>0</v>
      </c>
      <c r="U247" t="s">
        <v>2294</v>
      </c>
      <c r="V247" t="s">
        <v>2295</v>
      </c>
      <c r="W247" t="s">
        <v>2296</v>
      </c>
      <c r="X247" t="s">
        <v>2297</v>
      </c>
      <c r="Y247" t="s">
        <v>2298</v>
      </c>
      <c r="Z247" t="s">
        <v>2306</v>
      </c>
      <c r="AA247">
        <v>7</v>
      </c>
      <c r="AB247" s="14">
        <v>65</v>
      </c>
      <c r="AC247" t="s">
        <v>2307</v>
      </c>
      <c r="AD247" t="s">
        <v>2308</v>
      </c>
      <c r="AE247" t="s">
        <v>2643</v>
      </c>
      <c r="AF247">
        <v>26</v>
      </c>
      <c r="AG247">
        <v>0</v>
      </c>
      <c r="AJ247">
        <v>0</v>
      </c>
      <c r="AL247">
        <v>1</v>
      </c>
      <c r="AM247" s="14">
        <v>0</v>
      </c>
      <c r="AN247" t="s">
        <v>2644</v>
      </c>
      <c r="AO247" s="12">
        <v>46054</v>
      </c>
      <c r="AP247">
        <v>2026</v>
      </c>
      <c r="AQ247">
        <v>2</v>
      </c>
      <c r="AR247" t="s">
        <v>2649</v>
      </c>
    </row>
    <row r="248" spans="1:44">
      <c r="A248" t="s">
        <v>1117</v>
      </c>
      <c r="B248" s="12">
        <v>46067</v>
      </c>
      <c r="C248" s="12">
        <v>46029</v>
      </c>
      <c r="D248" t="s">
        <v>315</v>
      </c>
      <c r="E248" t="s">
        <v>268</v>
      </c>
      <c r="F248" t="s">
        <v>409</v>
      </c>
      <c r="G248" t="s">
        <v>587</v>
      </c>
      <c r="H248" t="s">
        <v>115</v>
      </c>
      <c r="I248" t="s">
        <v>258</v>
      </c>
      <c r="J248" s="13">
        <v>0.41666666666666669</v>
      </c>
      <c r="K248" s="13">
        <v>0.41041666666666665</v>
      </c>
      <c r="L248" s="13">
        <v>0.41875000000000001</v>
      </c>
      <c r="M248">
        <v>30</v>
      </c>
      <c r="N248" s="14">
        <v>150</v>
      </c>
      <c r="O248" t="s">
        <v>195</v>
      </c>
      <c r="P248">
        <v>5</v>
      </c>
      <c r="Q248" t="s">
        <v>318</v>
      </c>
      <c r="R248" t="s">
        <v>896</v>
      </c>
      <c r="S248">
        <v>0</v>
      </c>
      <c r="T248">
        <v>0</v>
      </c>
      <c r="U248" t="s">
        <v>2285</v>
      </c>
      <c r="V248" t="s">
        <v>2286</v>
      </c>
      <c r="W248" t="s">
        <v>2287</v>
      </c>
      <c r="X248" t="s">
        <v>2288</v>
      </c>
      <c r="Y248" t="s">
        <v>2289</v>
      </c>
      <c r="Z248" t="s">
        <v>2318</v>
      </c>
      <c r="AA248">
        <v>28</v>
      </c>
      <c r="AB248" s="14">
        <v>150</v>
      </c>
      <c r="AC248" t="s">
        <v>2319</v>
      </c>
      <c r="AD248" t="s">
        <v>2320</v>
      </c>
      <c r="AE248" t="s">
        <v>2643</v>
      </c>
      <c r="AF248">
        <v>38</v>
      </c>
      <c r="AG248">
        <v>0</v>
      </c>
      <c r="AH248">
        <v>12</v>
      </c>
      <c r="AI248">
        <v>1</v>
      </c>
      <c r="AJ248">
        <v>1</v>
      </c>
      <c r="AK248">
        <v>0</v>
      </c>
      <c r="AL248">
        <v>1</v>
      </c>
      <c r="AM248" s="14">
        <v>0</v>
      </c>
      <c r="AN248" t="s">
        <v>2644</v>
      </c>
      <c r="AO248" s="12">
        <v>46054</v>
      </c>
      <c r="AP248">
        <v>2026</v>
      </c>
      <c r="AQ248">
        <v>2</v>
      </c>
      <c r="AR248" t="s">
        <v>2649</v>
      </c>
    </row>
    <row r="249" spans="1:44">
      <c r="A249" t="s">
        <v>1120</v>
      </c>
      <c r="B249" s="12">
        <v>46074</v>
      </c>
      <c r="C249" s="12">
        <v>46063</v>
      </c>
      <c r="D249" t="s">
        <v>408</v>
      </c>
      <c r="E249" t="s">
        <v>339</v>
      </c>
      <c r="F249" t="s">
        <v>256</v>
      </c>
      <c r="G249" t="s">
        <v>403</v>
      </c>
      <c r="H249" t="s">
        <v>115</v>
      </c>
      <c r="I249" t="s">
        <v>299</v>
      </c>
      <c r="J249" s="13">
        <v>0.35416666666666669</v>
      </c>
      <c r="K249" s="13">
        <v>0.3527777777777778</v>
      </c>
      <c r="L249" s="13">
        <v>0.37430555555555556</v>
      </c>
      <c r="M249">
        <v>45</v>
      </c>
      <c r="N249" s="14">
        <v>95</v>
      </c>
      <c r="O249" t="s">
        <v>169</v>
      </c>
      <c r="P249">
        <v>2</v>
      </c>
      <c r="Q249" t="s">
        <v>305</v>
      </c>
      <c r="R249" t="s">
        <v>896</v>
      </c>
      <c r="S249">
        <v>0</v>
      </c>
      <c r="T249">
        <v>0</v>
      </c>
      <c r="U249" t="s">
        <v>2294</v>
      </c>
      <c r="V249" t="s">
        <v>2295</v>
      </c>
      <c r="W249" t="s">
        <v>2296</v>
      </c>
      <c r="X249" t="s">
        <v>2297</v>
      </c>
      <c r="Y249" t="s">
        <v>2298</v>
      </c>
      <c r="Z249" t="s">
        <v>2312</v>
      </c>
      <c r="AA249">
        <v>21</v>
      </c>
      <c r="AB249" s="14">
        <v>95</v>
      </c>
      <c r="AC249" t="s">
        <v>2313</v>
      </c>
      <c r="AD249" t="s">
        <v>2314</v>
      </c>
      <c r="AE249" t="s">
        <v>2643</v>
      </c>
      <c r="AF249">
        <v>11</v>
      </c>
      <c r="AG249">
        <v>1</v>
      </c>
      <c r="AH249">
        <v>31</v>
      </c>
      <c r="AI249">
        <v>0</v>
      </c>
      <c r="AJ249">
        <v>1</v>
      </c>
      <c r="AK249">
        <v>0</v>
      </c>
      <c r="AL249">
        <v>1</v>
      </c>
      <c r="AM249" s="14">
        <v>0</v>
      </c>
      <c r="AN249" t="s">
        <v>2644</v>
      </c>
      <c r="AO249" s="12">
        <v>46054</v>
      </c>
      <c r="AP249">
        <v>2026</v>
      </c>
      <c r="AQ249">
        <v>2</v>
      </c>
      <c r="AR249" t="s">
        <v>2649</v>
      </c>
    </row>
    <row r="250" spans="1:44">
      <c r="A250" t="s">
        <v>1122</v>
      </c>
      <c r="B250" s="12">
        <v>46073</v>
      </c>
      <c r="C250" s="12">
        <v>46037</v>
      </c>
      <c r="D250" t="s">
        <v>1123</v>
      </c>
      <c r="E250" t="s">
        <v>255</v>
      </c>
      <c r="F250" t="s">
        <v>297</v>
      </c>
      <c r="G250" t="s">
        <v>331</v>
      </c>
      <c r="H250" t="s">
        <v>122</v>
      </c>
      <c r="I250" t="s">
        <v>316</v>
      </c>
      <c r="J250" s="13">
        <v>0.66666666666666663</v>
      </c>
      <c r="K250" s="13"/>
      <c r="L250" s="13"/>
      <c r="M250">
        <v>0</v>
      </c>
      <c r="N250" s="14">
        <v>65</v>
      </c>
      <c r="O250" t="s">
        <v>195</v>
      </c>
      <c r="Q250" t="s">
        <v>318</v>
      </c>
      <c r="R250" t="s">
        <v>896</v>
      </c>
      <c r="S250">
        <v>0</v>
      </c>
      <c r="T250">
        <v>0</v>
      </c>
      <c r="U250" t="s">
        <v>2299</v>
      </c>
      <c r="V250" t="s">
        <v>2295</v>
      </c>
      <c r="W250" t="s">
        <v>2300</v>
      </c>
      <c r="X250" t="s">
        <v>2288</v>
      </c>
      <c r="Y250" t="s">
        <v>2301</v>
      </c>
      <c r="Z250" t="s">
        <v>2306</v>
      </c>
      <c r="AA250">
        <v>7</v>
      </c>
      <c r="AB250" s="14">
        <v>65</v>
      </c>
      <c r="AC250" t="s">
        <v>2307</v>
      </c>
      <c r="AD250" t="s">
        <v>2308</v>
      </c>
      <c r="AE250" t="s">
        <v>2643</v>
      </c>
      <c r="AF250">
        <v>36</v>
      </c>
      <c r="AG250">
        <v>0</v>
      </c>
      <c r="AJ250">
        <v>1</v>
      </c>
      <c r="AK250">
        <v>1</v>
      </c>
      <c r="AL250">
        <v>1</v>
      </c>
      <c r="AM250" s="14">
        <v>0</v>
      </c>
      <c r="AN250" t="s">
        <v>2644</v>
      </c>
      <c r="AO250" s="12">
        <v>46054</v>
      </c>
      <c r="AP250">
        <v>2026</v>
      </c>
      <c r="AQ250">
        <v>2</v>
      </c>
      <c r="AR250" t="s">
        <v>2649</v>
      </c>
    </row>
    <row r="251" spans="1:44">
      <c r="A251" t="s">
        <v>1124</v>
      </c>
      <c r="B251" s="12">
        <v>46078</v>
      </c>
      <c r="C251" s="12">
        <v>46033</v>
      </c>
      <c r="D251" t="s">
        <v>1126</v>
      </c>
      <c r="E251" t="s">
        <v>255</v>
      </c>
      <c r="F251" t="s">
        <v>409</v>
      </c>
      <c r="G251" t="s">
        <v>648</v>
      </c>
      <c r="H251" t="s">
        <v>115</v>
      </c>
      <c r="I251" t="s">
        <v>316</v>
      </c>
      <c r="J251" s="13">
        <v>0.54166666666666663</v>
      </c>
      <c r="K251" s="13">
        <v>0.54027777777777775</v>
      </c>
      <c r="L251" s="13">
        <v>0.55138888888888893</v>
      </c>
      <c r="M251">
        <v>45</v>
      </c>
      <c r="N251" s="14">
        <v>150</v>
      </c>
      <c r="O251" t="s">
        <v>195</v>
      </c>
      <c r="P251">
        <v>4</v>
      </c>
      <c r="Q251" t="s">
        <v>318</v>
      </c>
      <c r="R251" t="s">
        <v>896</v>
      </c>
      <c r="S251">
        <v>0</v>
      </c>
      <c r="T251">
        <v>0</v>
      </c>
      <c r="U251" t="s">
        <v>2299</v>
      </c>
      <c r="V251" t="s">
        <v>2295</v>
      </c>
      <c r="W251" t="s">
        <v>2300</v>
      </c>
      <c r="X251" t="s">
        <v>2288</v>
      </c>
      <c r="Y251" t="s">
        <v>2301</v>
      </c>
      <c r="Z251" t="s">
        <v>2318</v>
      </c>
      <c r="AA251">
        <v>28</v>
      </c>
      <c r="AB251" s="14">
        <v>150</v>
      </c>
      <c r="AC251" t="s">
        <v>2319</v>
      </c>
      <c r="AD251" t="s">
        <v>2320</v>
      </c>
      <c r="AE251" t="s">
        <v>2643</v>
      </c>
      <c r="AF251">
        <v>45</v>
      </c>
      <c r="AG251">
        <v>0</v>
      </c>
      <c r="AH251">
        <v>16</v>
      </c>
      <c r="AI251">
        <v>1</v>
      </c>
      <c r="AJ251">
        <v>1</v>
      </c>
      <c r="AK251">
        <v>0</v>
      </c>
      <c r="AL251">
        <v>1</v>
      </c>
      <c r="AM251" s="14">
        <v>0</v>
      </c>
      <c r="AN251" t="s">
        <v>2644</v>
      </c>
      <c r="AO251" s="12">
        <v>46054</v>
      </c>
      <c r="AP251">
        <v>2026</v>
      </c>
      <c r="AQ251">
        <v>2</v>
      </c>
      <c r="AR251" t="s">
        <v>2649</v>
      </c>
    </row>
    <row r="252" spans="1:44">
      <c r="A252" t="s">
        <v>1127</v>
      </c>
      <c r="B252" s="12">
        <v>46057</v>
      </c>
      <c r="C252" s="12">
        <v>46046</v>
      </c>
      <c r="D252" t="s">
        <v>779</v>
      </c>
      <c r="E252" t="s">
        <v>268</v>
      </c>
      <c r="F252" t="s">
        <v>269</v>
      </c>
      <c r="G252" t="s">
        <v>435</v>
      </c>
      <c r="H252" t="s">
        <v>115</v>
      </c>
      <c r="I252" t="s">
        <v>271</v>
      </c>
      <c r="J252" s="13">
        <v>0.58333333333333337</v>
      </c>
      <c r="K252" s="13">
        <v>0.59097222222222223</v>
      </c>
      <c r="L252" s="13">
        <v>0.6069444444444444</v>
      </c>
      <c r="M252">
        <v>30</v>
      </c>
      <c r="N252" s="14">
        <v>80</v>
      </c>
      <c r="O252" t="s">
        <v>195</v>
      </c>
      <c r="P252">
        <v>5</v>
      </c>
      <c r="Q252" t="s">
        <v>285</v>
      </c>
      <c r="R252" t="s">
        <v>896</v>
      </c>
      <c r="S252">
        <v>0</v>
      </c>
      <c r="T252">
        <v>0</v>
      </c>
      <c r="U252" t="s">
        <v>2285</v>
      </c>
      <c r="V252" t="s">
        <v>2286</v>
      </c>
      <c r="W252" t="s">
        <v>2287</v>
      </c>
      <c r="X252" t="s">
        <v>2288</v>
      </c>
      <c r="Y252" t="s">
        <v>2289</v>
      </c>
      <c r="Z252" t="s">
        <v>2315</v>
      </c>
      <c r="AA252">
        <v>10</v>
      </c>
      <c r="AB252" s="14">
        <v>80</v>
      </c>
      <c r="AC252" t="s">
        <v>2316</v>
      </c>
      <c r="AD252" t="s">
        <v>2317</v>
      </c>
      <c r="AE252" t="s">
        <v>2643</v>
      </c>
      <c r="AF252">
        <v>11</v>
      </c>
      <c r="AG252">
        <v>0</v>
      </c>
      <c r="AH252">
        <v>23</v>
      </c>
      <c r="AI252">
        <v>1</v>
      </c>
      <c r="AJ252">
        <v>1</v>
      </c>
      <c r="AK252">
        <v>0</v>
      </c>
      <c r="AL252">
        <v>1</v>
      </c>
      <c r="AM252" s="14">
        <v>0</v>
      </c>
      <c r="AN252" t="s">
        <v>2644</v>
      </c>
      <c r="AO252" s="12">
        <v>46054</v>
      </c>
      <c r="AP252">
        <v>2026</v>
      </c>
      <c r="AQ252">
        <v>2</v>
      </c>
      <c r="AR252" t="s">
        <v>2649</v>
      </c>
    </row>
    <row r="253" spans="1:44">
      <c r="A253" t="s">
        <v>1129</v>
      </c>
      <c r="B253" s="12">
        <v>46077</v>
      </c>
      <c r="C253" s="12">
        <v>46054</v>
      </c>
      <c r="D253" t="s">
        <v>1130</v>
      </c>
      <c r="E253" t="s">
        <v>339</v>
      </c>
      <c r="F253" t="s">
        <v>409</v>
      </c>
      <c r="G253" t="s">
        <v>476</v>
      </c>
      <c r="H253" t="s">
        <v>115</v>
      </c>
      <c r="I253" t="s">
        <v>271</v>
      </c>
      <c r="J253" s="13">
        <v>0.5625</v>
      </c>
      <c r="K253" s="13">
        <v>0.56597222222222221</v>
      </c>
      <c r="L253" s="13">
        <v>0.58125000000000004</v>
      </c>
      <c r="M253">
        <v>20</v>
      </c>
      <c r="N253" s="14">
        <v>150</v>
      </c>
      <c r="O253" t="s">
        <v>195</v>
      </c>
      <c r="P253">
        <v>4</v>
      </c>
      <c r="Q253" t="s">
        <v>326</v>
      </c>
      <c r="R253" t="s">
        <v>896</v>
      </c>
      <c r="S253">
        <v>0</v>
      </c>
      <c r="T253">
        <v>0</v>
      </c>
      <c r="U253" t="s">
        <v>2294</v>
      </c>
      <c r="V253" t="s">
        <v>2295</v>
      </c>
      <c r="W253" t="s">
        <v>2296</v>
      </c>
      <c r="X253" t="s">
        <v>2297</v>
      </c>
      <c r="Y253" t="s">
        <v>2298</v>
      </c>
      <c r="Z253" t="s">
        <v>2318</v>
      </c>
      <c r="AA253">
        <v>28</v>
      </c>
      <c r="AB253" s="14">
        <v>150</v>
      </c>
      <c r="AC253" t="s">
        <v>2319</v>
      </c>
      <c r="AD253" t="s">
        <v>2320</v>
      </c>
      <c r="AE253" t="s">
        <v>2643</v>
      </c>
      <c r="AF253">
        <v>23</v>
      </c>
      <c r="AG253">
        <v>1</v>
      </c>
      <c r="AH253">
        <v>22</v>
      </c>
      <c r="AI253">
        <v>1</v>
      </c>
      <c r="AJ253">
        <v>1</v>
      </c>
      <c r="AK253">
        <v>0</v>
      </c>
      <c r="AL253">
        <v>1</v>
      </c>
      <c r="AM253" s="14">
        <v>0</v>
      </c>
      <c r="AN253" t="s">
        <v>2644</v>
      </c>
      <c r="AO253" s="12">
        <v>46054</v>
      </c>
      <c r="AP253">
        <v>2026</v>
      </c>
      <c r="AQ253">
        <v>2</v>
      </c>
      <c r="AR253" t="s">
        <v>2649</v>
      </c>
    </row>
    <row r="254" spans="1:44">
      <c r="A254" t="s">
        <v>1132</v>
      </c>
      <c r="B254" s="12">
        <v>46065</v>
      </c>
      <c r="C254" s="12">
        <v>46014</v>
      </c>
      <c r="D254" t="s">
        <v>930</v>
      </c>
      <c r="E254" t="s">
        <v>281</v>
      </c>
      <c r="F254" t="s">
        <v>256</v>
      </c>
      <c r="G254" t="s">
        <v>429</v>
      </c>
      <c r="H254" t="s">
        <v>115</v>
      </c>
      <c r="I254" t="s">
        <v>316</v>
      </c>
      <c r="J254" s="13">
        <v>0.41666666666666669</v>
      </c>
      <c r="K254" s="13">
        <v>0.41111111111111109</v>
      </c>
      <c r="L254" s="13">
        <v>0.4201388888888889</v>
      </c>
      <c r="M254">
        <v>45</v>
      </c>
      <c r="N254" s="14">
        <v>95</v>
      </c>
      <c r="O254" t="s">
        <v>195</v>
      </c>
      <c r="P254">
        <v>4</v>
      </c>
      <c r="Q254" t="s">
        <v>305</v>
      </c>
      <c r="R254" t="s">
        <v>896</v>
      </c>
      <c r="S254">
        <v>0</v>
      </c>
      <c r="T254">
        <v>0</v>
      </c>
      <c r="U254" t="s">
        <v>2290</v>
      </c>
      <c r="V254" t="s">
        <v>2291</v>
      </c>
      <c r="W254" t="s">
        <v>2292</v>
      </c>
      <c r="X254" t="s">
        <v>2288</v>
      </c>
      <c r="Y254" t="s">
        <v>2293</v>
      </c>
      <c r="Z254" t="s">
        <v>2312</v>
      </c>
      <c r="AA254">
        <v>21</v>
      </c>
      <c r="AB254" s="14">
        <v>95</v>
      </c>
      <c r="AC254" t="s">
        <v>2313</v>
      </c>
      <c r="AD254" t="s">
        <v>2314</v>
      </c>
      <c r="AE254" t="s">
        <v>2643</v>
      </c>
      <c r="AF254">
        <v>51</v>
      </c>
      <c r="AG254">
        <v>0</v>
      </c>
      <c r="AH254">
        <v>13</v>
      </c>
      <c r="AI254">
        <v>1</v>
      </c>
      <c r="AJ254">
        <v>1</v>
      </c>
      <c r="AK254">
        <v>0</v>
      </c>
      <c r="AL254">
        <v>1</v>
      </c>
      <c r="AM254" s="14">
        <v>0</v>
      </c>
      <c r="AN254" t="s">
        <v>2644</v>
      </c>
      <c r="AO254" s="12">
        <v>46054</v>
      </c>
      <c r="AP254">
        <v>2026</v>
      </c>
      <c r="AQ254">
        <v>2</v>
      </c>
      <c r="AR254" t="s">
        <v>2649</v>
      </c>
    </row>
    <row r="255" spans="1:44">
      <c r="A255" t="s">
        <v>1135</v>
      </c>
      <c r="B255" s="12">
        <v>46071</v>
      </c>
      <c r="C255" s="12">
        <v>46022</v>
      </c>
      <c r="D255" t="s">
        <v>1136</v>
      </c>
      <c r="E255" t="s">
        <v>255</v>
      </c>
      <c r="F255" t="s">
        <v>269</v>
      </c>
      <c r="G255" t="s">
        <v>542</v>
      </c>
      <c r="H255" t="s">
        <v>127</v>
      </c>
      <c r="I255" t="s">
        <v>258</v>
      </c>
      <c r="J255" s="13">
        <v>0.60416666666666663</v>
      </c>
      <c r="K255" s="13"/>
      <c r="L255" s="13"/>
      <c r="M255">
        <v>0</v>
      </c>
      <c r="N255" s="14">
        <v>80</v>
      </c>
      <c r="O255" t="s">
        <v>195</v>
      </c>
      <c r="Q255" t="s">
        <v>285</v>
      </c>
      <c r="R255" t="s">
        <v>896</v>
      </c>
      <c r="S255">
        <v>0</v>
      </c>
      <c r="T255">
        <v>0</v>
      </c>
      <c r="U255" t="s">
        <v>2299</v>
      </c>
      <c r="V255" t="s">
        <v>2295</v>
      </c>
      <c r="W255" t="s">
        <v>2300</v>
      </c>
      <c r="X255" t="s">
        <v>2288</v>
      </c>
      <c r="Y255" t="s">
        <v>2301</v>
      </c>
      <c r="Z255" t="s">
        <v>2315</v>
      </c>
      <c r="AA255">
        <v>10</v>
      </c>
      <c r="AB255" s="14">
        <v>80</v>
      </c>
      <c r="AC255" t="s">
        <v>2316</v>
      </c>
      <c r="AD255" t="s">
        <v>2317</v>
      </c>
      <c r="AE255" t="s">
        <v>2643</v>
      </c>
      <c r="AF255">
        <v>49</v>
      </c>
      <c r="AG255">
        <v>0</v>
      </c>
      <c r="AJ255">
        <v>0</v>
      </c>
      <c r="AL255">
        <v>1</v>
      </c>
      <c r="AM255" s="14">
        <v>0</v>
      </c>
      <c r="AN255" t="s">
        <v>2644</v>
      </c>
      <c r="AO255" s="12">
        <v>46054</v>
      </c>
      <c r="AP255">
        <v>2026</v>
      </c>
      <c r="AQ255">
        <v>2</v>
      </c>
      <c r="AR255" t="s">
        <v>2649</v>
      </c>
    </row>
    <row r="256" spans="1:44">
      <c r="A256" t="s">
        <v>1137</v>
      </c>
      <c r="B256" s="12">
        <v>46060</v>
      </c>
      <c r="C256" s="12">
        <v>46030</v>
      </c>
      <c r="D256" t="s">
        <v>1138</v>
      </c>
      <c r="E256" t="s">
        <v>268</v>
      </c>
      <c r="F256" t="s">
        <v>297</v>
      </c>
      <c r="G256" t="s">
        <v>628</v>
      </c>
      <c r="H256" t="s">
        <v>115</v>
      </c>
      <c r="I256" t="s">
        <v>316</v>
      </c>
      <c r="J256" s="13">
        <v>0.35416666666666669</v>
      </c>
      <c r="K256" s="13">
        <v>0.35902777777777778</v>
      </c>
      <c r="L256" s="13">
        <v>0.36041666666666666</v>
      </c>
      <c r="M256">
        <v>20</v>
      </c>
      <c r="N256" s="14">
        <v>65</v>
      </c>
      <c r="O256" t="s">
        <v>195</v>
      </c>
      <c r="P256">
        <v>2</v>
      </c>
      <c r="Q256" t="s">
        <v>285</v>
      </c>
      <c r="R256" t="s">
        <v>896</v>
      </c>
      <c r="S256">
        <v>0</v>
      </c>
      <c r="T256">
        <v>0</v>
      </c>
      <c r="U256" t="s">
        <v>2285</v>
      </c>
      <c r="V256" t="s">
        <v>2286</v>
      </c>
      <c r="W256" t="s">
        <v>2287</v>
      </c>
      <c r="X256" t="s">
        <v>2288</v>
      </c>
      <c r="Y256" t="s">
        <v>2289</v>
      </c>
      <c r="Z256" t="s">
        <v>2306</v>
      </c>
      <c r="AA256">
        <v>7</v>
      </c>
      <c r="AB256" s="14">
        <v>65</v>
      </c>
      <c r="AC256" t="s">
        <v>2307</v>
      </c>
      <c r="AD256" t="s">
        <v>2308</v>
      </c>
      <c r="AE256" t="s">
        <v>2643</v>
      </c>
      <c r="AF256">
        <v>30</v>
      </c>
      <c r="AG256">
        <v>0</v>
      </c>
      <c r="AH256">
        <v>2</v>
      </c>
      <c r="AI256">
        <v>1</v>
      </c>
      <c r="AJ256">
        <v>1</v>
      </c>
      <c r="AK256">
        <v>0</v>
      </c>
      <c r="AL256">
        <v>1</v>
      </c>
      <c r="AM256" s="14">
        <v>0</v>
      </c>
      <c r="AN256" t="s">
        <v>2644</v>
      </c>
      <c r="AO256" s="12">
        <v>46054</v>
      </c>
      <c r="AP256">
        <v>2026</v>
      </c>
      <c r="AQ256">
        <v>2</v>
      </c>
      <c r="AR256" t="s">
        <v>2649</v>
      </c>
    </row>
    <row r="257" spans="1:44">
      <c r="A257" t="s">
        <v>1141</v>
      </c>
      <c r="B257" s="12"/>
      <c r="C257" s="12">
        <v>46021</v>
      </c>
      <c r="D257" t="s">
        <v>594</v>
      </c>
      <c r="E257" t="s">
        <v>281</v>
      </c>
      <c r="F257" t="s">
        <v>269</v>
      </c>
      <c r="G257" t="s">
        <v>322</v>
      </c>
      <c r="H257" t="s">
        <v>115</v>
      </c>
      <c r="I257" t="s">
        <v>316</v>
      </c>
      <c r="J257" s="13">
        <v>0.45833333333333331</v>
      </c>
      <c r="K257" s="13">
        <v>0.45763888888888887</v>
      </c>
      <c r="L257" s="13">
        <v>0.47361111111111109</v>
      </c>
      <c r="M257">
        <v>60</v>
      </c>
      <c r="N257" s="14">
        <v>80</v>
      </c>
      <c r="O257" t="s">
        <v>195</v>
      </c>
      <c r="P257">
        <v>5</v>
      </c>
      <c r="Q257" t="s">
        <v>262</v>
      </c>
      <c r="R257" t="s">
        <v>896</v>
      </c>
      <c r="S257">
        <v>0</v>
      </c>
      <c r="T257">
        <v>0</v>
      </c>
      <c r="U257" t="s">
        <v>2290</v>
      </c>
      <c r="V257" t="s">
        <v>2291</v>
      </c>
      <c r="W257" t="s">
        <v>2292</v>
      </c>
      <c r="X257" t="s">
        <v>2288</v>
      </c>
      <c r="Y257" t="s">
        <v>2293</v>
      </c>
      <c r="Z257" t="s">
        <v>2315</v>
      </c>
      <c r="AA257">
        <v>10</v>
      </c>
      <c r="AB257" s="14">
        <v>80</v>
      </c>
      <c r="AC257" t="s">
        <v>2316</v>
      </c>
      <c r="AD257" t="s">
        <v>2317</v>
      </c>
      <c r="AE257" t="s">
        <v>2643</v>
      </c>
      <c r="AH257">
        <v>23</v>
      </c>
      <c r="AI257">
        <v>1</v>
      </c>
      <c r="AJ257">
        <v>1</v>
      </c>
      <c r="AK257">
        <v>0</v>
      </c>
      <c r="AL257">
        <v>1</v>
      </c>
      <c r="AM257" s="14">
        <v>0</v>
      </c>
      <c r="AN257" t="s">
        <v>2644</v>
      </c>
      <c r="AO257" s="12"/>
    </row>
    <row r="258" spans="1:44">
      <c r="A258" t="s">
        <v>1143</v>
      </c>
      <c r="B258" s="12">
        <v>46064</v>
      </c>
      <c r="C258" s="12">
        <v>46030</v>
      </c>
      <c r="D258" t="s">
        <v>1144</v>
      </c>
      <c r="E258" t="s">
        <v>339</v>
      </c>
      <c r="F258" t="s">
        <v>256</v>
      </c>
      <c r="G258" t="s">
        <v>403</v>
      </c>
      <c r="H258" t="s">
        <v>115</v>
      </c>
      <c r="I258" t="s">
        <v>316</v>
      </c>
      <c r="J258" s="13">
        <v>0.64583333333333337</v>
      </c>
      <c r="K258" s="13">
        <v>0.64513888888888893</v>
      </c>
      <c r="L258" s="13">
        <v>0.64583333333333337</v>
      </c>
      <c r="M258">
        <v>30</v>
      </c>
      <c r="N258" s="14">
        <v>95</v>
      </c>
      <c r="O258" t="s">
        <v>169</v>
      </c>
      <c r="P258">
        <v>2</v>
      </c>
      <c r="Q258" t="s">
        <v>262</v>
      </c>
      <c r="R258" t="s">
        <v>896</v>
      </c>
      <c r="S258">
        <v>0</v>
      </c>
      <c r="T258">
        <v>0</v>
      </c>
      <c r="U258" t="s">
        <v>2294</v>
      </c>
      <c r="V258" t="s">
        <v>2295</v>
      </c>
      <c r="W258" t="s">
        <v>2296</v>
      </c>
      <c r="X258" t="s">
        <v>2297</v>
      </c>
      <c r="Y258" t="s">
        <v>2298</v>
      </c>
      <c r="Z258" t="s">
        <v>2312</v>
      </c>
      <c r="AA258">
        <v>21</v>
      </c>
      <c r="AB258" s="14">
        <v>95</v>
      </c>
      <c r="AC258" t="s">
        <v>2313</v>
      </c>
      <c r="AD258" t="s">
        <v>2314</v>
      </c>
      <c r="AE258" t="s">
        <v>2643</v>
      </c>
      <c r="AF258">
        <v>34</v>
      </c>
      <c r="AG258">
        <v>0</v>
      </c>
      <c r="AH258">
        <v>1</v>
      </c>
      <c r="AI258">
        <v>1</v>
      </c>
      <c r="AJ258">
        <v>1</v>
      </c>
      <c r="AK258">
        <v>0</v>
      </c>
      <c r="AL258">
        <v>1</v>
      </c>
      <c r="AM258" s="14">
        <v>0</v>
      </c>
      <c r="AN258" t="s">
        <v>2644</v>
      </c>
      <c r="AO258" s="12">
        <v>46054</v>
      </c>
      <c r="AP258">
        <v>2026</v>
      </c>
      <c r="AQ258">
        <v>2</v>
      </c>
      <c r="AR258" t="s">
        <v>2649</v>
      </c>
    </row>
    <row r="259" spans="1:44">
      <c r="A259" t="s">
        <v>1146</v>
      </c>
      <c r="B259" s="12">
        <v>46072</v>
      </c>
      <c r="C259" s="12">
        <v>46063</v>
      </c>
      <c r="D259" t="s">
        <v>402</v>
      </c>
      <c r="E259" t="s">
        <v>339</v>
      </c>
      <c r="F259" t="s">
        <v>409</v>
      </c>
      <c r="G259" t="s">
        <v>476</v>
      </c>
      <c r="H259" t="s">
        <v>122</v>
      </c>
      <c r="I259" t="s">
        <v>316</v>
      </c>
      <c r="J259" s="13">
        <v>0.66666666666666663</v>
      </c>
      <c r="K259" s="13"/>
      <c r="L259" s="13"/>
      <c r="M259">
        <v>0</v>
      </c>
      <c r="N259" s="14">
        <v>150</v>
      </c>
      <c r="O259" t="s">
        <v>195</v>
      </c>
      <c r="Q259" t="s">
        <v>305</v>
      </c>
      <c r="R259" t="s">
        <v>896</v>
      </c>
      <c r="S259">
        <v>0</v>
      </c>
      <c r="T259">
        <v>0</v>
      </c>
      <c r="U259" t="s">
        <v>2294</v>
      </c>
      <c r="V259" t="s">
        <v>2295</v>
      </c>
      <c r="W259" t="s">
        <v>2296</v>
      </c>
      <c r="X259" t="s">
        <v>2297</v>
      </c>
      <c r="Y259" t="s">
        <v>2298</v>
      </c>
      <c r="Z259" t="s">
        <v>2318</v>
      </c>
      <c r="AA259">
        <v>28</v>
      </c>
      <c r="AB259" s="14">
        <v>150</v>
      </c>
      <c r="AC259" t="s">
        <v>2319</v>
      </c>
      <c r="AD259" t="s">
        <v>2320</v>
      </c>
      <c r="AE259" t="s">
        <v>2643</v>
      </c>
      <c r="AF259">
        <v>9</v>
      </c>
      <c r="AG259">
        <v>1</v>
      </c>
      <c r="AJ259">
        <v>1</v>
      </c>
      <c r="AK259">
        <v>1</v>
      </c>
      <c r="AL259">
        <v>1</v>
      </c>
      <c r="AM259" s="14">
        <v>0</v>
      </c>
      <c r="AN259" t="s">
        <v>2644</v>
      </c>
      <c r="AO259" s="12">
        <v>46054</v>
      </c>
      <c r="AP259">
        <v>2026</v>
      </c>
      <c r="AQ259">
        <v>2</v>
      </c>
      <c r="AR259" t="s">
        <v>2649</v>
      </c>
    </row>
    <row r="260" spans="1:44">
      <c r="A260" t="s">
        <v>1147</v>
      </c>
      <c r="B260" s="12">
        <v>46080</v>
      </c>
      <c r="C260" s="12">
        <v>46042</v>
      </c>
      <c r="D260" t="s">
        <v>441</v>
      </c>
      <c r="E260" t="s">
        <v>339</v>
      </c>
      <c r="F260" t="s">
        <v>269</v>
      </c>
      <c r="G260" t="s">
        <v>340</v>
      </c>
      <c r="H260" t="s">
        <v>115</v>
      </c>
      <c r="I260" t="s">
        <v>271</v>
      </c>
      <c r="J260" s="13">
        <v>0.625</v>
      </c>
      <c r="K260" s="13">
        <v>0.62083333333333335</v>
      </c>
      <c r="L260" s="13">
        <v>0.63472222222222219</v>
      </c>
      <c r="M260">
        <v>20</v>
      </c>
      <c r="N260" s="14">
        <v>80</v>
      </c>
      <c r="O260" t="s">
        <v>169</v>
      </c>
      <c r="P260">
        <v>5</v>
      </c>
      <c r="Q260" t="s">
        <v>305</v>
      </c>
      <c r="R260" t="s">
        <v>896</v>
      </c>
      <c r="S260">
        <v>0</v>
      </c>
      <c r="T260">
        <v>0</v>
      </c>
      <c r="U260" t="s">
        <v>2294</v>
      </c>
      <c r="V260" t="s">
        <v>2295</v>
      </c>
      <c r="W260" t="s">
        <v>2296</v>
      </c>
      <c r="X260" t="s">
        <v>2297</v>
      </c>
      <c r="Y260" t="s">
        <v>2298</v>
      </c>
      <c r="Z260" t="s">
        <v>2315</v>
      </c>
      <c r="AA260">
        <v>10</v>
      </c>
      <c r="AB260" s="14">
        <v>80</v>
      </c>
      <c r="AC260" t="s">
        <v>2316</v>
      </c>
      <c r="AD260" t="s">
        <v>2317</v>
      </c>
      <c r="AE260" t="s">
        <v>2643</v>
      </c>
      <c r="AF260">
        <v>38</v>
      </c>
      <c r="AG260">
        <v>0</v>
      </c>
      <c r="AH260">
        <v>20</v>
      </c>
      <c r="AI260">
        <v>1</v>
      </c>
      <c r="AJ260">
        <v>1</v>
      </c>
      <c r="AK260">
        <v>0</v>
      </c>
      <c r="AL260">
        <v>1</v>
      </c>
      <c r="AM260" s="14">
        <v>0</v>
      </c>
      <c r="AN260" t="s">
        <v>2644</v>
      </c>
      <c r="AO260" s="12">
        <v>46054</v>
      </c>
      <c r="AP260">
        <v>2026</v>
      </c>
      <c r="AQ260">
        <v>2</v>
      </c>
      <c r="AR260" t="s">
        <v>2649</v>
      </c>
    </row>
    <row r="261" spans="1:44">
      <c r="A261" t="s">
        <v>1150</v>
      </c>
      <c r="B261" s="12">
        <v>46069</v>
      </c>
      <c r="C261" s="12">
        <v>46054</v>
      </c>
      <c r="D261" t="s">
        <v>727</v>
      </c>
      <c r="E261" t="s">
        <v>339</v>
      </c>
      <c r="F261" t="s">
        <v>409</v>
      </c>
      <c r="G261" t="s">
        <v>725</v>
      </c>
      <c r="H261" t="s">
        <v>115</v>
      </c>
      <c r="I261" t="s">
        <v>316</v>
      </c>
      <c r="J261" s="13">
        <v>0.35416666666666669</v>
      </c>
      <c r="K261" s="13">
        <v>0.36180555555555555</v>
      </c>
      <c r="L261" s="13">
        <v>0.35694444444444445</v>
      </c>
      <c r="M261">
        <v>60</v>
      </c>
      <c r="N261" s="14">
        <v>150</v>
      </c>
      <c r="O261" t="s">
        <v>195</v>
      </c>
      <c r="P261">
        <v>4</v>
      </c>
      <c r="Q261" t="s">
        <v>318</v>
      </c>
      <c r="R261" t="s">
        <v>896</v>
      </c>
      <c r="S261">
        <v>0</v>
      </c>
      <c r="T261">
        <v>0</v>
      </c>
      <c r="U261" t="s">
        <v>2294</v>
      </c>
      <c r="V261" t="s">
        <v>2295</v>
      </c>
      <c r="W261" t="s">
        <v>2296</v>
      </c>
      <c r="X261" t="s">
        <v>2297</v>
      </c>
      <c r="Y261" t="s">
        <v>2298</v>
      </c>
      <c r="Z261" t="s">
        <v>2318</v>
      </c>
      <c r="AA261">
        <v>28</v>
      </c>
      <c r="AB261" s="14">
        <v>150</v>
      </c>
      <c r="AC261" t="s">
        <v>2319</v>
      </c>
      <c r="AD261" t="s">
        <v>2320</v>
      </c>
      <c r="AE261" t="s">
        <v>2643</v>
      </c>
      <c r="AF261">
        <v>15</v>
      </c>
      <c r="AG261">
        <v>1</v>
      </c>
      <c r="AJ261">
        <v>1</v>
      </c>
      <c r="AK261">
        <v>0</v>
      </c>
      <c r="AL261">
        <v>1</v>
      </c>
      <c r="AM261" s="14">
        <v>0</v>
      </c>
      <c r="AN261" t="s">
        <v>2644</v>
      </c>
      <c r="AO261" s="12">
        <v>46054</v>
      </c>
      <c r="AP261">
        <v>2026</v>
      </c>
      <c r="AQ261">
        <v>2</v>
      </c>
      <c r="AR261" t="s">
        <v>2649</v>
      </c>
    </row>
    <row r="262" spans="1:44">
      <c r="A262" t="s">
        <v>1152</v>
      </c>
      <c r="B262" s="12">
        <v>46075</v>
      </c>
      <c r="C262" s="12">
        <v>46022</v>
      </c>
      <c r="D262" t="s">
        <v>592</v>
      </c>
      <c r="E262" t="s">
        <v>268</v>
      </c>
      <c r="F262" t="s">
        <v>282</v>
      </c>
      <c r="G262" t="s">
        <v>505</v>
      </c>
      <c r="H262" t="s">
        <v>466</v>
      </c>
      <c r="I262" t="s">
        <v>271</v>
      </c>
      <c r="J262" s="13">
        <v>0.5</v>
      </c>
      <c r="K262" s="13"/>
      <c r="L262" s="13"/>
      <c r="M262">
        <v>0</v>
      </c>
      <c r="N262" s="14">
        <v>120</v>
      </c>
      <c r="O262" t="s">
        <v>195</v>
      </c>
      <c r="Q262" t="s">
        <v>326</v>
      </c>
      <c r="R262" t="s">
        <v>896</v>
      </c>
      <c r="S262">
        <v>0</v>
      </c>
      <c r="T262">
        <v>0</v>
      </c>
      <c r="U262" t="s">
        <v>2285</v>
      </c>
      <c r="V262" t="s">
        <v>2286</v>
      </c>
      <c r="W262" t="s">
        <v>2287</v>
      </c>
      <c r="X262" t="s">
        <v>2288</v>
      </c>
      <c r="Y262" t="s">
        <v>2289</v>
      </c>
      <c r="Z262" t="s">
        <v>2309</v>
      </c>
      <c r="AA262">
        <v>14</v>
      </c>
      <c r="AB262" s="14">
        <v>120</v>
      </c>
      <c r="AC262" t="s">
        <v>2310</v>
      </c>
      <c r="AD262" t="s">
        <v>2311</v>
      </c>
      <c r="AE262" t="s">
        <v>2643</v>
      </c>
      <c r="AF262">
        <v>53</v>
      </c>
      <c r="AG262">
        <v>0</v>
      </c>
      <c r="AJ262">
        <v>0</v>
      </c>
      <c r="AL262">
        <v>1</v>
      </c>
      <c r="AM262" s="14">
        <v>0</v>
      </c>
      <c r="AN262" t="s">
        <v>2644</v>
      </c>
      <c r="AO262" s="12">
        <v>46054</v>
      </c>
      <c r="AP262">
        <v>2026</v>
      </c>
      <c r="AQ262">
        <v>2</v>
      </c>
      <c r="AR262" t="s">
        <v>2649</v>
      </c>
    </row>
    <row r="263" spans="1:44">
      <c r="A263" t="s">
        <v>1153</v>
      </c>
      <c r="B263" s="12">
        <v>46078</v>
      </c>
      <c r="C263" s="12">
        <v>46074</v>
      </c>
      <c r="D263" t="s">
        <v>1154</v>
      </c>
      <c r="E263" t="s">
        <v>339</v>
      </c>
      <c r="F263" t="s">
        <v>269</v>
      </c>
      <c r="G263" t="s">
        <v>528</v>
      </c>
      <c r="H263" t="s">
        <v>115</v>
      </c>
      <c r="I263" t="s">
        <v>258</v>
      </c>
      <c r="J263" s="13">
        <v>0.33333333333333331</v>
      </c>
      <c r="K263" s="13">
        <v>0.34166666666666667</v>
      </c>
      <c r="L263" s="13">
        <v>0.35833333333333334</v>
      </c>
      <c r="M263">
        <v>30</v>
      </c>
      <c r="N263" s="14">
        <v>80</v>
      </c>
      <c r="O263" t="s">
        <v>195</v>
      </c>
      <c r="P263">
        <v>5</v>
      </c>
      <c r="Q263" t="s">
        <v>285</v>
      </c>
      <c r="R263" t="s">
        <v>896</v>
      </c>
      <c r="S263">
        <v>0</v>
      </c>
      <c r="T263">
        <v>0</v>
      </c>
      <c r="U263" t="s">
        <v>2294</v>
      </c>
      <c r="V263" t="s">
        <v>2295</v>
      </c>
      <c r="W263" t="s">
        <v>2296</v>
      </c>
      <c r="X263" t="s">
        <v>2297</v>
      </c>
      <c r="Y263" t="s">
        <v>2298</v>
      </c>
      <c r="Z263" t="s">
        <v>2315</v>
      </c>
      <c r="AA263">
        <v>10</v>
      </c>
      <c r="AB263" s="14">
        <v>80</v>
      </c>
      <c r="AC263" t="s">
        <v>2316</v>
      </c>
      <c r="AD263" t="s">
        <v>2317</v>
      </c>
      <c r="AE263" t="s">
        <v>2643</v>
      </c>
      <c r="AF263">
        <v>4</v>
      </c>
      <c r="AG263">
        <v>1</v>
      </c>
      <c r="AH263">
        <v>24</v>
      </c>
      <c r="AI263">
        <v>1</v>
      </c>
      <c r="AJ263">
        <v>1</v>
      </c>
      <c r="AK263">
        <v>0</v>
      </c>
      <c r="AL263">
        <v>1</v>
      </c>
      <c r="AM263" s="14">
        <v>0</v>
      </c>
      <c r="AN263" t="s">
        <v>2644</v>
      </c>
      <c r="AO263" s="12">
        <v>46054</v>
      </c>
      <c r="AP263">
        <v>2026</v>
      </c>
      <c r="AQ263">
        <v>2</v>
      </c>
      <c r="AR263" t="s">
        <v>2649</v>
      </c>
    </row>
    <row r="264" spans="1:44">
      <c r="A264" t="s">
        <v>1156</v>
      </c>
      <c r="B264" s="12">
        <v>46077</v>
      </c>
      <c r="C264" s="12">
        <v>46022</v>
      </c>
      <c r="D264" t="s">
        <v>1157</v>
      </c>
      <c r="E264" t="s">
        <v>255</v>
      </c>
      <c r="F264" t="s">
        <v>282</v>
      </c>
      <c r="G264" t="s">
        <v>424</v>
      </c>
      <c r="H264" t="s">
        <v>115</v>
      </c>
      <c r="I264" t="s">
        <v>258</v>
      </c>
      <c r="J264" s="13">
        <v>0.39583333333333331</v>
      </c>
      <c r="K264" s="13">
        <v>0.40694444444444444</v>
      </c>
      <c r="L264" s="13">
        <v>0.41319444444444442</v>
      </c>
      <c r="M264">
        <v>30</v>
      </c>
      <c r="N264" s="14">
        <v>120</v>
      </c>
      <c r="O264" t="s">
        <v>195</v>
      </c>
      <c r="P264">
        <v>4</v>
      </c>
      <c r="Q264" t="s">
        <v>326</v>
      </c>
      <c r="R264" t="s">
        <v>896</v>
      </c>
      <c r="S264">
        <v>0</v>
      </c>
      <c r="T264">
        <v>0</v>
      </c>
      <c r="U264" t="s">
        <v>2299</v>
      </c>
      <c r="V264" t="s">
        <v>2295</v>
      </c>
      <c r="W264" t="s">
        <v>2300</v>
      </c>
      <c r="X264" t="s">
        <v>2288</v>
      </c>
      <c r="Y264" t="s">
        <v>2301</v>
      </c>
      <c r="Z264" t="s">
        <v>2309</v>
      </c>
      <c r="AA264">
        <v>14</v>
      </c>
      <c r="AB264" s="14">
        <v>120</v>
      </c>
      <c r="AC264" t="s">
        <v>2310</v>
      </c>
      <c r="AD264" t="s">
        <v>2311</v>
      </c>
      <c r="AE264" t="s">
        <v>2643</v>
      </c>
      <c r="AF264">
        <v>55</v>
      </c>
      <c r="AG264">
        <v>0</v>
      </c>
      <c r="AH264">
        <v>9</v>
      </c>
      <c r="AI264">
        <v>1</v>
      </c>
      <c r="AJ264">
        <v>1</v>
      </c>
      <c r="AK264">
        <v>0</v>
      </c>
      <c r="AL264">
        <v>1</v>
      </c>
      <c r="AM264" s="14">
        <v>0</v>
      </c>
      <c r="AN264" t="s">
        <v>2644</v>
      </c>
      <c r="AO264" s="12">
        <v>46054</v>
      </c>
      <c r="AP264">
        <v>2026</v>
      </c>
      <c r="AQ264">
        <v>2</v>
      </c>
      <c r="AR264" t="s">
        <v>2649</v>
      </c>
    </row>
    <row r="265" spans="1:44">
      <c r="A265" t="s">
        <v>1159</v>
      </c>
      <c r="B265" s="12">
        <v>46066</v>
      </c>
      <c r="C265" s="12">
        <v>46026</v>
      </c>
      <c r="D265" t="s">
        <v>402</v>
      </c>
      <c r="E265" t="s">
        <v>268</v>
      </c>
      <c r="F265" t="s">
        <v>256</v>
      </c>
      <c r="G265" t="s">
        <v>419</v>
      </c>
      <c r="H265" t="s">
        <v>115</v>
      </c>
      <c r="I265" t="s">
        <v>299</v>
      </c>
      <c r="J265" s="13">
        <v>0.375</v>
      </c>
      <c r="K265" s="13">
        <v>0.36875000000000002</v>
      </c>
      <c r="L265" s="13">
        <v>0.38611111111111113</v>
      </c>
      <c r="M265">
        <v>30</v>
      </c>
      <c r="N265" s="14">
        <v>95</v>
      </c>
      <c r="O265" t="s">
        <v>169</v>
      </c>
      <c r="P265">
        <v>2</v>
      </c>
      <c r="Q265" t="s">
        <v>305</v>
      </c>
      <c r="R265" t="s">
        <v>896</v>
      </c>
      <c r="S265">
        <v>0</v>
      </c>
      <c r="T265">
        <v>0</v>
      </c>
      <c r="U265" t="s">
        <v>2285</v>
      </c>
      <c r="V265" t="s">
        <v>2286</v>
      </c>
      <c r="W265" t="s">
        <v>2287</v>
      </c>
      <c r="X265" t="s">
        <v>2288</v>
      </c>
      <c r="Y265" t="s">
        <v>2289</v>
      </c>
      <c r="Z265" t="s">
        <v>2312</v>
      </c>
      <c r="AA265">
        <v>21</v>
      </c>
      <c r="AB265" s="14">
        <v>95</v>
      </c>
      <c r="AC265" t="s">
        <v>2313</v>
      </c>
      <c r="AD265" t="s">
        <v>2314</v>
      </c>
      <c r="AE265" t="s">
        <v>2643</v>
      </c>
      <c r="AF265">
        <v>40</v>
      </c>
      <c r="AG265">
        <v>0</v>
      </c>
      <c r="AH265">
        <v>25</v>
      </c>
      <c r="AI265">
        <v>1</v>
      </c>
      <c r="AJ265">
        <v>1</v>
      </c>
      <c r="AK265">
        <v>0</v>
      </c>
      <c r="AL265">
        <v>1</v>
      </c>
      <c r="AM265" s="14">
        <v>0</v>
      </c>
      <c r="AN265" t="s">
        <v>2644</v>
      </c>
      <c r="AO265" s="12">
        <v>46054</v>
      </c>
      <c r="AP265">
        <v>2026</v>
      </c>
      <c r="AQ265">
        <v>2</v>
      </c>
      <c r="AR265" t="s">
        <v>2649</v>
      </c>
    </row>
    <row r="266" spans="1:44">
      <c r="A266" t="s">
        <v>1161</v>
      </c>
      <c r="B266" s="12">
        <v>46068</v>
      </c>
      <c r="C266" s="12">
        <v>46016</v>
      </c>
      <c r="D266" t="s">
        <v>1162</v>
      </c>
      <c r="E266" t="s">
        <v>255</v>
      </c>
      <c r="F266" t="s">
        <v>297</v>
      </c>
      <c r="G266" t="s">
        <v>331</v>
      </c>
      <c r="H266" t="s">
        <v>127</v>
      </c>
      <c r="I266" t="s">
        <v>316</v>
      </c>
      <c r="J266" s="13">
        <v>0.58333333333333337</v>
      </c>
      <c r="K266" s="13"/>
      <c r="L266" s="13"/>
      <c r="M266">
        <v>0</v>
      </c>
      <c r="N266" s="14">
        <v>65</v>
      </c>
      <c r="O266" t="s">
        <v>195</v>
      </c>
      <c r="Q266" t="s">
        <v>262</v>
      </c>
      <c r="R266" t="s">
        <v>896</v>
      </c>
      <c r="S266">
        <v>0</v>
      </c>
      <c r="T266">
        <v>0</v>
      </c>
      <c r="U266" t="s">
        <v>2299</v>
      </c>
      <c r="V266" t="s">
        <v>2295</v>
      </c>
      <c r="W266" t="s">
        <v>2300</v>
      </c>
      <c r="X266" t="s">
        <v>2288</v>
      </c>
      <c r="Y266" t="s">
        <v>2301</v>
      </c>
      <c r="Z266" t="s">
        <v>2306</v>
      </c>
      <c r="AA266">
        <v>7</v>
      </c>
      <c r="AB266" s="14">
        <v>65</v>
      </c>
      <c r="AC266" t="s">
        <v>2307</v>
      </c>
      <c r="AD266" t="s">
        <v>2308</v>
      </c>
      <c r="AE266" t="s">
        <v>2643</v>
      </c>
      <c r="AF266">
        <v>52</v>
      </c>
      <c r="AG266">
        <v>0</v>
      </c>
      <c r="AJ266">
        <v>0</v>
      </c>
      <c r="AL266">
        <v>1</v>
      </c>
      <c r="AM266" s="14">
        <v>0</v>
      </c>
      <c r="AN266" t="s">
        <v>2644</v>
      </c>
      <c r="AO266" s="12">
        <v>46054</v>
      </c>
      <c r="AP266">
        <v>2026</v>
      </c>
      <c r="AQ266">
        <v>2</v>
      </c>
      <c r="AR266" t="s">
        <v>2649</v>
      </c>
    </row>
    <row r="267" spans="1:44">
      <c r="A267" t="s">
        <v>1164</v>
      </c>
      <c r="B267" s="12">
        <v>46060</v>
      </c>
      <c r="C267" s="12">
        <v>46011</v>
      </c>
      <c r="D267" t="s">
        <v>999</v>
      </c>
      <c r="E267" t="s">
        <v>281</v>
      </c>
      <c r="F267" t="s">
        <v>409</v>
      </c>
      <c r="G267" t="s">
        <v>535</v>
      </c>
      <c r="H267" t="s">
        <v>115</v>
      </c>
      <c r="I267" t="s">
        <v>316</v>
      </c>
      <c r="J267" s="13">
        <v>0.58333333333333337</v>
      </c>
      <c r="K267" s="13">
        <v>0.59583333333333333</v>
      </c>
      <c r="L267" s="13">
        <v>0.59513888888888888</v>
      </c>
      <c r="M267">
        <v>45</v>
      </c>
      <c r="O267" t="s">
        <v>195</v>
      </c>
      <c r="P267">
        <v>4</v>
      </c>
      <c r="Q267" t="s">
        <v>285</v>
      </c>
      <c r="R267" t="s">
        <v>896</v>
      </c>
      <c r="S267">
        <v>0</v>
      </c>
      <c r="T267">
        <v>0</v>
      </c>
      <c r="U267" t="s">
        <v>2290</v>
      </c>
      <c r="V267" t="s">
        <v>2291</v>
      </c>
      <c r="W267" t="s">
        <v>2292</v>
      </c>
      <c r="X267" t="s">
        <v>2288</v>
      </c>
      <c r="Y267" t="s">
        <v>2293</v>
      </c>
      <c r="Z267" t="s">
        <v>2318</v>
      </c>
      <c r="AA267">
        <v>28</v>
      </c>
      <c r="AB267" s="14">
        <v>150</v>
      </c>
      <c r="AC267" t="s">
        <v>2319</v>
      </c>
      <c r="AD267" t="s">
        <v>2320</v>
      </c>
      <c r="AE267" t="s">
        <v>2643</v>
      </c>
      <c r="AF267">
        <v>49</v>
      </c>
      <c r="AG267">
        <v>0</v>
      </c>
      <c r="AJ267">
        <v>1</v>
      </c>
      <c r="AK267">
        <v>0</v>
      </c>
      <c r="AL267">
        <v>0</v>
      </c>
      <c r="AN267" t="s">
        <v>2648</v>
      </c>
      <c r="AO267" s="12">
        <v>46054</v>
      </c>
      <c r="AP267">
        <v>2026</v>
      </c>
      <c r="AQ267">
        <v>2</v>
      </c>
      <c r="AR267" t="s">
        <v>2649</v>
      </c>
    </row>
    <row r="268" spans="1:44">
      <c r="A268" t="s">
        <v>1167</v>
      </c>
      <c r="B268" s="12">
        <v>46076</v>
      </c>
      <c r="C268" s="12">
        <v>46031</v>
      </c>
      <c r="D268" t="s">
        <v>1138</v>
      </c>
      <c r="E268" t="s">
        <v>255</v>
      </c>
      <c r="F268" t="s">
        <v>256</v>
      </c>
      <c r="G268" t="s">
        <v>257</v>
      </c>
      <c r="H268" t="s">
        <v>115</v>
      </c>
      <c r="I268" t="s">
        <v>258</v>
      </c>
      <c r="J268" s="13">
        <v>0.375</v>
      </c>
      <c r="K268" s="13">
        <v>0.37222222222222223</v>
      </c>
      <c r="L268" s="13">
        <v>0.37708333333333333</v>
      </c>
      <c r="M268">
        <v>20</v>
      </c>
      <c r="N268" s="14">
        <v>95</v>
      </c>
      <c r="O268" t="s">
        <v>169</v>
      </c>
      <c r="P268">
        <v>5</v>
      </c>
      <c r="Q268" t="s">
        <v>262</v>
      </c>
      <c r="R268" t="s">
        <v>896</v>
      </c>
      <c r="S268">
        <v>0</v>
      </c>
      <c r="T268">
        <v>0</v>
      </c>
      <c r="U268" t="s">
        <v>2299</v>
      </c>
      <c r="V268" t="s">
        <v>2295</v>
      </c>
      <c r="W268" t="s">
        <v>2300</v>
      </c>
      <c r="X268" t="s">
        <v>2288</v>
      </c>
      <c r="Y268" t="s">
        <v>2301</v>
      </c>
      <c r="Z268" t="s">
        <v>2312</v>
      </c>
      <c r="AA268">
        <v>21</v>
      </c>
      <c r="AB268" s="14">
        <v>95</v>
      </c>
      <c r="AC268" t="s">
        <v>2313</v>
      </c>
      <c r="AD268" t="s">
        <v>2314</v>
      </c>
      <c r="AE268" t="s">
        <v>2643</v>
      </c>
      <c r="AF268">
        <v>45</v>
      </c>
      <c r="AG268">
        <v>0</v>
      </c>
      <c r="AH268">
        <v>7</v>
      </c>
      <c r="AI268">
        <v>1</v>
      </c>
      <c r="AJ268">
        <v>1</v>
      </c>
      <c r="AK268">
        <v>0</v>
      </c>
      <c r="AL268">
        <v>1</v>
      </c>
      <c r="AM268" s="14">
        <v>0</v>
      </c>
      <c r="AN268" t="s">
        <v>2644</v>
      </c>
      <c r="AO268" s="12">
        <v>46054</v>
      </c>
      <c r="AP268">
        <v>2026</v>
      </c>
      <c r="AQ268">
        <v>2</v>
      </c>
      <c r="AR268" t="s">
        <v>2649</v>
      </c>
    </row>
    <row r="269" spans="1:44">
      <c r="A269" t="s">
        <v>1169</v>
      </c>
      <c r="B269" s="12">
        <v>46057</v>
      </c>
      <c r="C269" s="12">
        <v>46002</v>
      </c>
      <c r="E269" t="s">
        <v>255</v>
      </c>
      <c r="F269" t="s">
        <v>269</v>
      </c>
      <c r="G269" t="s">
        <v>542</v>
      </c>
      <c r="H269" t="s">
        <v>127</v>
      </c>
      <c r="I269" t="s">
        <v>258</v>
      </c>
      <c r="J269" s="13">
        <v>0.47916666666666669</v>
      </c>
      <c r="K269" s="13"/>
      <c r="L269" s="13"/>
      <c r="M269">
        <v>0</v>
      </c>
      <c r="N269" s="14">
        <v>80</v>
      </c>
      <c r="O269" t="s">
        <v>169</v>
      </c>
      <c r="Q269" t="s">
        <v>262</v>
      </c>
      <c r="R269" t="s">
        <v>896</v>
      </c>
      <c r="S269">
        <v>1</v>
      </c>
      <c r="T269">
        <v>0</v>
      </c>
      <c r="U269" t="s">
        <v>2299</v>
      </c>
      <c r="V269" t="s">
        <v>2295</v>
      </c>
      <c r="W269" t="s">
        <v>2300</v>
      </c>
      <c r="X269" t="s">
        <v>2288</v>
      </c>
      <c r="Y269" t="s">
        <v>2301</v>
      </c>
      <c r="Z269" t="s">
        <v>2315</v>
      </c>
      <c r="AA269">
        <v>10</v>
      </c>
      <c r="AB269" s="14">
        <v>80</v>
      </c>
      <c r="AC269" t="s">
        <v>2316</v>
      </c>
      <c r="AD269" t="s">
        <v>2317</v>
      </c>
      <c r="AE269" t="s">
        <v>2643</v>
      </c>
      <c r="AF269">
        <v>55</v>
      </c>
      <c r="AG269">
        <v>0</v>
      </c>
      <c r="AJ269">
        <v>0</v>
      </c>
      <c r="AL269">
        <v>1</v>
      </c>
      <c r="AM269" s="14">
        <v>0</v>
      </c>
      <c r="AN269" t="s">
        <v>2644</v>
      </c>
      <c r="AO269" s="12">
        <v>46054</v>
      </c>
      <c r="AP269">
        <v>2026</v>
      </c>
      <c r="AQ269">
        <v>2</v>
      </c>
      <c r="AR269" t="s">
        <v>2649</v>
      </c>
    </row>
    <row r="270" spans="1:44">
      <c r="A270" t="s">
        <v>1170</v>
      </c>
      <c r="B270" s="12">
        <v>46078</v>
      </c>
      <c r="C270" s="12">
        <v>46065</v>
      </c>
      <c r="D270" t="s">
        <v>441</v>
      </c>
      <c r="E270" t="s">
        <v>255</v>
      </c>
      <c r="F270" t="s">
        <v>409</v>
      </c>
      <c r="G270" t="s">
        <v>648</v>
      </c>
      <c r="H270" t="s">
        <v>127</v>
      </c>
      <c r="I270" t="s">
        <v>258</v>
      </c>
      <c r="J270" s="13">
        <v>0.5</v>
      </c>
      <c r="K270" s="13"/>
      <c r="L270" s="13"/>
      <c r="M270">
        <v>0</v>
      </c>
      <c r="N270" s="14">
        <v>150</v>
      </c>
      <c r="O270" t="s">
        <v>169</v>
      </c>
      <c r="Q270" t="s">
        <v>326</v>
      </c>
      <c r="R270" t="s">
        <v>896</v>
      </c>
      <c r="S270">
        <v>0</v>
      </c>
      <c r="T270">
        <v>0</v>
      </c>
      <c r="U270" t="s">
        <v>2299</v>
      </c>
      <c r="V270" t="s">
        <v>2295</v>
      </c>
      <c r="W270" t="s">
        <v>2300</v>
      </c>
      <c r="X270" t="s">
        <v>2288</v>
      </c>
      <c r="Y270" t="s">
        <v>2301</v>
      </c>
      <c r="Z270" t="s">
        <v>2318</v>
      </c>
      <c r="AA270">
        <v>28</v>
      </c>
      <c r="AB270" s="14">
        <v>150</v>
      </c>
      <c r="AC270" t="s">
        <v>2319</v>
      </c>
      <c r="AD270" t="s">
        <v>2320</v>
      </c>
      <c r="AE270" t="s">
        <v>2643</v>
      </c>
      <c r="AF270">
        <v>13</v>
      </c>
      <c r="AG270">
        <v>1</v>
      </c>
      <c r="AJ270">
        <v>0</v>
      </c>
      <c r="AL270">
        <v>1</v>
      </c>
      <c r="AM270" s="14">
        <v>0</v>
      </c>
      <c r="AN270" t="s">
        <v>2644</v>
      </c>
      <c r="AO270" s="12">
        <v>46054</v>
      </c>
      <c r="AP270">
        <v>2026</v>
      </c>
      <c r="AQ270">
        <v>2</v>
      </c>
      <c r="AR270" t="s">
        <v>2649</v>
      </c>
    </row>
    <row r="271" spans="1:44">
      <c r="A271" t="s">
        <v>1171</v>
      </c>
      <c r="B271" s="12">
        <v>46066</v>
      </c>
      <c r="C271" s="12">
        <v>46046</v>
      </c>
      <c r="D271" t="s">
        <v>786</v>
      </c>
      <c r="E271" t="s">
        <v>255</v>
      </c>
      <c r="F271" t="s">
        <v>409</v>
      </c>
      <c r="G271" t="s">
        <v>410</v>
      </c>
      <c r="H271" t="s">
        <v>115</v>
      </c>
      <c r="I271" t="s">
        <v>316</v>
      </c>
      <c r="J271" s="13">
        <v>0.39583333333333331</v>
      </c>
      <c r="K271" s="13">
        <v>0.3888888888888889</v>
      </c>
      <c r="L271" s="13">
        <v>0.40902777777777777</v>
      </c>
      <c r="M271">
        <v>60</v>
      </c>
      <c r="N271" s="14">
        <v>150</v>
      </c>
      <c r="O271" t="s">
        <v>169</v>
      </c>
      <c r="P271">
        <v>2</v>
      </c>
      <c r="Q271" t="s">
        <v>262</v>
      </c>
      <c r="R271" t="s">
        <v>896</v>
      </c>
      <c r="S271">
        <v>0</v>
      </c>
      <c r="T271">
        <v>0</v>
      </c>
      <c r="U271" t="s">
        <v>2299</v>
      </c>
      <c r="V271" t="s">
        <v>2295</v>
      </c>
      <c r="W271" t="s">
        <v>2300</v>
      </c>
      <c r="X271" t="s">
        <v>2288</v>
      </c>
      <c r="Y271" t="s">
        <v>2301</v>
      </c>
      <c r="Z271" t="s">
        <v>2318</v>
      </c>
      <c r="AA271">
        <v>28</v>
      </c>
      <c r="AB271" s="14">
        <v>150</v>
      </c>
      <c r="AC271" t="s">
        <v>2319</v>
      </c>
      <c r="AD271" t="s">
        <v>2320</v>
      </c>
      <c r="AE271" t="s">
        <v>2643</v>
      </c>
      <c r="AF271">
        <v>20</v>
      </c>
      <c r="AG271">
        <v>1</v>
      </c>
      <c r="AH271">
        <v>29</v>
      </c>
      <c r="AI271">
        <v>1</v>
      </c>
      <c r="AJ271">
        <v>1</v>
      </c>
      <c r="AK271">
        <v>0</v>
      </c>
      <c r="AL271">
        <v>1</v>
      </c>
      <c r="AM271" s="14">
        <v>0</v>
      </c>
      <c r="AN271" t="s">
        <v>2644</v>
      </c>
      <c r="AO271" s="12">
        <v>46054</v>
      </c>
      <c r="AP271">
        <v>2026</v>
      </c>
      <c r="AQ271">
        <v>2</v>
      </c>
      <c r="AR271" t="s">
        <v>2649</v>
      </c>
    </row>
    <row r="272" spans="1:44">
      <c r="A272" t="s">
        <v>1174</v>
      </c>
      <c r="B272" s="12">
        <v>46058</v>
      </c>
      <c r="C272" s="12">
        <v>46045</v>
      </c>
      <c r="D272" t="s">
        <v>1088</v>
      </c>
      <c r="E272" t="s">
        <v>281</v>
      </c>
      <c r="F272" t="s">
        <v>409</v>
      </c>
      <c r="G272" t="s">
        <v>496</v>
      </c>
      <c r="H272" t="s">
        <v>115</v>
      </c>
      <c r="I272" t="s">
        <v>271</v>
      </c>
      <c r="J272" s="13">
        <v>0.60416666666666663</v>
      </c>
      <c r="K272" s="13">
        <v>0.6020833333333333</v>
      </c>
      <c r="L272" s="13">
        <v>0.62777777777777777</v>
      </c>
      <c r="M272">
        <v>30</v>
      </c>
      <c r="N272" s="14">
        <v>150</v>
      </c>
      <c r="O272" t="s">
        <v>195</v>
      </c>
      <c r="P272">
        <v>5</v>
      </c>
      <c r="Q272" t="s">
        <v>305</v>
      </c>
      <c r="R272" t="s">
        <v>896</v>
      </c>
      <c r="S272">
        <v>0</v>
      </c>
      <c r="T272">
        <v>0</v>
      </c>
      <c r="U272" t="s">
        <v>2290</v>
      </c>
      <c r="V272" t="s">
        <v>2291</v>
      </c>
      <c r="W272" t="s">
        <v>2292</v>
      </c>
      <c r="X272" t="s">
        <v>2288</v>
      </c>
      <c r="Y272" t="s">
        <v>2293</v>
      </c>
      <c r="Z272" t="s">
        <v>2318</v>
      </c>
      <c r="AA272">
        <v>28</v>
      </c>
      <c r="AB272" s="14">
        <v>150</v>
      </c>
      <c r="AC272" t="s">
        <v>2319</v>
      </c>
      <c r="AD272" t="s">
        <v>2320</v>
      </c>
      <c r="AE272" t="s">
        <v>2643</v>
      </c>
      <c r="AF272">
        <v>13</v>
      </c>
      <c r="AG272">
        <v>1</v>
      </c>
      <c r="AH272">
        <v>37</v>
      </c>
      <c r="AI272">
        <v>0</v>
      </c>
      <c r="AJ272">
        <v>1</v>
      </c>
      <c r="AK272">
        <v>0</v>
      </c>
      <c r="AL272">
        <v>1</v>
      </c>
      <c r="AM272" s="14">
        <v>0</v>
      </c>
      <c r="AN272" t="s">
        <v>2644</v>
      </c>
      <c r="AO272" s="12">
        <v>46054</v>
      </c>
      <c r="AP272">
        <v>2026</v>
      </c>
      <c r="AQ272">
        <v>2</v>
      </c>
      <c r="AR272" t="s">
        <v>2649</v>
      </c>
    </row>
    <row r="273" spans="1:44">
      <c r="A273" t="s">
        <v>1177</v>
      </c>
      <c r="B273" s="12">
        <v>46055</v>
      </c>
      <c r="C273" s="12"/>
      <c r="D273" t="s">
        <v>1162</v>
      </c>
      <c r="E273" t="s">
        <v>339</v>
      </c>
      <c r="F273" t="s">
        <v>269</v>
      </c>
      <c r="G273" t="s">
        <v>528</v>
      </c>
      <c r="H273" t="s">
        <v>122</v>
      </c>
      <c r="I273" t="s">
        <v>299</v>
      </c>
      <c r="J273" s="13">
        <v>0.5</v>
      </c>
      <c r="K273" s="13"/>
      <c r="L273" s="13"/>
      <c r="M273">
        <v>0</v>
      </c>
      <c r="N273" s="14">
        <v>80</v>
      </c>
      <c r="O273" t="s">
        <v>195</v>
      </c>
      <c r="Q273" t="s">
        <v>326</v>
      </c>
      <c r="R273" t="s">
        <v>896</v>
      </c>
      <c r="S273">
        <v>0</v>
      </c>
      <c r="T273">
        <v>0</v>
      </c>
      <c r="U273" t="s">
        <v>2294</v>
      </c>
      <c r="V273" t="s">
        <v>2295</v>
      </c>
      <c r="W273" t="s">
        <v>2296</v>
      </c>
      <c r="X273" t="s">
        <v>2297</v>
      </c>
      <c r="Y273" t="s">
        <v>2298</v>
      </c>
      <c r="Z273" t="s">
        <v>2315</v>
      </c>
      <c r="AA273">
        <v>10</v>
      </c>
      <c r="AB273" s="14">
        <v>80</v>
      </c>
      <c r="AC273" t="s">
        <v>2316</v>
      </c>
      <c r="AD273" t="s">
        <v>2317</v>
      </c>
      <c r="AE273" t="s">
        <v>2643</v>
      </c>
      <c r="AJ273">
        <v>1</v>
      </c>
      <c r="AK273">
        <v>1</v>
      </c>
      <c r="AL273">
        <v>1</v>
      </c>
      <c r="AM273" s="14">
        <v>0</v>
      </c>
      <c r="AN273" t="s">
        <v>2644</v>
      </c>
      <c r="AO273" s="12">
        <v>46054</v>
      </c>
      <c r="AP273">
        <v>2026</v>
      </c>
      <c r="AQ273">
        <v>2</v>
      </c>
      <c r="AR273" t="s">
        <v>2649</v>
      </c>
    </row>
    <row r="274" spans="1:44">
      <c r="A274" t="s">
        <v>1178</v>
      </c>
      <c r="B274" s="12">
        <v>46064</v>
      </c>
      <c r="C274" s="12">
        <v>46022</v>
      </c>
      <c r="D274" t="s">
        <v>1179</v>
      </c>
      <c r="E274" t="s">
        <v>281</v>
      </c>
      <c r="F274" t="s">
        <v>282</v>
      </c>
      <c r="G274" t="s">
        <v>446</v>
      </c>
      <c r="H274" t="s">
        <v>115</v>
      </c>
      <c r="I274" t="s">
        <v>316</v>
      </c>
      <c r="J274" s="13">
        <v>0.52083333333333337</v>
      </c>
      <c r="K274" s="13">
        <v>0.52777777777777779</v>
      </c>
      <c r="L274" s="13">
        <v>0.53749999999999998</v>
      </c>
      <c r="M274">
        <v>30</v>
      </c>
      <c r="N274" s="14">
        <v>120</v>
      </c>
      <c r="O274" t="s">
        <v>195</v>
      </c>
      <c r="P274">
        <v>4</v>
      </c>
      <c r="Q274" t="s">
        <v>305</v>
      </c>
      <c r="R274" t="s">
        <v>896</v>
      </c>
      <c r="S274">
        <v>0</v>
      </c>
      <c r="T274">
        <v>0</v>
      </c>
      <c r="U274" t="s">
        <v>2290</v>
      </c>
      <c r="V274" t="s">
        <v>2291</v>
      </c>
      <c r="W274" t="s">
        <v>2292</v>
      </c>
      <c r="X274" t="s">
        <v>2288</v>
      </c>
      <c r="Y274" t="s">
        <v>2293</v>
      </c>
      <c r="Z274" t="s">
        <v>2309</v>
      </c>
      <c r="AA274">
        <v>14</v>
      </c>
      <c r="AB274" s="14">
        <v>120</v>
      </c>
      <c r="AC274" t="s">
        <v>2310</v>
      </c>
      <c r="AD274" t="s">
        <v>2311</v>
      </c>
      <c r="AE274" t="s">
        <v>2643</v>
      </c>
      <c r="AF274">
        <v>42</v>
      </c>
      <c r="AG274">
        <v>0</v>
      </c>
      <c r="AH274">
        <v>14</v>
      </c>
      <c r="AI274">
        <v>1</v>
      </c>
      <c r="AJ274">
        <v>1</v>
      </c>
      <c r="AK274">
        <v>0</v>
      </c>
      <c r="AL274">
        <v>1</v>
      </c>
      <c r="AM274" s="14">
        <v>0</v>
      </c>
      <c r="AN274" t="s">
        <v>2644</v>
      </c>
      <c r="AO274" s="12">
        <v>46054</v>
      </c>
      <c r="AP274">
        <v>2026</v>
      </c>
      <c r="AQ274">
        <v>2</v>
      </c>
      <c r="AR274" t="s">
        <v>2649</v>
      </c>
    </row>
    <row r="275" spans="1:44">
      <c r="A275" t="s">
        <v>1180</v>
      </c>
      <c r="B275" s="12">
        <v>46078</v>
      </c>
      <c r="C275" s="12">
        <v>46030</v>
      </c>
      <c r="D275" t="s">
        <v>1181</v>
      </c>
      <c r="E275" t="s">
        <v>281</v>
      </c>
      <c r="F275" t="s">
        <v>256</v>
      </c>
      <c r="G275" t="s">
        <v>796</v>
      </c>
      <c r="H275" t="s">
        <v>115</v>
      </c>
      <c r="I275" t="s">
        <v>316</v>
      </c>
      <c r="J275" s="13">
        <v>0.4375</v>
      </c>
      <c r="K275" s="13">
        <v>0.45</v>
      </c>
      <c r="L275" s="13">
        <v>0.44930555555555557</v>
      </c>
      <c r="M275">
        <v>60</v>
      </c>
      <c r="N275" s="14">
        <v>95</v>
      </c>
      <c r="O275" t="s">
        <v>169</v>
      </c>
      <c r="P275">
        <v>4</v>
      </c>
      <c r="Q275" t="s">
        <v>305</v>
      </c>
      <c r="R275" t="s">
        <v>896</v>
      </c>
      <c r="S275">
        <v>0</v>
      </c>
      <c r="T275">
        <v>0</v>
      </c>
      <c r="U275" t="s">
        <v>2290</v>
      </c>
      <c r="V275" t="s">
        <v>2291</v>
      </c>
      <c r="W275" t="s">
        <v>2292</v>
      </c>
      <c r="X275" t="s">
        <v>2288</v>
      </c>
      <c r="Y275" t="s">
        <v>2293</v>
      </c>
      <c r="Z275" t="s">
        <v>2312</v>
      </c>
      <c r="AA275">
        <v>21</v>
      </c>
      <c r="AB275" s="14">
        <v>95</v>
      </c>
      <c r="AC275" t="s">
        <v>2313</v>
      </c>
      <c r="AD275" t="s">
        <v>2314</v>
      </c>
      <c r="AE275" t="s">
        <v>2643</v>
      </c>
      <c r="AF275">
        <v>48</v>
      </c>
      <c r="AG275">
        <v>0</v>
      </c>
      <c r="AJ275">
        <v>1</v>
      </c>
      <c r="AK275">
        <v>0</v>
      </c>
      <c r="AL275">
        <v>1</v>
      </c>
      <c r="AM275" s="14">
        <v>0</v>
      </c>
      <c r="AN275" t="s">
        <v>2644</v>
      </c>
      <c r="AO275" s="12">
        <v>46054</v>
      </c>
      <c r="AP275">
        <v>2026</v>
      </c>
      <c r="AQ275">
        <v>2</v>
      </c>
      <c r="AR275" t="s">
        <v>2649</v>
      </c>
    </row>
    <row r="276" spans="1:44">
      <c r="A276" t="s">
        <v>1183</v>
      </c>
      <c r="B276" s="12">
        <v>46065</v>
      </c>
      <c r="C276" s="12">
        <v>46028</v>
      </c>
      <c r="D276" t="s">
        <v>1154</v>
      </c>
      <c r="E276" t="s">
        <v>281</v>
      </c>
      <c r="F276" t="s">
        <v>269</v>
      </c>
      <c r="G276" t="s">
        <v>363</v>
      </c>
      <c r="H276" t="s">
        <v>115</v>
      </c>
      <c r="I276" t="s">
        <v>258</v>
      </c>
      <c r="J276" s="13">
        <v>0.66666666666666663</v>
      </c>
      <c r="K276" s="13">
        <v>0.67152777777777772</v>
      </c>
      <c r="L276" s="13">
        <v>0.68680555555555556</v>
      </c>
      <c r="M276">
        <v>30</v>
      </c>
      <c r="N276" s="14">
        <v>80</v>
      </c>
      <c r="O276" t="s">
        <v>169</v>
      </c>
      <c r="P276">
        <v>4</v>
      </c>
      <c r="Q276" t="s">
        <v>305</v>
      </c>
      <c r="R276" t="s">
        <v>896</v>
      </c>
      <c r="S276">
        <v>0</v>
      </c>
      <c r="T276">
        <v>0</v>
      </c>
      <c r="U276" t="s">
        <v>2290</v>
      </c>
      <c r="V276" t="s">
        <v>2291</v>
      </c>
      <c r="W276" t="s">
        <v>2292</v>
      </c>
      <c r="X276" t="s">
        <v>2288</v>
      </c>
      <c r="Y276" t="s">
        <v>2293</v>
      </c>
      <c r="Z276" t="s">
        <v>2315</v>
      </c>
      <c r="AA276">
        <v>10</v>
      </c>
      <c r="AB276" s="14">
        <v>80</v>
      </c>
      <c r="AC276" t="s">
        <v>2316</v>
      </c>
      <c r="AD276" t="s">
        <v>2317</v>
      </c>
      <c r="AE276" t="s">
        <v>2643</v>
      </c>
      <c r="AF276">
        <v>37</v>
      </c>
      <c r="AG276">
        <v>0</v>
      </c>
      <c r="AH276">
        <v>22</v>
      </c>
      <c r="AI276">
        <v>1</v>
      </c>
      <c r="AJ276">
        <v>1</v>
      </c>
      <c r="AK276">
        <v>0</v>
      </c>
      <c r="AL276">
        <v>1</v>
      </c>
      <c r="AM276" s="14">
        <v>0</v>
      </c>
      <c r="AN276" t="s">
        <v>2644</v>
      </c>
      <c r="AO276" s="12">
        <v>46054</v>
      </c>
      <c r="AP276">
        <v>2026</v>
      </c>
      <c r="AQ276">
        <v>2</v>
      </c>
      <c r="AR276" t="s">
        <v>2649</v>
      </c>
    </row>
    <row r="277" spans="1:44">
      <c r="A277" t="s">
        <v>1185</v>
      </c>
      <c r="B277" s="12">
        <v>46065</v>
      </c>
      <c r="C277" s="12">
        <v>46063</v>
      </c>
      <c r="D277" t="s">
        <v>820</v>
      </c>
      <c r="E277" t="s">
        <v>255</v>
      </c>
      <c r="F277" t="s">
        <v>297</v>
      </c>
      <c r="G277" t="s">
        <v>331</v>
      </c>
      <c r="H277" t="s">
        <v>122</v>
      </c>
      <c r="I277" t="s">
        <v>299</v>
      </c>
      <c r="J277" s="13">
        <v>0.60416666666666663</v>
      </c>
      <c r="K277" s="13"/>
      <c r="L277" s="13"/>
      <c r="M277">
        <v>0</v>
      </c>
      <c r="N277" s="14">
        <v>65</v>
      </c>
      <c r="O277" t="s">
        <v>195</v>
      </c>
      <c r="Q277" t="s">
        <v>262</v>
      </c>
      <c r="R277" t="s">
        <v>896</v>
      </c>
      <c r="S277">
        <v>0</v>
      </c>
      <c r="T277">
        <v>0</v>
      </c>
      <c r="U277" t="s">
        <v>2299</v>
      </c>
      <c r="V277" t="s">
        <v>2295</v>
      </c>
      <c r="W277" t="s">
        <v>2300</v>
      </c>
      <c r="X277" t="s">
        <v>2288</v>
      </c>
      <c r="Y277" t="s">
        <v>2301</v>
      </c>
      <c r="Z277" t="s">
        <v>2306</v>
      </c>
      <c r="AA277">
        <v>7</v>
      </c>
      <c r="AB277" s="14">
        <v>65</v>
      </c>
      <c r="AC277" t="s">
        <v>2307</v>
      </c>
      <c r="AD277" t="s">
        <v>2308</v>
      </c>
      <c r="AE277" t="s">
        <v>2643</v>
      </c>
      <c r="AF277">
        <v>2</v>
      </c>
      <c r="AG277">
        <v>1</v>
      </c>
      <c r="AJ277">
        <v>1</v>
      </c>
      <c r="AK277">
        <v>1</v>
      </c>
      <c r="AL277">
        <v>1</v>
      </c>
      <c r="AM277" s="14">
        <v>0</v>
      </c>
      <c r="AN277" t="s">
        <v>2644</v>
      </c>
      <c r="AO277" s="12">
        <v>46054</v>
      </c>
      <c r="AP277">
        <v>2026</v>
      </c>
      <c r="AQ277">
        <v>2</v>
      </c>
      <c r="AR277" t="s">
        <v>2649</v>
      </c>
    </row>
    <row r="278" spans="1:44">
      <c r="A278" t="s">
        <v>1186</v>
      </c>
      <c r="B278" s="12">
        <v>46072</v>
      </c>
      <c r="C278" s="12">
        <v>46068</v>
      </c>
      <c r="D278" t="s">
        <v>344</v>
      </c>
      <c r="E278" t="s">
        <v>255</v>
      </c>
      <c r="F278" t="s">
        <v>282</v>
      </c>
      <c r="G278" t="s">
        <v>290</v>
      </c>
      <c r="H278" t="s">
        <v>127</v>
      </c>
      <c r="I278" t="s">
        <v>316</v>
      </c>
      <c r="J278" s="13">
        <v>0.5</v>
      </c>
      <c r="K278" s="13"/>
      <c r="L278" s="13"/>
      <c r="M278">
        <v>0</v>
      </c>
      <c r="N278" s="14">
        <v>120</v>
      </c>
      <c r="O278" t="s">
        <v>169</v>
      </c>
      <c r="Q278" t="s">
        <v>326</v>
      </c>
      <c r="R278" t="s">
        <v>896</v>
      </c>
      <c r="S278">
        <v>0</v>
      </c>
      <c r="T278">
        <v>0</v>
      </c>
      <c r="U278" t="s">
        <v>2299</v>
      </c>
      <c r="V278" t="s">
        <v>2295</v>
      </c>
      <c r="W278" t="s">
        <v>2300</v>
      </c>
      <c r="X278" t="s">
        <v>2288</v>
      </c>
      <c r="Y278" t="s">
        <v>2301</v>
      </c>
      <c r="Z278" t="s">
        <v>2309</v>
      </c>
      <c r="AA278">
        <v>14</v>
      </c>
      <c r="AB278" s="14">
        <v>120</v>
      </c>
      <c r="AC278" t="s">
        <v>2310</v>
      </c>
      <c r="AD278" t="s">
        <v>2311</v>
      </c>
      <c r="AE278" t="s">
        <v>2643</v>
      </c>
      <c r="AF278">
        <v>4</v>
      </c>
      <c r="AG278">
        <v>1</v>
      </c>
      <c r="AJ278">
        <v>0</v>
      </c>
      <c r="AL278">
        <v>1</v>
      </c>
      <c r="AM278" s="14">
        <v>0</v>
      </c>
      <c r="AN278" t="s">
        <v>2644</v>
      </c>
      <c r="AO278" s="12">
        <v>46054</v>
      </c>
      <c r="AP278">
        <v>2026</v>
      </c>
      <c r="AQ278">
        <v>2</v>
      </c>
      <c r="AR278" t="s">
        <v>2649</v>
      </c>
    </row>
    <row r="279" spans="1:44">
      <c r="A279" t="s">
        <v>1188</v>
      </c>
      <c r="B279" s="12">
        <v>46068</v>
      </c>
      <c r="C279" s="12">
        <v>46017</v>
      </c>
      <c r="D279" t="s">
        <v>1189</v>
      </c>
      <c r="E279" t="s">
        <v>255</v>
      </c>
      <c r="F279" t="s">
        <v>256</v>
      </c>
      <c r="G279" t="s">
        <v>398</v>
      </c>
      <c r="H279" t="s">
        <v>115</v>
      </c>
      <c r="I279" t="s">
        <v>271</v>
      </c>
      <c r="J279" s="13">
        <v>0.375</v>
      </c>
      <c r="K279" s="13">
        <v>0.38055555555555554</v>
      </c>
      <c r="L279" s="13">
        <v>0.37916666666666665</v>
      </c>
      <c r="M279">
        <v>60</v>
      </c>
      <c r="N279" s="14">
        <v>95</v>
      </c>
      <c r="O279" t="s">
        <v>195</v>
      </c>
      <c r="P279">
        <v>4</v>
      </c>
      <c r="Q279" t="s">
        <v>285</v>
      </c>
      <c r="R279" t="s">
        <v>896</v>
      </c>
      <c r="S279">
        <v>0</v>
      </c>
      <c r="T279">
        <v>0</v>
      </c>
      <c r="U279" t="s">
        <v>2299</v>
      </c>
      <c r="V279" t="s">
        <v>2295</v>
      </c>
      <c r="W279" t="s">
        <v>2300</v>
      </c>
      <c r="X279" t="s">
        <v>2288</v>
      </c>
      <c r="Y279" t="s">
        <v>2301</v>
      </c>
      <c r="Z279" t="s">
        <v>2312</v>
      </c>
      <c r="AA279">
        <v>21</v>
      </c>
      <c r="AB279" s="14">
        <v>95</v>
      </c>
      <c r="AC279" t="s">
        <v>2313</v>
      </c>
      <c r="AD279" t="s">
        <v>2314</v>
      </c>
      <c r="AE279" t="s">
        <v>2643</v>
      </c>
      <c r="AF279">
        <v>51</v>
      </c>
      <c r="AG279">
        <v>0</v>
      </c>
      <c r="AJ279">
        <v>1</v>
      </c>
      <c r="AK279">
        <v>0</v>
      </c>
      <c r="AL279">
        <v>1</v>
      </c>
      <c r="AM279" s="14">
        <v>0</v>
      </c>
      <c r="AN279" t="s">
        <v>2644</v>
      </c>
      <c r="AO279" s="12">
        <v>46054</v>
      </c>
      <c r="AP279">
        <v>2026</v>
      </c>
      <c r="AQ279">
        <v>2</v>
      </c>
      <c r="AR279" t="s">
        <v>2649</v>
      </c>
    </row>
    <row r="280" spans="1:44">
      <c r="A280" t="s">
        <v>1191</v>
      </c>
      <c r="B280" s="12">
        <v>46055</v>
      </c>
      <c r="C280" s="12">
        <v>46011</v>
      </c>
      <c r="D280" t="s">
        <v>377</v>
      </c>
      <c r="E280" t="s">
        <v>339</v>
      </c>
      <c r="F280" t="s">
        <v>269</v>
      </c>
      <c r="G280" t="s">
        <v>528</v>
      </c>
      <c r="H280" t="s">
        <v>127</v>
      </c>
      <c r="I280" t="s">
        <v>316</v>
      </c>
      <c r="J280" s="13">
        <v>0.47916666666666669</v>
      </c>
      <c r="K280" s="13"/>
      <c r="L280" s="13"/>
      <c r="M280">
        <v>0</v>
      </c>
      <c r="N280" s="14">
        <v>80</v>
      </c>
      <c r="O280" t="s">
        <v>169</v>
      </c>
      <c r="Q280" t="s">
        <v>326</v>
      </c>
      <c r="R280" t="s">
        <v>896</v>
      </c>
      <c r="S280">
        <v>0</v>
      </c>
      <c r="T280">
        <v>0</v>
      </c>
      <c r="U280" t="s">
        <v>2294</v>
      </c>
      <c r="V280" t="s">
        <v>2295</v>
      </c>
      <c r="W280" t="s">
        <v>2296</v>
      </c>
      <c r="X280" t="s">
        <v>2297</v>
      </c>
      <c r="Y280" t="s">
        <v>2298</v>
      </c>
      <c r="Z280" t="s">
        <v>2315</v>
      </c>
      <c r="AA280">
        <v>10</v>
      </c>
      <c r="AB280" s="14">
        <v>80</v>
      </c>
      <c r="AC280" t="s">
        <v>2316</v>
      </c>
      <c r="AD280" t="s">
        <v>2317</v>
      </c>
      <c r="AE280" t="s">
        <v>2643</v>
      </c>
      <c r="AF280">
        <v>44</v>
      </c>
      <c r="AG280">
        <v>0</v>
      </c>
      <c r="AJ280">
        <v>0</v>
      </c>
      <c r="AL280">
        <v>1</v>
      </c>
      <c r="AM280" s="14">
        <v>0</v>
      </c>
      <c r="AN280" t="s">
        <v>2644</v>
      </c>
      <c r="AO280" s="12">
        <v>46054</v>
      </c>
      <c r="AP280">
        <v>2026</v>
      </c>
      <c r="AQ280">
        <v>2</v>
      </c>
      <c r="AR280" t="s">
        <v>2649</v>
      </c>
    </row>
    <row r="281" spans="1:44">
      <c r="A281" t="s">
        <v>1192</v>
      </c>
      <c r="B281" s="12">
        <v>46058</v>
      </c>
      <c r="C281" s="12">
        <v>46034</v>
      </c>
      <c r="D281" t="s">
        <v>1193</v>
      </c>
      <c r="E281" t="s">
        <v>339</v>
      </c>
      <c r="F281" t="s">
        <v>297</v>
      </c>
      <c r="G281" t="s">
        <v>569</v>
      </c>
      <c r="H281" t="s">
        <v>115</v>
      </c>
      <c r="I281" t="s">
        <v>258</v>
      </c>
      <c r="J281" s="13">
        <v>0.625</v>
      </c>
      <c r="K281" s="13">
        <v>0.63263888888888886</v>
      </c>
      <c r="L281" s="13">
        <v>0.64722222222222225</v>
      </c>
      <c r="M281">
        <v>30</v>
      </c>
      <c r="N281" s="14">
        <v>65</v>
      </c>
      <c r="O281" t="s">
        <v>169</v>
      </c>
      <c r="P281">
        <v>2</v>
      </c>
      <c r="Q281" t="s">
        <v>262</v>
      </c>
      <c r="R281" t="s">
        <v>896</v>
      </c>
      <c r="S281">
        <v>0</v>
      </c>
      <c r="T281">
        <v>0</v>
      </c>
      <c r="U281" t="s">
        <v>2294</v>
      </c>
      <c r="V281" t="s">
        <v>2295</v>
      </c>
      <c r="W281" t="s">
        <v>2296</v>
      </c>
      <c r="X281" t="s">
        <v>2297</v>
      </c>
      <c r="Y281" t="s">
        <v>2298</v>
      </c>
      <c r="Z281" t="s">
        <v>2306</v>
      </c>
      <c r="AA281">
        <v>7</v>
      </c>
      <c r="AB281" s="14">
        <v>65</v>
      </c>
      <c r="AC281" t="s">
        <v>2307</v>
      </c>
      <c r="AD281" t="s">
        <v>2308</v>
      </c>
      <c r="AE281" t="s">
        <v>2643</v>
      </c>
      <c r="AF281">
        <v>24</v>
      </c>
      <c r="AG281">
        <v>0</v>
      </c>
      <c r="AH281">
        <v>21</v>
      </c>
      <c r="AI281">
        <v>1</v>
      </c>
      <c r="AJ281">
        <v>1</v>
      </c>
      <c r="AK281">
        <v>0</v>
      </c>
      <c r="AL281">
        <v>1</v>
      </c>
      <c r="AM281" s="14">
        <v>0</v>
      </c>
      <c r="AN281" t="s">
        <v>2644</v>
      </c>
      <c r="AO281" s="12">
        <v>46054</v>
      </c>
      <c r="AP281">
        <v>2026</v>
      </c>
      <c r="AQ281">
        <v>2</v>
      </c>
      <c r="AR281" t="s">
        <v>2649</v>
      </c>
    </row>
    <row r="282" spans="1:44">
      <c r="A282" t="s">
        <v>1196</v>
      </c>
      <c r="B282" s="12">
        <v>46076</v>
      </c>
      <c r="C282" s="12">
        <v>46059</v>
      </c>
      <c r="D282" t="s">
        <v>592</v>
      </c>
      <c r="E282" t="s">
        <v>255</v>
      </c>
      <c r="F282" t="s">
        <v>282</v>
      </c>
      <c r="G282" t="s">
        <v>290</v>
      </c>
      <c r="H282" t="s">
        <v>115</v>
      </c>
      <c r="I282" t="s">
        <v>316</v>
      </c>
      <c r="J282" s="13">
        <v>0.66666666666666663</v>
      </c>
      <c r="K282" s="13">
        <v>0.66111111111111109</v>
      </c>
      <c r="L282" s="13">
        <v>0.67569444444444449</v>
      </c>
      <c r="M282">
        <v>60</v>
      </c>
      <c r="N282" s="14">
        <v>120</v>
      </c>
      <c r="O282" t="s">
        <v>195</v>
      </c>
      <c r="P282">
        <v>3</v>
      </c>
      <c r="Q282" t="s">
        <v>318</v>
      </c>
      <c r="R282" t="s">
        <v>896</v>
      </c>
      <c r="S282">
        <v>0</v>
      </c>
      <c r="T282">
        <v>0</v>
      </c>
      <c r="U282" t="s">
        <v>2299</v>
      </c>
      <c r="V282" t="s">
        <v>2295</v>
      </c>
      <c r="W282" t="s">
        <v>2300</v>
      </c>
      <c r="X282" t="s">
        <v>2288</v>
      </c>
      <c r="Y282" t="s">
        <v>2301</v>
      </c>
      <c r="Z282" t="s">
        <v>2309</v>
      </c>
      <c r="AA282">
        <v>14</v>
      </c>
      <c r="AB282" s="14">
        <v>120</v>
      </c>
      <c r="AC282" t="s">
        <v>2310</v>
      </c>
      <c r="AD282" t="s">
        <v>2311</v>
      </c>
      <c r="AE282" t="s">
        <v>2643</v>
      </c>
      <c r="AF282">
        <v>17</v>
      </c>
      <c r="AG282">
        <v>0</v>
      </c>
      <c r="AH282">
        <v>21</v>
      </c>
      <c r="AI282">
        <v>1</v>
      </c>
      <c r="AJ282">
        <v>1</v>
      </c>
      <c r="AK282">
        <v>0</v>
      </c>
      <c r="AL282">
        <v>1</v>
      </c>
      <c r="AM282" s="14">
        <v>0</v>
      </c>
      <c r="AN282" t="s">
        <v>2644</v>
      </c>
      <c r="AO282" s="12">
        <v>46054</v>
      </c>
      <c r="AP282">
        <v>2026</v>
      </c>
      <c r="AQ282">
        <v>2</v>
      </c>
      <c r="AR282" t="s">
        <v>2649</v>
      </c>
    </row>
    <row r="283" spans="1:44">
      <c r="A283" t="s">
        <v>1199</v>
      </c>
      <c r="B283" s="12">
        <v>46054</v>
      </c>
      <c r="C283" s="12">
        <v>46007</v>
      </c>
      <c r="D283" t="s">
        <v>495</v>
      </c>
      <c r="E283" t="s">
        <v>255</v>
      </c>
      <c r="F283" t="s">
        <v>282</v>
      </c>
      <c r="G283" t="s">
        <v>290</v>
      </c>
      <c r="H283" t="s">
        <v>115</v>
      </c>
      <c r="I283" t="s">
        <v>316</v>
      </c>
      <c r="J283" s="13">
        <v>0.5</v>
      </c>
      <c r="K283" s="13">
        <v>0.5083333333333333</v>
      </c>
      <c r="L283" s="13">
        <v>0.51249999999999996</v>
      </c>
      <c r="M283">
        <v>60</v>
      </c>
      <c r="N283" s="14">
        <v>120</v>
      </c>
      <c r="O283" t="s">
        <v>195</v>
      </c>
      <c r="P283">
        <v>3</v>
      </c>
      <c r="Q283" t="s">
        <v>285</v>
      </c>
      <c r="R283" t="s">
        <v>896</v>
      </c>
      <c r="S283">
        <v>0</v>
      </c>
      <c r="T283">
        <v>0</v>
      </c>
      <c r="U283" t="s">
        <v>2299</v>
      </c>
      <c r="V283" t="s">
        <v>2295</v>
      </c>
      <c r="W283" t="s">
        <v>2300</v>
      </c>
      <c r="X283" t="s">
        <v>2288</v>
      </c>
      <c r="Y283" t="s">
        <v>2301</v>
      </c>
      <c r="Z283" t="s">
        <v>2309</v>
      </c>
      <c r="AA283">
        <v>14</v>
      </c>
      <c r="AB283" s="14">
        <v>120</v>
      </c>
      <c r="AC283" t="s">
        <v>2310</v>
      </c>
      <c r="AD283" t="s">
        <v>2311</v>
      </c>
      <c r="AE283" t="s">
        <v>2643</v>
      </c>
      <c r="AF283">
        <v>47</v>
      </c>
      <c r="AG283">
        <v>0</v>
      </c>
      <c r="AH283">
        <v>6</v>
      </c>
      <c r="AI283">
        <v>1</v>
      </c>
      <c r="AJ283">
        <v>1</v>
      </c>
      <c r="AK283">
        <v>0</v>
      </c>
      <c r="AL283">
        <v>1</v>
      </c>
      <c r="AM283" s="14">
        <v>0</v>
      </c>
      <c r="AN283" t="s">
        <v>2644</v>
      </c>
      <c r="AO283" s="12">
        <v>46054</v>
      </c>
      <c r="AP283">
        <v>2026</v>
      </c>
      <c r="AQ283">
        <v>2</v>
      </c>
      <c r="AR283" t="s">
        <v>2649</v>
      </c>
    </row>
    <row r="284" spans="1:44">
      <c r="A284" t="s">
        <v>1201</v>
      </c>
      <c r="B284" s="12">
        <v>46073</v>
      </c>
      <c r="C284" s="12">
        <v>46072</v>
      </c>
      <c r="D284" t="s">
        <v>941</v>
      </c>
      <c r="E284" t="s">
        <v>281</v>
      </c>
      <c r="F284" t="s">
        <v>256</v>
      </c>
      <c r="G284" t="s">
        <v>796</v>
      </c>
      <c r="H284" t="s">
        <v>122</v>
      </c>
      <c r="I284" t="s">
        <v>299</v>
      </c>
      <c r="J284" s="13">
        <v>0.66666666666666663</v>
      </c>
      <c r="K284" s="13">
        <v>0.66736111111111107</v>
      </c>
      <c r="L284" s="13">
        <v>0.69236111111111109</v>
      </c>
      <c r="M284">
        <v>60</v>
      </c>
      <c r="N284" s="14">
        <v>95</v>
      </c>
      <c r="O284" t="s">
        <v>195</v>
      </c>
      <c r="P284">
        <v>5</v>
      </c>
      <c r="Q284" t="s">
        <v>326</v>
      </c>
      <c r="R284" t="s">
        <v>896</v>
      </c>
      <c r="S284">
        <v>0</v>
      </c>
      <c r="T284">
        <v>0</v>
      </c>
      <c r="U284" t="s">
        <v>2290</v>
      </c>
      <c r="V284" t="s">
        <v>2291</v>
      </c>
      <c r="W284" t="s">
        <v>2292</v>
      </c>
      <c r="X284" t="s">
        <v>2288</v>
      </c>
      <c r="Y284" t="s">
        <v>2293</v>
      </c>
      <c r="Z284" t="s">
        <v>2312</v>
      </c>
      <c r="AA284">
        <v>21</v>
      </c>
      <c r="AB284" s="14">
        <v>95</v>
      </c>
      <c r="AC284" t="s">
        <v>2313</v>
      </c>
      <c r="AD284" t="s">
        <v>2314</v>
      </c>
      <c r="AE284" t="s">
        <v>2643</v>
      </c>
      <c r="AF284">
        <v>1</v>
      </c>
      <c r="AG284">
        <v>1</v>
      </c>
      <c r="AJ284">
        <v>1</v>
      </c>
      <c r="AK284">
        <v>1</v>
      </c>
      <c r="AL284">
        <v>1</v>
      </c>
      <c r="AM284" s="14">
        <v>0</v>
      </c>
      <c r="AN284" t="s">
        <v>2644</v>
      </c>
      <c r="AO284" s="12">
        <v>46054</v>
      </c>
      <c r="AP284">
        <v>2026</v>
      </c>
      <c r="AQ284">
        <v>2</v>
      </c>
      <c r="AR284" t="s">
        <v>2649</v>
      </c>
    </row>
    <row r="285" spans="1:44">
      <c r="A285" t="s">
        <v>1205</v>
      </c>
      <c r="B285" s="12">
        <v>46073</v>
      </c>
      <c r="C285" s="12">
        <v>46072</v>
      </c>
      <c r="D285" t="s">
        <v>1206</v>
      </c>
      <c r="E285" t="s">
        <v>255</v>
      </c>
      <c r="F285" t="s">
        <v>256</v>
      </c>
      <c r="G285" t="s">
        <v>257</v>
      </c>
      <c r="H285" t="s">
        <v>115</v>
      </c>
      <c r="I285" t="s">
        <v>316</v>
      </c>
      <c r="J285" s="13">
        <v>0.39583333333333331</v>
      </c>
      <c r="K285" s="13">
        <v>0.40555555555555556</v>
      </c>
      <c r="L285" s="13">
        <v>0.41805555555555557</v>
      </c>
      <c r="M285">
        <v>20</v>
      </c>
      <c r="N285" s="14">
        <v>95</v>
      </c>
      <c r="O285" t="s">
        <v>195</v>
      </c>
      <c r="P285">
        <v>5</v>
      </c>
      <c r="Q285" t="s">
        <v>285</v>
      </c>
      <c r="R285" t="s">
        <v>896</v>
      </c>
      <c r="S285">
        <v>0</v>
      </c>
      <c r="T285">
        <v>0</v>
      </c>
      <c r="U285" t="s">
        <v>2299</v>
      </c>
      <c r="V285" t="s">
        <v>2295</v>
      </c>
      <c r="W285" t="s">
        <v>2300</v>
      </c>
      <c r="X285" t="s">
        <v>2288</v>
      </c>
      <c r="Y285" t="s">
        <v>2301</v>
      </c>
      <c r="Z285" t="s">
        <v>2312</v>
      </c>
      <c r="AA285">
        <v>21</v>
      </c>
      <c r="AB285" s="14">
        <v>95</v>
      </c>
      <c r="AC285" t="s">
        <v>2313</v>
      </c>
      <c r="AD285" t="s">
        <v>2314</v>
      </c>
      <c r="AE285" t="s">
        <v>2643</v>
      </c>
      <c r="AF285">
        <v>1</v>
      </c>
      <c r="AG285">
        <v>1</v>
      </c>
      <c r="AH285">
        <v>18</v>
      </c>
      <c r="AI285">
        <v>1</v>
      </c>
      <c r="AJ285">
        <v>1</v>
      </c>
      <c r="AK285">
        <v>0</v>
      </c>
      <c r="AL285">
        <v>1</v>
      </c>
      <c r="AM285" s="14">
        <v>0</v>
      </c>
      <c r="AN285" t="s">
        <v>2644</v>
      </c>
      <c r="AO285" s="12">
        <v>46054</v>
      </c>
      <c r="AP285">
        <v>2026</v>
      </c>
      <c r="AQ285">
        <v>2</v>
      </c>
      <c r="AR285" t="s">
        <v>2649</v>
      </c>
    </row>
    <row r="286" spans="1:44">
      <c r="A286" t="s">
        <v>1207</v>
      </c>
      <c r="B286" s="12">
        <v>46065</v>
      </c>
      <c r="C286" s="12">
        <v>46018</v>
      </c>
      <c r="D286" t="s">
        <v>504</v>
      </c>
      <c r="E286" t="s">
        <v>255</v>
      </c>
      <c r="F286" t="s">
        <v>297</v>
      </c>
      <c r="G286" t="s">
        <v>331</v>
      </c>
      <c r="H286" t="s">
        <v>122</v>
      </c>
      <c r="I286" t="s">
        <v>258</v>
      </c>
      <c r="J286" s="13">
        <v>0.5</v>
      </c>
      <c r="K286" s="13"/>
      <c r="L286" s="13"/>
      <c r="M286">
        <v>0</v>
      </c>
      <c r="N286" s="14">
        <v>65</v>
      </c>
      <c r="O286" t="s">
        <v>195</v>
      </c>
      <c r="Q286" t="s">
        <v>262</v>
      </c>
      <c r="R286" t="s">
        <v>896</v>
      </c>
      <c r="S286">
        <v>0</v>
      </c>
      <c r="T286">
        <v>0</v>
      </c>
      <c r="U286" t="s">
        <v>2299</v>
      </c>
      <c r="V286" t="s">
        <v>2295</v>
      </c>
      <c r="W286" t="s">
        <v>2300</v>
      </c>
      <c r="X286" t="s">
        <v>2288</v>
      </c>
      <c r="Y286" t="s">
        <v>2301</v>
      </c>
      <c r="Z286" t="s">
        <v>2306</v>
      </c>
      <c r="AA286">
        <v>7</v>
      </c>
      <c r="AB286" s="14">
        <v>65</v>
      </c>
      <c r="AC286" t="s">
        <v>2307</v>
      </c>
      <c r="AD286" t="s">
        <v>2308</v>
      </c>
      <c r="AE286" t="s">
        <v>2643</v>
      </c>
      <c r="AF286">
        <v>47</v>
      </c>
      <c r="AG286">
        <v>0</v>
      </c>
      <c r="AJ286">
        <v>1</v>
      </c>
      <c r="AK286">
        <v>1</v>
      </c>
      <c r="AL286">
        <v>1</v>
      </c>
      <c r="AM286" s="14">
        <v>0</v>
      </c>
      <c r="AN286" t="s">
        <v>2644</v>
      </c>
      <c r="AO286" s="12">
        <v>46054</v>
      </c>
      <c r="AP286">
        <v>2026</v>
      </c>
      <c r="AQ286">
        <v>2</v>
      </c>
      <c r="AR286" t="s">
        <v>2649</v>
      </c>
    </row>
    <row r="287" spans="1:44">
      <c r="A287" t="s">
        <v>1208</v>
      </c>
      <c r="B287" s="12">
        <v>46061</v>
      </c>
      <c r="C287" s="12">
        <v>46043</v>
      </c>
      <c r="D287" t="s">
        <v>1209</v>
      </c>
      <c r="E287" t="s">
        <v>268</v>
      </c>
      <c r="F287" t="s">
        <v>409</v>
      </c>
      <c r="G287" t="s">
        <v>587</v>
      </c>
      <c r="H287" t="s">
        <v>122</v>
      </c>
      <c r="I287" t="s">
        <v>258</v>
      </c>
      <c r="J287" s="13">
        <v>0.5</v>
      </c>
      <c r="K287" s="13"/>
      <c r="L287" s="13"/>
      <c r="M287">
        <v>0</v>
      </c>
      <c r="N287" s="14">
        <v>150</v>
      </c>
      <c r="O287" t="s">
        <v>169</v>
      </c>
      <c r="Q287" t="s">
        <v>326</v>
      </c>
      <c r="R287" t="s">
        <v>896</v>
      </c>
      <c r="S287">
        <v>0</v>
      </c>
      <c r="T287">
        <v>0</v>
      </c>
      <c r="U287" t="s">
        <v>2285</v>
      </c>
      <c r="V287" t="s">
        <v>2286</v>
      </c>
      <c r="W287" t="s">
        <v>2287</v>
      </c>
      <c r="X287" t="s">
        <v>2288</v>
      </c>
      <c r="Y287" t="s">
        <v>2289</v>
      </c>
      <c r="Z287" t="s">
        <v>2318</v>
      </c>
      <c r="AA287">
        <v>28</v>
      </c>
      <c r="AB287" s="14">
        <v>150</v>
      </c>
      <c r="AC287" t="s">
        <v>2319</v>
      </c>
      <c r="AD287" t="s">
        <v>2320</v>
      </c>
      <c r="AE287" t="s">
        <v>2643</v>
      </c>
      <c r="AF287">
        <v>18</v>
      </c>
      <c r="AG287">
        <v>1</v>
      </c>
      <c r="AJ287">
        <v>1</v>
      </c>
      <c r="AK287">
        <v>1</v>
      </c>
      <c r="AL287">
        <v>1</v>
      </c>
      <c r="AM287" s="14">
        <v>0</v>
      </c>
      <c r="AN287" t="s">
        <v>2644</v>
      </c>
      <c r="AO287" s="12">
        <v>46054</v>
      </c>
      <c r="AP287">
        <v>2026</v>
      </c>
      <c r="AQ287">
        <v>2</v>
      </c>
      <c r="AR287" t="s">
        <v>2649</v>
      </c>
    </row>
    <row r="288" spans="1:44">
      <c r="A288" t="s">
        <v>1210</v>
      </c>
      <c r="B288" s="12">
        <v>46073</v>
      </c>
      <c r="C288" s="12">
        <v>46020</v>
      </c>
      <c r="D288" t="s">
        <v>1065</v>
      </c>
      <c r="E288" t="s">
        <v>339</v>
      </c>
      <c r="F288" t="s">
        <v>269</v>
      </c>
      <c r="G288" t="s">
        <v>340</v>
      </c>
      <c r="H288" t="s">
        <v>115</v>
      </c>
      <c r="I288" t="s">
        <v>258</v>
      </c>
      <c r="J288" s="13">
        <v>0.54166666666666663</v>
      </c>
      <c r="K288" s="13">
        <v>0.55277777777777781</v>
      </c>
      <c r="L288" s="13">
        <v>0.55972222222222223</v>
      </c>
      <c r="M288">
        <v>45</v>
      </c>
      <c r="N288" s="14">
        <v>80</v>
      </c>
      <c r="O288" t="s">
        <v>169</v>
      </c>
      <c r="P288">
        <v>3</v>
      </c>
      <c r="Q288" t="s">
        <v>326</v>
      </c>
      <c r="R288" t="s">
        <v>896</v>
      </c>
      <c r="S288">
        <v>0</v>
      </c>
      <c r="T288">
        <v>0</v>
      </c>
      <c r="U288" t="s">
        <v>2294</v>
      </c>
      <c r="V288" t="s">
        <v>2295</v>
      </c>
      <c r="W288" t="s">
        <v>2296</v>
      </c>
      <c r="X288" t="s">
        <v>2297</v>
      </c>
      <c r="Y288" t="s">
        <v>2298</v>
      </c>
      <c r="Z288" t="s">
        <v>2315</v>
      </c>
      <c r="AA288">
        <v>10</v>
      </c>
      <c r="AB288" s="14">
        <v>80</v>
      </c>
      <c r="AC288" t="s">
        <v>2316</v>
      </c>
      <c r="AD288" t="s">
        <v>2317</v>
      </c>
      <c r="AE288" t="s">
        <v>2643</v>
      </c>
      <c r="AF288">
        <v>53</v>
      </c>
      <c r="AG288">
        <v>0</v>
      </c>
      <c r="AH288">
        <v>10</v>
      </c>
      <c r="AI288">
        <v>1</v>
      </c>
      <c r="AJ288">
        <v>1</v>
      </c>
      <c r="AK288">
        <v>0</v>
      </c>
      <c r="AL288">
        <v>1</v>
      </c>
      <c r="AM288" s="14">
        <v>0</v>
      </c>
      <c r="AN288" t="s">
        <v>2644</v>
      </c>
      <c r="AO288" s="12">
        <v>46054</v>
      </c>
      <c r="AP288">
        <v>2026</v>
      </c>
      <c r="AQ288">
        <v>2</v>
      </c>
      <c r="AR288" t="s">
        <v>2649</v>
      </c>
    </row>
    <row r="289" spans="1:44">
      <c r="A289" t="s">
        <v>1211</v>
      </c>
      <c r="B289" s="12">
        <v>46061</v>
      </c>
      <c r="C289" s="12">
        <v>46013</v>
      </c>
      <c r="D289" t="s">
        <v>685</v>
      </c>
      <c r="E289" t="s">
        <v>281</v>
      </c>
      <c r="F289" t="s">
        <v>282</v>
      </c>
      <c r="G289" t="s">
        <v>446</v>
      </c>
      <c r="H289" t="s">
        <v>127</v>
      </c>
      <c r="I289" t="s">
        <v>316</v>
      </c>
      <c r="J289" s="13">
        <v>0.5625</v>
      </c>
      <c r="K289" s="13"/>
      <c r="L289" s="13"/>
      <c r="M289">
        <v>0</v>
      </c>
      <c r="N289" s="14">
        <v>120</v>
      </c>
      <c r="O289" t="s">
        <v>169</v>
      </c>
      <c r="Q289" t="s">
        <v>326</v>
      </c>
      <c r="R289" t="s">
        <v>896</v>
      </c>
      <c r="S289">
        <v>0</v>
      </c>
      <c r="T289">
        <v>0</v>
      </c>
      <c r="U289" t="s">
        <v>2290</v>
      </c>
      <c r="V289" t="s">
        <v>2291</v>
      </c>
      <c r="W289" t="s">
        <v>2292</v>
      </c>
      <c r="X289" t="s">
        <v>2288</v>
      </c>
      <c r="Y289" t="s">
        <v>2293</v>
      </c>
      <c r="Z289" t="s">
        <v>2309</v>
      </c>
      <c r="AA289">
        <v>14</v>
      </c>
      <c r="AB289" s="14">
        <v>120</v>
      </c>
      <c r="AC289" t="s">
        <v>2310</v>
      </c>
      <c r="AD289" t="s">
        <v>2311</v>
      </c>
      <c r="AE289" t="s">
        <v>2643</v>
      </c>
      <c r="AF289">
        <v>48</v>
      </c>
      <c r="AG289">
        <v>0</v>
      </c>
      <c r="AJ289">
        <v>0</v>
      </c>
      <c r="AL289">
        <v>1</v>
      </c>
      <c r="AM289" s="14">
        <v>0</v>
      </c>
      <c r="AN289" t="s">
        <v>2644</v>
      </c>
      <c r="AO289" s="12">
        <v>46054</v>
      </c>
      <c r="AP289">
        <v>2026</v>
      </c>
      <c r="AQ289">
        <v>2</v>
      </c>
      <c r="AR289" t="s">
        <v>2649</v>
      </c>
    </row>
    <row r="290" spans="1:44">
      <c r="A290" t="s">
        <v>1212</v>
      </c>
      <c r="B290" s="12">
        <v>46062</v>
      </c>
      <c r="C290" s="12">
        <v>46051</v>
      </c>
      <c r="D290" t="s">
        <v>946</v>
      </c>
      <c r="E290" t="s">
        <v>281</v>
      </c>
      <c r="F290" t="s">
        <v>269</v>
      </c>
      <c r="G290" t="s">
        <v>322</v>
      </c>
      <c r="H290" t="s">
        <v>115</v>
      </c>
      <c r="I290" t="s">
        <v>271</v>
      </c>
      <c r="J290" s="13">
        <v>0.41666666666666669</v>
      </c>
      <c r="K290" s="13">
        <v>0.42499999999999999</v>
      </c>
      <c r="L290" s="13">
        <v>0.41666666666666669</v>
      </c>
      <c r="M290">
        <v>45</v>
      </c>
      <c r="N290" s="14">
        <v>80</v>
      </c>
      <c r="O290" t="s">
        <v>195</v>
      </c>
      <c r="P290">
        <v>5</v>
      </c>
      <c r="Q290" t="s">
        <v>318</v>
      </c>
      <c r="R290" t="s">
        <v>896</v>
      </c>
      <c r="S290">
        <v>0</v>
      </c>
      <c r="T290">
        <v>0</v>
      </c>
      <c r="U290" t="s">
        <v>2290</v>
      </c>
      <c r="V290" t="s">
        <v>2291</v>
      </c>
      <c r="W290" t="s">
        <v>2292</v>
      </c>
      <c r="X290" t="s">
        <v>2288</v>
      </c>
      <c r="Y290" t="s">
        <v>2293</v>
      </c>
      <c r="Z290" t="s">
        <v>2315</v>
      </c>
      <c r="AA290">
        <v>10</v>
      </c>
      <c r="AB290" s="14">
        <v>80</v>
      </c>
      <c r="AC290" t="s">
        <v>2316</v>
      </c>
      <c r="AD290" t="s">
        <v>2317</v>
      </c>
      <c r="AE290" t="s">
        <v>2643</v>
      </c>
      <c r="AF290">
        <v>11</v>
      </c>
      <c r="AG290">
        <v>0</v>
      </c>
      <c r="AJ290">
        <v>1</v>
      </c>
      <c r="AK290">
        <v>0</v>
      </c>
      <c r="AL290">
        <v>1</v>
      </c>
      <c r="AM290" s="14">
        <v>0</v>
      </c>
      <c r="AN290" t="s">
        <v>2644</v>
      </c>
      <c r="AO290" s="12">
        <v>46054</v>
      </c>
      <c r="AP290">
        <v>2026</v>
      </c>
      <c r="AQ290">
        <v>2</v>
      </c>
      <c r="AR290" t="s">
        <v>2649</v>
      </c>
    </row>
    <row r="291" spans="1:44">
      <c r="A291" t="s">
        <v>1213</v>
      </c>
      <c r="B291" s="12">
        <v>46057</v>
      </c>
      <c r="C291" s="12">
        <v>46048</v>
      </c>
      <c r="D291" t="s">
        <v>813</v>
      </c>
      <c r="E291" t="s">
        <v>281</v>
      </c>
      <c r="F291" t="s">
        <v>269</v>
      </c>
      <c r="G291" t="s">
        <v>322</v>
      </c>
      <c r="H291" t="s">
        <v>127</v>
      </c>
      <c r="I291" t="s">
        <v>316</v>
      </c>
      <c r="J291" s="13">
        <v>0.52083333333333337</v>
      </c>
      <c r="K291" s="13"/>
      <c r="L291" s="13"/>
      <c r="M291">
        <v>0</v>
      </c>
      <c r="N291" s="14">
        <v>80</v>
      </c>
      <c r="O291" t="s">
        <v>195</v>
      </c>
      <c r="Q291" t="s">
        <v>262</v>
      </c>
      <c r="R291" t="s">
        <v>896</v>
      </c>
      <c r="S291">
        <v>0</v>
      </c>
      <c r="T291">
        <v>0</v>
      </c>
      <c r="U291" t="s">
        <v>2290</v>
      </c>
      <c r="V291" t="s">
        <v>2291</v>
      </c>
      <c r="W291" t="s">
        <v>2292</v>
      </c>
      <c r="X291" t="s">
        <v>2288</v>
      </c>
      <c r="Y291" t="s">
        <v>2293</v>
      </c>
      <c r="Z291" t="s">
        <v>2315</v>
      </c>
      <c r="AA291">
        <v>10</v>
      </c>
      <c r="AB291" s="14">
        <v>80</v>
      </c>
      <c r="AC291" t="s">
        <v>2316</v>
      </c>
      <c r="AD291" t="s">
        <v>2317</v>
      </c>
      <c r="AE291" t="s">
        <v>2643</v>
      </c>
      <c r="AF291">
        <v>9</v>
      </c>
      <c r="AG291">
        <v>1</v>
      </c>
      <c r="AJ291">
        <v>0</v>
      </c>
      <c r="AL291">
        <v>1</v>
      </c>
      <c r="AM291" s="14">
        <v>0</v>
      </c>
      <c r="AN291" t="s">
        <v>2644</v>
      </c>
      <c r="AO291" s="12">
        <v>46054</v>
      </c>
      <c r="AP291">
        <v>2026</v>
      </c>
      <c r="AQ291">
        <v>2</v>
      </c>
      <c r="AR291" t="s">
        <v>2649</v>
      </c>
    </row>
    <row r="292" spans="1:44">
      <c r="A292" t="s">
        <v>1214</v>
      </c>
      <c r="B292" s="12">
        <v>46055</v>
      </c>
      <c r="C292" s="12">
        <v>46001</v>
      </c>
      <c r="D292" t="s">
        <v>1215</v>
      </c>
      <c r="E292" t="s">
        <v>255</v>
      </c>
      <c r="F292" t="s">
        <v>256</v>
      </c>
      <c r="G292" t="s">
        <v>257</v>
      </c>
      <c r="H292" t="s">
        <v>122</v>
      </c>
      <c r="I292" t="s">
        <v>299</v>
      </c>
      <c r="J292" s="13">
        <v>0.625</v>
      </c>
      <c r="K292" s="13"/>
      <c r="L292" s="13"/>
      <c r="M292">
        <v>0</v>
      </c>
      <c r="N292" s="14">
        <v>95</v>
      </c>
      <c r="O292" t="s">
        <v>169</v>
      </c>
      <c r="Q292" t="s">
        <v>285</v>
      </c>
      <c r="R292" t="s">
        <v>896</v>
      </c>
      <c r="S292">
        <v>0</v>
      </c>
      <c r="T292">
        <v>0</v>
      </c>
      <c r="U292" t="s">
        <v>2299</v>
      </c>
      <c r="V292" t="s">
        <v>2295</v>
      </c>
      <c r="W292" t="s">
        <v>2300</v>
      </c>
      <c r="X292" t="s">
        <v>2288</v>
      </c>
      <c r="Y292" t="s">
        <v>2301</v>
      </c>
      <c r="Z292" t="s">
        <v>2312</v>
      </c>
      <c r="AA292">
        <v>21</v>
      </c>
      <c r="AB292" s="14">
        <v>95</v>
      </c>
      <c r="AC292" t="s">
        <v>2313</v>
      </c>
      <c r="AD292" t="s">
        <v>2314</v>
      </c>
      <c r="AE292" t="s">
        <v>2643</v>
      </c>
      <c r="AF292">
        <v>54</v>
      </c>
      <c r="AG292">
        <v>0</v>
      </c>
      <c r="AJ292">
        <v>1</v>
      </c>
      <c r="AK292">
        <v>1</v>
      </c>
      <c r="AL292">
        <v>1</v>
      </c>
      <c r="AM292" s="14">
        <v>0</v>
      </c>
      <c r="AN292" t="s">
        <v>2644</v>
      </c>
      <c r="AO292" s="12">
        <v>46054</v>
      </c>
      <c r="AP292">
        <v>2026</v>
      </c>
      <c r="AQ292">
        <v>2</v>
      </c>
      <c r="AR292" t="s">
        <v>2649</v>
      </c>
    </row>
    <row r="293" spans="1:44">
      <c r="A293" t="s">
        <v>1216</v>
      </c>
      <c r="B293" s="12">
        <v>46059</v>
      </c>
      <c r="C293" s="12">
        <v>46007</v>
      </c>
      <c r="D293" t="s">
        <v>624</v>
      </c>
      <c r="E293" t="s">
        <v>255</v>
      </c>
      <c r="F293" t="s">
        <v>297</v>
      </c>
      <c r="G293" t="s">
        <v>331</v>
      </c>
      <c r="H293" t="s">
        <v>466</v>
      </c>
      <c r="I293" t="s">
        <v>258</v>
      </c>
      <c r="J293" s="13">
        <v>0.39583333333333331</v>
      </c>
      <c r="K293" s="13"/>
      <c r="L293" s="13"/>
      <c r="M293">
        <v>0</v>
      </c>
      <c r="N293" s="14">
        <v>65</v>
      </c>
      <c r="O293" t="s">
        <v>195</v>
      </c>
      <c r="Q293" t="s">
        <v>318</v>
      </c>
      <c r="R293" t="s">
        <v>896</v>
      </c>
      <c r="S293">
        <v>0</v>
      </c>
      <c r="T293">
        <v>0</v>
      </c>
      <c r="U293" t="s">
        <v>2299</v>
      </c>
      <c r="V293" t="s">
        <v>2295</v>
      </c>
      <c r="W293" t="s">
        <v>2300</v>
      </c>
      <c r="X293" t="s">
        <v>2288</v>
      </c>
      <c r="Y293" t="s">
        <v>2301</v>
      </c>
      <c r="Z293" t="s">
        <v>2306</v>
      </c>
      <c r="AA293">
        <v>7</v>
      </c>
      <c r="AB293" s="14">
        <v>65</v>
      </c>
      <c r="AC293" t="s">
        <v>2307</v>
      </c>
      <c r="AD293" t="s">
        <v>2308</v>
      </c>
      <c r="AE293" t="s">
        <v>2643</v>
      </c>
      <c r="AF293">
        <v>52</v>
      </c>
      <c r="AG293">
        <v>0</v>
      </c>
      <c r="AJ293">
        <v>0</v>
      </c>
      <c r="AL293">
        <v>1</v>
      </c>
      <c r="AM293" s="14">
        <v>0</v>
      </c>
      <c r="AN293" t="s">
        <v>2644</v>
      </c>
      <c r="AO293" s="12">
        <v>46054</v>
      </c>
      <c r="AP293">
        <v>2026</v>
      </c>
      <c r="AQ293">
        <v>2</v>
      </c>
      <c r="AR293" t="s">
        <v>2649</v>
      </c>
    </row>
    <row r="294" spans="1:44">
      <c r="A294" t="s">
        <v>1217</v>
      </c>
      <c r="B294" s="12">
        <v>46075</v>
      </c>
      <c r="C294" s="12">
        <v>46053</v>
      </c>
      <c r="D294" t="s">
        <v>685</v>
      </c>
      <c r="E294" t="s">
        <v>268</v>
      </c>
      <c r="F294" t="s">
        <v>282</v>
      </c>
      <c r="G294" t="s">
        <v>505</v>
      </c>
      <c r="H294" t="s">
        <v>115</v>
      </c>
      <c r="I294" t="s">
        <v>316</v>
      </c>
      <c r="J294" s="13">
        <v>0.54166666666666663</v>
      </c>
      <c r="K294" s="13">
        <v>0.53680555555555554</v>
      </c>
      <c r="L294" s="13">
        <v>0.54305555555555551</v>
      </c>
      <c r="M294">
        <v>45</v>
      </c>
      <c r="N294" s="14">
        <v>120</v>
      </c>
      <c r="O294" t="s">
        <v>195</v>
      </c>
      <c r="P294">
        <v>4</v>
      </c>
      <c r="Q294" t="s">
        <v>326</v>
      </c>
      <c r="R294" t="s">
        <v>896</v>
      </c>
      <c r="S294">
        <v>0</v>
      </c>
      <c r="T294">
        <v>0</v>
      </c>
      <c r="U294" t="s">
        <v>2285</v>
      </c>
      <c r="V294" t="s">
        <v>2286</v>
      </c>
      <c r="W294" t="s">
        <v>2287</v>
      </c>
      <c r="X294" t="s">
        <v>2288</v>
      </c>
      <c r="Y294" t="s">
        <v>2289</v>
      </c>
      <c r="Z294" t="s">
        <v>2309</v>
      </c>
      <c r="AA294">
        <v>14</v>
      </c>
      <c r="AB294" s="14">
        <v>120</v>
      </c>
      <c r="AC294" t="s">
        <v>2310</v>
      </c>
      <c r="AD294" t="s">
        <v>2311</v>
      </c>
      <c r="AE294" t="s">
        <v>2643</v>
      </c>
      <c r="AF294">
        <v>22</v>
      </c>
      <c r="AG294">
        <v>0</v>
      </c>
      <c r="AH294">
        <v>9</v>
      </c>
      <c r="AI294">
        <v>1</v>
      </c>
      <c r="AJ294">
        <v>1</v>
      </c>
      <c r="AK294">
        <v>0</v>
      </c>
      <c r="AL294">
        <v>1</v>
      </c>
      <c r="AM294" s="14">
        <v>0</v>
      </c>
      <c r="AN294" t="s">
        <v>2644</v>
      </c>
      <c r="AO294" s="12">
        <v>46054</v>
      </c>
      <c r="AP294">
        <v>2026</v>
      </c>
      <c r="AQ294">
        <v>2</v>
      </c>
      <c r="AR294" t="s">
        <v>2649</v>
      </c>
    </row>
    <row r="295" spans="1:44">
      <c r="A295" t="s">
        <v>1220</v>
      </c>
      <c r="B295" s="12">
        <v>46068</v>
      </c>
      <c r="C295" s="12">
        <v>46063</v>
      </c>
      <c r="D295" t="s">
        <v>397</v>
      </c>
      <c r="E295" t="s">
        <v>255</v>
      </c>
      <c r="F295" t="s">
        <v>297</v>
      </c>
      <c r="G295" t="s">
        <v>331</v>
      </c>
      <c r="H295" t="s">
        <v>127</v>
      </c>
      <c r="I295" t="s">
        <v>316</v>
      </c>
      <c r="J295" s="13">
        <v>0.625</v>
      </c>
      <c r="K295" s="13"/>
      <c r="L295" s="13"/>
      <c r="M295">
        <v>0</v>
      </c>
      <c r="N295" s="14">
        <v>65</v>
      </c>
      <c r="O295" t="s">
        <v>195</v>
      </c>
      <c r="Q295" t="s">
        <v>305</v>
      </c>
      <c r="R295" t="s">
        <v>896</v>
      </c>
      <c r="S295">
        <v>0</v>
      </c>
      <c r="T295">
        <v>0</v>
      </c>
      <c r="U295" t="s">
        <v>2299</v>
      </c>
      <c r="V295" t="s">
        <v>2295</v>
      </c>
      <c r="W295" t="s">
        <v>2300</v>
      </c>
      <c r="X295" t="s">
        <v>2288</v>
      </c>
      <c r="Y295" t="s">
        <v>2301</v>
      </c>
      <c r="Z295" t="s">
        <v>2306</v>
      </c>
      <c r="AA295">
        <v>7</v>
      </c>
      <c r="AB295" s="14">
        <v>65</v>
      </c>
      <c r="AC295" t="s">
        <v>2307</v>
      </c>
      <c r="AD295" t="s">
        <v>2308</v>
      </c>
      <c r="AE295" t="s">
        <v>2643</v>
      </c>
      <c r="AF295">
        <v>5</v>
      </c>
      <c r="AG295">
        <v>1</v>
      </c>
      <c r="AJ295">
        <v>0</v>
      </c>
      <c r="AL295">
        <v>1</v>
      </c>
      <c r="AM295" s="14">
        <v>0</v>
      </c>
      <c r="AN295" t="s">
        <v>2644</v>
      </c>
      <c r="AO295" s="12">
        <v>46054</v>
      </c>
      <c r="AP295">
        <v>2026</v>
      </c>
      <c r="AQ295">
        <v>2</v>
      </c>
      <c r="AR295" t="s">
        <v>2649</v>
      </c>
    </row>
    <row r="296" spans="1:44">
      <c r="A296" t="s">
        <v>1221</v>
      </c>
      <c r="B296" s="12">
        <v>46060</v>
      </c>
      <c r="C296" s="12">
        <v>46017</v>
      </c>
      <c r="D296" t="s">
        <v>1222</v>
      </c>
      <c r="E296" t="s">
        <v>268</v>
      </c>
      <c r="F296" t="s">
        <v>269</v>
      </c>
      <c r="G296" t="s">
        <v>435</v>
      </c>
      <c r="H296" t="s">
        <v>115</v>
      </c>
      <c r="I296" t="s">
        <v>299</v>
      </c>
      <c r="J296" s="13">
        <v>0.58333333333333337</v>
      </c>
      <c r="K296" s="13">
        <v>0.59236111111111112</v>
      </c>
      <c r="L296" s="13">
        <v>0.60069444444444442</v>
      </c>
      <c r="M296">
        <v>20</v>
      </c>
      <c r="N296" s="14">
        <v>80</v>
      </c>
      <c r="O296" t="s">
        <v>169</v>
      </c>
      <c r="P296">
        <v>5</v>
      </c>
      <c r="Q296" t="s">
        <v>262</v>
      </c>
      <c r="R296" t="s">
        <v>896</v>
      </c>
      <c r="S296">
        <v>0</v>
      </c>
      <c r="T296">
        <v>0</v>
      </c>
      <c r="U296" t="s">
        <v>2285</v>
      </c>
      <c r="V296" t="s">
        <v>2286</v>
      </c>
      <c r="W296" t="s">
        <v>2287</v>
      </c>
      <c r="X296" t="s">
        <v>2288</v>
      </c>
      <c r="Y296" t="s">
        <v>2289</v>
      </c>
      <c r="Z296" t="s">
        <v>2315</v>
      </c>
      <c r="AA296">
        <v>10</v>
      </c>
      <c r="AB296" s="14">
        <v>80</v>
      </c>
      <c r="AC296" t="s">
        <v>2316</v>
      </c>
      <c r="AD296" t="s">
        <v>2317</v>
      </c>
      <c r="AE296" t="s">
        <v>2643</v>
      </c>
      <c r="AF296">
        <v>43</v>
      </c>
      <c r="AG296">
        <v>0</v>
      </c>
      <c r="AH296">
        <v>12</v>
      </c>
      <c r="AI296">
        <v>1</v>
      </c>
      <c r="AJ296">
        <v>1</v>
      </c>
      <c r="AK296">
        <v>0</v>
      </c>
      <c r="AL296">
        <v>1</v>
      </c>
      <c r="AM296" s="14">
        <v>0</v>
      </c>
      <c r="AN296" t="s">
        <v>2644</v>
      </c>
      <c r="AO296" s="12">
        <v>46054</v>
      </c>
      <c r="AP296">
        <v>2026</v>
      </c>
      <c r="AQ296">
        <v>2</v>
      </c>
      <c r="AR296" t="s">
        <v>2649</v>
      </c>
    </row>
    <row r="297" spans="1:44">
      <c r="A297" t="s">
        <v>1225</v>
      </c>
      <c r="B297" s="12">
        <v>46074</v>
      </c>
      <c r="C297" s="12">
        <v>46066</v>
      </c>
      <c r="D297" t="s">
        <v>362</v>
      </c>
      <c r="E297" t="s">
        <v>339</v>
      </c>
      <c r="F297" t="s">
        <v>256</v>
      </c>
      <c r="G297" t="s">
        <v>403</v>
      </c>
      <c r="H297" t="s">
        <v>122</v>
      </c>
      <c r="I297" t="s">
        <v>271</v>
      </c>
      <c r="J297" s="13">
        <v>0.64583333333333337</v>
      </c>
      <c r="K297" s="13"/>
      <c r="L297" s="13"/>
      <c r="N297" s="14">
        <v>95</v>
      </c>
      <c r="O297" t="s">
        <v>195</v>
      </c>
      <c r="Q297" t="s">
        <v>326</v>
      </c>
      <c r="R297" t="s">
        <v>896</v>
      </c>
      <c r="S297">
        <v>0</v>
      </c>
      <c r="T297">
        <v>0</v>
      </c>
      <c r="U297" t="s">
        <v>2294</v>
      </c>
      <c r="V297" t="s">
        <v>2295</v>
      </c>
      <c r="W297" t="s">
        <v>2296</v>
      </c>
      <c r="X297" t="s">
        <v>2297</v>
      </c>
      <c r="Y297" t="s">
        <v>2298</v>
      </c>
      <c r="Z297" t="s">
        <v>2312</v>
      </c>
      <c r="AA297">
        <v>21</v>
      </c>
      <c r="AB297" s="14">
        <v>95</v>
      </c>
      <c r="AC297" t="s">
        <v>2313</v>
      </c>
      <c r="AD297" t="s">
        <v>2314</v>
      </c>
      <c r="AE297" t="s">
        <v>2643</v>
      </c>
      <c r="AF297">
        <v>8</v>
      </c>
      <c r="AG297">
        <v>1</v>
      </c>
      <c r="AJ297">
        <v>1</v>
      </c>
      <c r="AK297">
        <v>1</v>
      </c>
      <c r="AL297">
        <v>1</v>
      </c>
      <c r="AM297" s="14">
        <v>0</v>
      </c>
      <c r="AN297" t="s">
        <v>2644</v>
      </c>
      <c r="AO297" s="12">
        <v>46054</v>
      </c>
      <c r="AP297">
        <v>2026</v>
      </c>
      <c r="AQ297">
        <v>2</v>
      </c>
      <c r="AR297" t="s">
        <v>2649</v>
      </c>
    </row>
    <row r="298" spans="1:44">
      <c r="A298" t="s">
        <v>1226</v>
      </c>
      <c r="B298" s="12">
        <v>46066</v>
      </c>
      <c r="C298" s="12">
        <v>46015</v>
      </c>
      <c r="D298" t="s">
        <v>1227</v>
      </c>
      <c r="E298" t="s">
        <v>255</v>
      </c>
      <c r="F298" t="s">
        <v>269</v>
      </c>
      <c r="G298" t="s">
        <v>542</v>
      </c>
      <c r="H298" t="s">
        <v>127</v>
      </c>
      <c r="I298" t="s">
        <v>271</v>
      </c>
      <c r="J298" s="13">
        <v>0.66666666666666663</v>
      </c>
      <c r="K298" s="13"/>
      <c r="L298" s="13"/>
      <c r="M298">
        <v>0</v>
      </c>
      <c r="N298" s="14">
        <v>80</v>
      </c>
      <c r="O298" t="s">
        <v>195</v>
      </c>
      <c r="Q298" t="s">
        <v>305</v>
      </c>
      <c r="R298" t="s">
        <v>896</v>
      </c>
      <c r="S298">
        <v>0</v>
      </c>
      <c r="T298">
        <v>0</v>
      </c>
      <c r="U298" t="s">
        <v>2299</v>
      </c>
      <c r="V298" t="s">
        <v>2295</v>
      </c>
      <c r="W298" t="s">
        <v>2300</v>
      </c>
      <c r="X298" t="s">
        <v>2288</v>
      </c>
      <c r="Y298" t="s">
        <v>2301</v>
      </c>
      <c r="Z298" t="s">
        <v>2315</v>
      </c>
      <c r="AA298">
        <v>10</v>
      </c>
      <c r="AB298" s="14">
        <v>80</v>
      </c>
      <c r="AC298" t="s">
        <v>2316</v>
      </c>
      <c r="AD298" t="s">
        <v>2317</v>
      </c>
      <c r="AE298" t="s">
        <v>2643</v>
      </c>
      <c r="AF298">
        <v>51</v>
      </c>
      <c r="AG298">
        <v>0</v>
      </c>
      <c r="AJ298">
        <v>0</v>
      </c>
      <c r="AL298">
        <v>1</v>
      </c>
      <c r="AM298" s="14">
        <v>0</v>
      </c>
      <c r="AN298" t="s">
        <v>2644</v>
      </c>
      <c r="AO298" s="12">
        <v>46054</v>
      </c>
      <c r="AP298">
        <v>2026</v>
      </c>
      <c r="AQ298">
        <v>2</v>
      </c>
      <c r="AR298" t="s">
        <v>2649</v>
      </c>
    </row>
    <row r="299" spans="1:44">
      <c r="A299" t="s">
        <v>1228</v>
      </c>
      <c r="B299" s="12">
        <v>46067</v>
      </c>
      <c r="C299" s="12">
        <v>46047</v>
      </c>
      <c r="D299" t="s">
        <v>963</v>
      </c>
      <c r="E299" t="s">
        <v>255</v>
      </c>
      <c r="F299" t="s">
        <v>256</v>
      </c>
      <c r="G299" t="s">
        <v>398</v>
      </c>
      <c r="H299" t="s">
        <v>115</v>
      </c>
      <c r="I299" t="s">
        <v>316</v>
      </c>
      <c r="J299" s="13">
        <v>0.58333333333333337</v>
      </c>
      <c r="K299" s="13">
        <v>0.5854166666666667</v>
      </c>
      <c r="L299" s="13">
        <v>0.61041666666666672</v>
      </c>
      <c r="M299">
        <v>20</v>
      </c>
      <c r="N299" s="14">
        <v>95</v>
      </c>
      <c r="O299" t="s">
        <v>195</v>
      </c>
      <c r="P299">
        <v>3</v>
      </c>
      <c r="Q299" t="s">
        <v>305</v>
      </c>
      <c r="R299" t="s">
        <v>896</v>
      </c>
      <c r="S299">
        <v>0</v>
      </c>
      <c r="T299">
        <v>0</v>
      </c>
      <c r="U299" t="s">
        <v>2299</v>
      </c>
      <c r="V299" t="s">
        <v>2295</v>
      </c>
      <c r="W299" t="s">
        <v>2300</v>
      </c>
      <c r="X299" t="s">
        <v>2288</v>
      </c>
      <c r="Y299" t="s">
        <v>2301</v>
      </c>
      <c r="Z299" t="s">
        <v>2312</v>
      </c>
      <c r="AA299">
        <v>21</v>
      </c>
      <c r="AB299" s="14">
        <v>95</v>
      </c>
      <c r="AC299" t="s">
        <v>2313</v>
      </c>
      <c r="AD299" t="s">
        <v>2314</v>
      </c>
      <c r="AE299" t="s">
        <v>2643</v>
      </c>
      <c r="AF299">
        <v>20</v>
      </c>
      <c r="AG299">
        <v>1</v>
      </c>
      <c r="AH299">
        <v>36</v>
      </c>
      <c r="AI299">
        <v>0</v>
      </c>
      <c r="AJ299">
        <v>1</v>
      </c>
      <c r="AK299">
        <v>0</v>
      </c>
      <c r="AL299">
        <v>1</v>
      </c>
      <c r="AM299" s="14">
        <v>0</v>
      </c>
      <c r="AN299" t="s">
        <v>2644</v>
      </c>
      <c r="AO299" s="12">
        <v>46054</v>
      </c>
      <c r="AP299">
        <v>2026</v>
      </c>
      <c r="AQ299">
        <v>2</v>
      </c>
      <c r="AR299" t="s">
        <v>2649</v>
      </c>
    </row>
    <row r="300" spans="1:44">
      <c r="A300" t="s">
        <v>1230</v>
      </c>
      <c r="B300" s="12">
        <v>46070</v>
      </c>
      <c r="C300" s="12">
        <v>46022</v>
      </c>
      <c r="D300" t="s">
        <v>1231</v>
      </c>
      <c r="E300" t="s">
        <v>339</v>
      </c>
      <c r="F300" t="s">
        <v>282</v>
      </c>
      <c r="G300" t="s">
        <v>564</v>
      </c>
      <c r="H300" t="s">
        <v>115</v>
      </c>
      <c r="I300" t="s">
        <v>299</v>
      </c>
      <c r="J300" s="13">
        <v>0.58333333333333337</v>
      </c>
      <c r="K300" s="13">
        <v>0.58680555555555558</v>
      </c>
      <c r="L300" s="13">
        <v>0.59166666666666667</v>
      </c>
      <c r="M300">
        <v>30</v>
      </c>
      <c r="N300" s="14">
        <v>120</v>
      </c>
      <c r="O300" t="s">
        <v>195</v>
      </c>
      <c r="P300">
        <v>3</v>
      </c>
      <c r="Q300" t="s">
        <v>305</v>
      </c>
      <c r="R300" t="s">
        <v>896</v>
      </c>
      <c r="S300">
        <v>0</v>
      </c>
      <c r="T300">
        <v>0</v>
      </c>
      <c r="U300" t="s">
        <v>2294</v>
      </c>
      <c r="V300" t="s">
        <v>2295</v>
      </c>
      <c r="W300" t="s">
        <v>2296</v>
      </c>
      <c r="X300" t="s">
        <v>2297</v>
      </c>
      <c r="Y300" t="s">
        <v>2298</v>
      </c>
      <c r="Z300" t="s">
        <v>2309</v>
      </c>
      <c r="AA300">
        <v>14</v>
      </c>
      <c r="AB300" s="14">
        <v>120</v>
      </c>
      <c r="AC300" t="s">
        <v>2310</v>
      </c>
      <c r="AD300" t="s">
        <v>2311</v>
      </c>
      <c r="AE300" t="s">
        <v>2643</v>
      </c>
      <c r="AF300">
        <v>48</v>
      </c>
      <c r="AG300">
        <v>0</v>
      </c>
      <c r="AH300">
        <v>7</v>
      </c>
      <c r="AI300">
        <v>1</v>
      </c>
      <c r="AJ300">
        <v>1</v>
      </c>
      <c r="AK300">
        <v>0</v>
      </c>
      <c r="AL300">
        <v>1</v>
      </c>
      <c r="AM300" s="14">
        <v>0</v>
      </c>
      <c r="AN300" t="s">
        <v>2644</v>
      </c>
      <c r="AO300" s="12">
        <v>46054</v>
      </c>
      <c r="AP300">
        <v>2026</v>
      </c>
      <c r="AQ300">
        <v>2</v>
      </c>
      <c r="AR300" t="s">
        <v>2649</v>
      </c>
    </row>
    <row r="301" spans="1:44">
      <c r="A301" t="s">
        <v>1233</v>
      </c>
      <c r="B301" s="12">
        <v>46072</v>
      </c>
      <c r="C301" s="12">
        <v>46064</v>
      </c>
      <c r="D301" t="s">
        <v>1123</v>
      </c>
      <c r="E301" t="s">
        <v>339</v>
      </c>
      <c r="F301" t="s">
        <v>282</v>
      </c>
      <c r="G301" t="s">
        <v>461</v>
      </c>
      <c r="H301" t="s">
        <v>122</v>
      </c>
      <c r="I301" t="s">
        <v>258</v>
      </c>
      <c r="J301" s="13">
        <v>0.625</v>
      </c>
      <c r="K301" s="13"/>
      <c r="L301" s="13"/>
      <c r="M301">
        <v>0</v>
      </c>
      <c r="N301" s="14">
        <v>120</v>
      </c>
      <c r="O301" t="s">
        <v>195</v>
      </c>
      <c r="Q301" t="s">
        <v>305</v>
      </c>
      <c r="R301" t="s">
        <v>896</v>
      </c>
      <c r="S301">
        <v>0</v>
      </c>
      <c r="T301">
        <v>0</v>
      </c>
      <c r="U301" t="s">
        <v>2294</v>
      </c>
      <c r="V301" t="s">
        <v>2295</v>
      </c>
      <c r="W301" t="s">
        <v>2296</v>
      </c>
      <c r="X301" t="s">
        <v>2297</v>
      </c>
      <c r="Y301" t="s">
        <v>2298</v>
      </c>
      <c r="Z301" t="s">
        <v>2309</v>
      </c>
      <c r="AA301">
        <v>14</v>
      </c>
      <c r="AB301" s="14">
        <v>120</v>
      </c>
      <c r="AC301" t="s">
        <v>2310</v>
      </c>
      <c r="AD301" t="s">
        <v>2311</v>
      </c>
      <c r="AE301" t="s">
        <v>2643</v>
      </c>
      <c r="AF301">
        <v>8</v>
      </c>
      <c r="AG301">
        <v>1</v>
      </c>
      <c r="AJ301">
        <v>1</v>
      </c>
      <c r="AK301">
        <v>1</v>
      </c>
      <c r="AL301">
        <v>1</v>
      </c>
      <c r="AM301" s="14">
        <v>0</v>
      </c>
      <c r="AN301" t="s">
        <v>2644</v>
      </c>
      <c r="AO301" s="12">
        <v>46054</v>
      </c>
      <c r="AP301">
        <v>2026</v>
      </c>
      <c r="AQ301">
        <v>2</v>
      </c>
      <c r="AR301" t="s">
        <v>2649</v>
      </c>
    </row>
    <row r="302" spans="1:44">
      <c r="A302" t="s">
        <v>1234</v>
      </c>
      <c r="B302" s="12">
        <v>46063</v>
      </c>
      <c r="C302" s="12">
        <v>46053</v>
      </c>
      <c r="D302" t="s">
        <v>982</v>
      </c>
      <c r="E302" t="s">
        <v>281</v>
      </c>
      <c r="F302" t="s">
        <v>297</v>
      </c>
      <c r="G302" t="s">
        <v>298</v>
      </c>
      <c r="H302" t="s">
        <v>115</v>
      </c>
      <c r="I302" t="s">
        <v>316</v>
      </c>
      <c r="J302" s="13">
        <v>0.52083333333333337</v>
      </c>
      <c r="K302" s="13">
        <v>0.51944444444444449</v>
      </c>
      <c r="L302" s="13">
        <v>0.53749999999999998</v>
      </c>
      <c r="M302">
        <v>45</v>
      </c>
      <c r="N302" s="14">
        <v>65</v>
      </c>
      <c r="O302" t="s">
        <v>195</v>
      </c>
      <c r="P302">
        <v>4</v>
      </c>
      <c r="Q302" t="s">
        <v>305</v>
      </c>
      <c r="R302" t="s">
        <v>896</v>
      </c>
      <c r="S302">
        <v>0</v>
      </c>
      <c r="T302">
        <v>0</v>
      </c>
      <c r="U302" t="s">
        <v>2290</v>
      </c>
      <c r="V302" t="s">
        <v>2291</v>
      </c>
      <c r="W302" t="s">
        <v>2292</v>
      </c>
      <c r="X302" t="s">
        <v>2288</v>
      </c>
      <c r="Y302" t="s">
        <v>2293</v>
      </c>
      <c r="Z302" t="s">
        <v>2306</v>
      </c>
      <c r="AA302">
        <v>7</v>
      </c>
      <c r="AB302" s="14">
        <v>65</v>
      </c>
      <c r="AC302" t="s">
        <v>2307</v>
      </c>
      <c r="AD302" t="s">
        <v>2308</v>
      </c>
      <c r="AE302" t="s">
        <v>2643</v>
      </c>
      <c r="AF302">
        <v>10</v>
      </c>
      <c r="AG302">
        <v>0</v>
      </c>
      <c r="AH302">
        <v>26</v>
      </c>
      <c r="AI302">
        <v>1</v>
      </c>
      <c r="AJ302">
        <v>1</v>
      </c>
      <c r="AK302">
        <v>0</v>
      </c>
      <c r="AL302">
        <v>1</v>
      </c>
      <c r="AM302" s="14">
        <v>0</v>
      </c>
      <c r="AN302" t="s">
        <v>2644</v>
      </c>
      <c r="AO302" s="12">
        <v>46054</v>
      </c>
      <c r="AP302">
        <v>2026</v>
      </c>
      <c r="AQ302">
        <v>2</v>
      </c>
      <c r="AR302" t="s">
        <v>2649</v>
      </c>
    </row>
    <row r="303" spans="1:44">
      <c r="A303" t="s">
        <v>1236</v>
      </c>
      <c r="B303" s="12">
        <v>46058</v>
      </c>
      <c r="C303" s="12">
        <v>46020</v>
      </c>
      <c r="D303" t="s">
        <v>1237</v>
      </c>
      <c r="E303" t="s">
        <v>268</v>
      </c>
      <c r="F303" t="s">
        <v>297</v>
      </c>
      <c r="G303" t="s">
        <v>583</v>
      </c>
      <c r="H303" t="s">
        <v>115</v>
      </c>
      <c r="I303" t="s">
        <v>299</v>
      </c>
      <c r="J303" s="13">
        <v>0.5</v>
      </c>
      <c r="K303" s="13">
        <v>0.49652777777777779</v>
      </c>
      <c r="L303" s="13">
        <v>0.52013888888888893</v>
      </c>
      <c r="M303">
        <v>30</v>
      </c>
      <c r="N303" s="14">
        <v>65</v>
      </c>
      <c r="O303" t="s">
        <v>195</v>
      </c>
      <c r="P303">
        <v>5</v>
      </c>
      <c r="Q303" t="s">
        <v>318</v>
      </c>
      <c r="R303" t="s">
        <v>896</v>
      </c>
      <c r="S303">
        <v>0</v>
      </c>
      <c r="T303">
        <v>0</v>
      </c>
      <c r="U303" t="s">
        <v>2285</v>
      </c>
      <c r="V303" t="s">
        <v>2286</v>
      </c>
      <c r="W303" t="s">
        <v>2287</v>
      </c>
      <c r="X303" t="s">
        <v>2288</v>
      </c>
      <c r="Y303" t="s">
        <v>2289</v>
      </c>
      <c r="Z303" t="s">
        <v>2306</v>
      </c>
      <c r="AA303">
        <v>7</v>
      </c>
      <c r="AB303" s="14">
        <v>65</v>
      </c>
      <c r="AC303" t="s">
        <v>2307</v>
      </c>
      <c r="AD303" t="s">
        <v>2308</v>
      </c>
      <c r="AE303" t="s">
        <v>2643</v>
      </c>
      <c r="AF303">
        <v>38</v>
      </c>
      <c r="AG303">
        <v>0</v>
      </c>
      <c r="AH303">
        <v>34</v>
      </c>
      <c r="AI303">
        <v>0</v>
      </c>
      <c r="AJ303">
        <v>1</v>
      </c>
      <c r="AK303">
        <v>0</v>
      </c>
      <c r="AL303">
        <v>1</v>
      </c>
      <c r="AM303" s="14">
        <v>0</v>
      </c>
      <c r="AN303" t="s">
        <v>2644</v>
      </c>
      <c r="AO303" s="12">
        <v>46054</v>
      </c>
      <c r="AP303">
        <v>2026</v>
      </c>
      <c r="AQ303">
        <v>2</v>
      </c>
      <c r="AR303" t="s">
        <v>2649</v>
      </c>
    </row>
    <row r="304" spans="1:44">
      <c r="A304" t="s">
        <v>1238</v>
      </c>
      <c r="B304" s="12">
        <v>46055</v>
      </c>
      <c r="C304" s="12">
        <v>46036</v>
      </c>
      <c r="D304" t="s">
        <v>1239</v>
      </c>
      <c r="E304" t="s">
        <v>255</v>
      </c>
      <c r="F304" t="s">
        <v>256</v>
      </c>
      <c r="G304" t="s">
        <v>257</v>
      </c>
      <c r="H304" t="s">
        <v>115</v>
      </c>
      <c r="I304" t="s">
        <v>316</v>
      </c>
      <c r="J304" s="13">
        <v>0.39583333333333331</v>
      </c>
      <c r="K304" s="13">
        <v>0.39444444444444443</v>
      </c>
      <c r="L304" s="13">
        <v>0.4152777777777778</v>
      </c>
      <c r="M304">
        <v>30</v>
      </c>
      <c r="N304" s="14">
        <v>95</v>
      </c>
      <c r="O304" t="s">
        <v>169</v>
      </c>
      <c r="P304">
        <v>5</v>
      </c>
      <c r="Q304" t="s">
        <v>326</v>
      </c>
      <c r="R304" t="s">
        <v>896</v>
      </c>
      <c r="S304">
        <v>0</v>
      </c>
      <c r="T304">
        <v>0</v>
      </c>
      <c r="U304" t="s">
        <v>2299</v>
      </c>
      <c r="V304" t="s">
        <v>2295</v>
      </c>
      <c r="W304" t="s">
        <v>2300</v>
      </c>
      <c r="X304" t="s">
        <v>2288</v>
      </c>
      <c r="Y304" t="s">
        <v>2301</v>
      </c>
      <c r="Z304" t="s">
        <v>2312</v>
      </c>
      <c r="AA304">
        <v>21</v>
      </c>
      <c r="AB304" s="14">
        <v>95</v>
      </c>
      <c r="AC304" t="s">
        <v>2313</v>
      </c>
      <c r="AD304" t="s">
        <v>2314</v>
      </c>
      <c r="AE304" t="s">
        <v>2643</v>
      </c>
      <c r="AF304">
        <v>19</v>
      </c>
      <c r="AG304">
        <v>1</v>
      </c>
      <c r="AH304">
        <v>30</v>
      </c>
      <c r="AI304">
        <v>1</v>
      </c>
      <c r="AJ304">
        <v>1</v>
      </c>
      <c r="AK304">
        <v>0</v>
      </c>
      <c r="AL304">
        <v>1</v>
      </c>
      <c r="AM304" s="14">
        <v>0</v>
      </c>
      <c r="AN304" t="s">
        <v>2644</v>
      </c>
      <c r="AO304" s="12">
        <v>46054</v>
      </c>
      <c r="AP304">
        <v>2026</v>
      </c>
      <c r="AQ304">
        <v>2</v>
      </c>
      <c r="AR304" t="s">
        <v>2649</v>
      </c>
    </row>
    <row r="305" spans="1:44">
      <c r="A305" t="s">
        <v>1241</v>
      </c>
      <c r="B305" s="12">
        <v>46066</v>
      </c>
      <c r="C305" s="12">
        <v>46035</v>
      </c>
      <c r="D305" t="s">
        <v>967</v>
      </c>
      <c r="E305" t="s">
        <v>268</v>
      </c>
      <c r="F305" t="s">
        <v>256</v>
      </c>
      <c r="G305" t="s">
        <v>886</v>
      </c>
      <c r="H305" t="s">
        <v>115</v>
      </c>
      <c r="I305" t="s">
        <v>299</v>
      </c>
      <c r="J305" s="13">
        <v>0.625</v>
      </c>
      <c r="K305" s="13">
        <v>0.62638888888888888</v>
      </c>
      <c r="L305" s="13">
        <v>0.625</v>
      </c>
      <c r="M305">
        <v>60</v>
      </c>
      <c r="N305" s="14">
        <v>95</v>
      </c>
      <c r="O305" t="s">
        <v>195</v>
      </c>
      <c r="P305">
        <v>2</v>
      </c>
      <c r="Q305" t="s">
        <v>305</v>
      </c>
      <c r="R305" t="s">
        <v>896</v>
      </c>
      <c r="S305">
        <v>0</v>
      </c>
      <c r="T305">
        <v>0</v>
      </c>
      <c r="U305" t="s">
        <v>2285</v>
      </c>
      <c r="V305" t="s">
        <v>2286</v>
      </c>
      <c r="W305" t="s">
        <v>2287</v>
      </c>
      <c r="X305" t="s">
        <v>2288</v>
      </c>
      <c r="Y305" t="s">
        <v>2289</v>
      </c>
      <c r="Z305" t="s">
        <v>2312</v>
      </c>
      <c r="AA305">
        <v>21</v>
      </c>
      <c r="AB305" s="14">
        <v>95</v>
      </c>
      <c r="AC305" t="s">
        <v>2313</v>
      </c>
      <c r="AD305" t="s">
        <v>2314</v>
      </c>
      <c r="AE305" t="s">
        <v>2643</v>
      </c>
      <c r="AF305">
        <v>31</v>
      </c>
      <c r="AG305">
        <v>0</v>
      </c>
      <c r="AJ305">
        <v>1</v>
      </c>
      <c r="AK305">
        <v>0</v>
      </c>
      <c r="AL305">
        <v>1</v>
      </c>
      <c r="AM305" s="14">
        <v>0</v>
      </c>
      <c r="AN305" t="s">
        <v>2644</v>
      </c>
      <c r="AO305" s="12">
        <v>46054</v>
      </c>
      <c r="AP305">
        <v>2026</v>
      </c>
      <c r="AQ305">
        <v>2</v>
      </c>
      <c r="AR305" t="s">
        <v>2649</v>
      </c>
    </row>
    <row r="306" spans="1:44">
      <c r="A306" t="s">
        <v>1243</v>
      </c>
      <c r="B306" s="12">
        <v>46058</v>
      </c>
      <c r="C306" s="12">
        <v>46045</v>
      </c>
      <c r="D306" t="s">
        <v>460</v>
      </c>
      <c r="E306" t="s">
        <v>268</v>
      </c>
      <c r="F306" t="s">
        <v>297</v>
      </c>
      <c r="G306" t="s">
        <v>628</v>
      </c>
      <c r="H306" t="s">
        <v>115</v>
      </c>
      <c r="I306" t="s">
        <v>258</v>
      </c>
      <c r="J306" s="13">
        <v>0.5</v>
      </c>
      <c r="K306" s="13">
        <v>0.49513888888888891</v>
      </c>
      <c r="L306" s="13">
        <v>0.50347222222222221</v>
      </c>
      <c r="M306">
        <v>45</v>
      </c>
      <c r="N306" s="14">
        <v>65</v>
      </c>
      <c r="O306" t="s">
        <v>195</v>
      </c>
      <c r="P306">
        <v>4</v>
      </c>
      <c r="Q306" t="s">
        <v>262</v>
      </c>
      <c r="R306" t="s">
        <v>896</v>
      </c>
      <c r="S306">
        <v>0</v>
      </c>
      <c r="T306">
        <v>0</v>
      </c>
      <c r="U306" t="s">
        <v>2285</v>
      </c>
      <c r="V306" t="s">
        <v>2286</v>
      </c>
      <c r="W306" t="s">
        <v>2287</v>
      </c>
      <c r="X306" t="s">
        <v>2288</v>
      </c>
      <c r="Y306" t="s">
        <v>2289</v>
      </c>
      <c r="Z306" t="s">
        <v>2306</v>
      </c>
      <c r="AA306">
        <v>7</v>
      </c>
      <c r="AB306" s="14">
        <v>65</v>
      </c>
      <c r="AC306" t="s">
        <v>2307</v>
      </c>
      <c r="AD306" t="s">
        <v>2308</v>
      </c>
      <c r="AE306" t="s">
        <v>2643</v>
      </c>
      <c r="AF306">
        <v>13</v>
      </c>
      <c r="AG306">
        <v>0</v>
      </c>
      <c r="AH306">
        <v>12</v>
      </c>
      <c r="AI306">
        <v>1</v>
      </c>
      <c r="AJ306">
        <v>1</v>
      </c>
      <c r="AK306">
        <v>0</v>
      </c>
      <c r="AL306">
        <v>1</v>
      </c>
      <c r="AM306" s="14">
        <v>0</v>
      </c>
      <c r="AN306" t="s">
        <v>2644</v>
      </c>
      <c r="AO306" s="12">
        <v>46054</v>
      </c>
      <c r="AP306">
        <v>2026</v>
      </c>
      <c r="AQ306">
        <v>2</v>
      </c>
      <c r="AR306" t="s">
        <v>2649</v>
      </c>
    </row>
    <row r="307" spans="1:44">
      <c r="A307" t="s">
        <v>1245</v>
      </c>
      <c r="B307" s="12">
        <v>46065</v>
      </c>
      <c r="C307" s="12">
        <v>46025</v>
      </c>
      <c r="D307" t="s">
        <v>1246</v>
      </c>
      <c r="E307" t="s">
        <v>268</v>
      </c>
      <c r="F307" t="s">
        <v>256</v>
      </c>
      <c r="G307" t="s">
        <v>886</v>
      </c>
      <c r="H307" t="s">
        <v>115</v>
      </c>
      <c r="I307" t="s">
        <v>271</v>
      </c>
      <c r="J307" s="13">
        <v>0.64583333333333337</v>
      </c>
      <c r="K307" s="13">
        <v>0.65347222222222223</v>
      </c>
      <c r="L307" s="13">
        <v>0.65902777777777777</v>
      </c>
      <c r="M307">
        <v>45</v>
      </c>
      <c r="N307" s="14">
        <v>95</v>
      </c>
      <c r="O307" t="s">
        <v>169</v>
      </c>
      <c r="P307">
        <v>5</v>
      </c>
      <c r="Q307" t="s">
        <v>262</v>
      </c>
      <c r="R307" t="s">
        <v>896</v>
      </c>
      <c r="S307">
        <v>0</v>
      </c>
      <c r="T307">
        <v>0</v>
      </c>
      <c r="U307" t="s">
        <v>2285</v>
      </c>
      <c r="V307" t="s">
        <v>2286</v>
      </c>
      <c r="W307" t="s">
        <v>2287</v>
      </c>
      <c r="X307" t="s">
        <v>2288</v>
      </c>
      <c r="Y307" t="s">
        <v>2289</v>
      </c>
      <c r="Z307" t="s">
        <v>2312</v>
      </c>
      <c r="AA307">
        <v>21</v>
      </c>
      <c r="AB307" s="14">
        <v>95</v>
      </c>
      <c r="AC307" t="s">
        <v>2313</v>
      </c>
      <c r="AD307" t="s">
        <v>2314</v>
      </c>
      <c r="AE307" t="s">
        <v>2643</v>
      </c>
      <c r="AF307">
        <v>40</v>
      </c>
      <c r="AG307">
        <v>0</v>
      </c>
      <c r="AH307">
        <v>8</v>
      </c>
      <c r="AI307">
        <v>1</v>
      </c>
      <c r="AJ307">
        <v>1</v>
      </c>
      <c r="AK307">
        <v>0</v>
      </c>
      <c r="AL307">
        <v>1</v>
      </c>
      <c r="AM307" s="14">
        <v>0</v>
      </c>
      <c r="AN307" t="s">
        <v>2644</v>
      </c>
      <c r="AO307" s="12">
        <v>46054</v>
      </c>
      <c r="AP307">
        <v>2026</v>
      </c>
      <c r="AQ307">
        <v>2</v>
      </c>
      <c r="AR307" t="s">
        <v>2649</v>
      </c>
    </row>
    <row r="308" spans="1:44">
      <c r="A308" t="s">
        <v>1249</v>
      </c>
      <c r="B308" s="12">
        <v>46080</v>
      </c>
      <c r="C308" s="12">
        <v>46079</v>
      </c>
      <c r="D308" t="s">
        <v>423</v>
      </c>
      <c r="E308" t="s">
        <v>339</v>
      </c>
      <c r="F308" t="s">
        <v>269</v>
      </c>
      <c r="G308" t="s">
        <v>340</v>
      </c>
      <c r="H308" t="s">
        <v>122</v>
      </c>
      <c r="I308" t="s">
        <v>258</v>
      </c>
      <c r="J308" s="13">
        <v>0.375</v>
      </c>
      <c r="K308" s="13"/>
      <c r="L308" s="13"/>
      <c r="M308">
        <v>0</v>
      </c>
      <c r="O308" t="s">
        <v>169</v>
      </c>
      <c r="Q308" t="s">
        <v>305</v>
      </c>
      <c r="R308" t="s">
        <v>896</v>
      </c>
      <c r="S308">
        <v>0</v>
      </c>
      <c r="T308">
        <v>0</v>
      </c>
      <c r="U308" t="s">
        <v>2294</v>
      </c>
      <c r="V308" t="s">
        <v>2295</v>
      </c>
      <c r="W308" t="s">
        <v>2296</v>
      </c>
      <c r="X308" t="s">
        <v>2297</v>
      </c>
      <c r="Y308" t="s">
        <v>2298</v>
      </c>
      <c r="Z308" t="s">
        <v>2315</v>
      </c>
      <c r="AA308">
        <v>10</v>
      </c>
      <c r="AB308" s="14">
        <v>80</v>
      </c>
      <c r="AC308" t="s">
        <v>2316</v>
      </c>
      <c r="AD308" t="s">
        <v>2317</v>
      </c>
      <c r="AE308" t="s">
        <v>2643</v>
      </c>
      <c r="AF308">
        <v>1</v>
      </c>
      <c r="AG308">
        <v>1</v>
      </c>
      <c r="AJ308">
        <v>1</v>
      </c>
      <c r="AK308">
        <v>1</v>
      </c>
      <c r="AL308">
        <v>0</v>
      </c>
      <c r="AN308" t="s">
        <v>2648</v>
      </c>
      <c r="AO308" s="12">
        <v>46054</v>
      </c>
      <c r="AP308">
        <v>2026</v>
      </c>
      <c r="AQ308">
        <v>2</v>
      </c>
      <c r="AR308" t="s">
        <v>2649</v>
      </c>
    </row>
    <row r="309" spans="1:44">
      <c r="A309" t="s">
        <v>1250</v>
      </c>
      <c r="B309" s="12">
        <v>46065</v>
      </c>
      <c r="C309" s="12">
        <v>46022</v>
      </c>
      <c r="D309" t="s">
        <v>1251</v>
      </c>
      <c r="E309" t="s">
        <v>255</v>
      </c>
      <c r="F309" t="s">
        <v>269</v>
      </c>
      <c r="G309" t="s">
        <v>542</v>
      </c>
      <c r="H309" t="s">
        <v>466</v>
      </c>
      <c r="I309" t="s">
        <v>299</v>
      </c>
      <c r="J309" s="13">
        <v>0.52083333333333337</v>
      </c>
      <c r="K309" s="13"/>
      <c r="L309" s="13"/>
      <c r="M309">
        <v>0</v>
      </c>
      <c r="N309" s="14">
        <v>80</v>
      </c>
      <c r="O309" t="s">
        <v>169</v>
      </c>
      <c r="Q309" t="s">
        <v>326</v>
      </c>
      <c r="R309" t="s">
        <v>896</v>
      </c>
      <c r="S309">
        <v>0</v>
      </c>
      <c r="T309">
        <v>0</v>
      </c>
      <c r="U309" t="s">
        <v>2299</v>
      </c>
      <c r="V309" t="s">
        <v>2295</v>
      </c>
      <c r="W309" t="s">
        <v>2300</v>
      </c>
      <c r="X309" t="s">
        <v>2288</v>
      </c>
      <c r="Y309" t="s">
        <v>2301</v>
      </c>
      <c r="Z309" t="s">
        <v>2315</v>
      </c>
      <c r="AA309">
        <v>10</v>
      </c>
      <c r="AB309" s="14">
        <v>80</v>
      </c>
      <c r="AC309" t="s">
        <v>2316</v>
      </c>
      <c r="AD309" t="s">
        <v>2317</v>
      </c>
      <c r="AE309" t="s">
        <v>2643</v>
      </c>
      <c r="AF309">
        <v>43</v>
      </c>
      <c r="AG309">
        <v>0</v>
      </c>
      <c r="AJ309">
        <v>0</v>
      </c>
      <c r="AL309">
        <v>1</v>
      </c>
      <c r="AM309" s="14">
        <v>0</v>
      </c>
      <c r="AN309" t="s">
        <v>2644</v>
      </c>
      <c r="AO309" s="12">
        <v>46054</v>
      </c>
      <c r="AP309">
        <v>2026</v>
      </c>
      <c r="AQ309">
        <v>2</v>
      </c>
      <c r="AR309" t="s">
        <v>2649</v>
      </c>
    </row>
    <row r="310" spans="1:44">
      <c r="A310" t="s">
        <v>1252</v>
      </c>
      <c r="B310" s="12">
        <v>46057</v>
      </c>
      <c r="C310" s="12">
        <v>46009</v>
      </c>
      <c r="D310" t="s">
        <v>839</v>
      </c>
      <c r="E310" t="s">
        <v>255</v>
      </c>
      <c r="F310" t="s">
        <v>256</v>
      </c>
      <c r="G310" t="s">
        <v>257</v>
      </c>
      <c r="H310" t="s">
        <v>115</v>
      </c>
      <c r="I310" t="s">
        <v>258</v>
      </c>
      <c r="J310" s="13">
        <v>0.54166666666666663</v>
      </c>
      <c r="K310" s="13">
        <v>0.53819444444444442</v>
      </c>
      <c r="L310" s="13">
        <v>0.55138888888888893</v>
      </c>
      <c r="M310">
        <v>45</v>
      </c>
      <c r="N310" s="14">
        <v>95</v>
      </c>
      <c r="O310" t="s">
        <v>169</v>
      </c>
      <c r="P310">
        <v>4</v>
      </c>
      <c r="Q310" t="s">
        <v>305</v>
      </c>
      <c r="R310" t="s">
        <v>896</v>
      </c>
      <c r="S310">
        <v>0</v>
      </c>
      <c r="T310">
        <v>0</v>
      </c>
      <c r="U310" t="s">
        <v>2299</v>
      </c>
      <c r="V310" t="s">
        <v>2295</v>
      </c>
      <c r="W310" t="s">
        <v>2300</v>
      </c>
      <c r="X310" t="s">
        <v>2288</v>
      </c>
      <c r="Y310" t="s">
        <v>2301</v>
      </c>
      <c r="Z310" t="s">
        <v>2312</v>
      </c>
      <c r="AA310">
        <v>21</v>
      </c>
      <c r="AB310" s="14">
        <v>95</v>
      </c>
      <c r="AC310" t="s">
        <v>2313</v>
      </c>
      <c r="AD310" t="s">
        <v>2314</v>
      </c>
      <c r="AE310" t="s">
        <v>2643</v>
      </c>
      <c r="AF310">
        <v>48</v>
      </c>
      <c r="AG310">
        <v>0</v>
      </c>
      <c r="AH310">
        <v>19</v>
      </c>
      <c r="AI310">
        <v>1</v>
      </c>
      <c r="AJ310">
        <v>1</v>
      </c>
      <c r="AK310">
        <v>0</v>
      </c>
      <c r="AL310">
        <v>1</v>
      </c>
      <c r="AM310" s="14">
        <v>0</v>
      </c>
      <c r="AN310" t="s">
        <v>2644</v>
      </c>
      <c r="AO310" s="12">
        <v>46054</v>
      </c>
      <c r="AP310">
        <v>2026</v>
      </c>
      <c r="AQ310">
        <v>2</v>
      </c>
      <c r="AR310" t="s">
        <v>2649</v>
      </c>
    </row>
    <row r="311" spans="1:44">
      <c r="A311" t="s">
        <v>1253</v>
      </c>
      <c r="B311" s="12">
        <v>46072</v>
      </c>
      <c r="C311" s="12">
        <v>46041</v>
      </c>
      <c r="D311" t="s">
        <v>579</v>
      </c>
      <c r="E311" t="s">
        <v>281</v>
      </c>
      <c r="F311" t="s">
        <v>297</v>
      </c>
      <c r="G311" t="s">
        <v>368</v>
      </c>
      <c r="H311" t="s">
        <v>122</v>
      </c>
      <c r="I311" t="s">
        <v>316</v>
      </c>
      <c r="J311" s="13">
        <v>0.4375</v>
      </c>
      <c r="K311" s="13"/>
      <c r="L311" s="13"/>
      <c r="M311">
        <v>0</v>
      </c>
      <c r="N311" s="14">
        <v>65</v>
      </c>
      <c r="O311" t="s">
        <v>169</v>
      </c>
      <c r="Q311" t="s">
        <v>318</v>
      </c>
      <c r="R311" t="s">
        <v>896</v>
      </c>
      <c r="S311">
        <v>0</v>
      </c>
      <c r="T311">
        <v>0</v>
      </c>
      <c r="U311" t="s">
        <v>2290</v>
      </c>
      <c r="V311" t="s">
        <v>2291</v>
      </c>
      <c r="W311" t="s">
        <v>2292</v>
      </c>
      <c r="X311" t="s">
        <v>2288</v>
      </c>
      <c r="Y311" t="s">
        <v>2293</v>
      </c>
      <c r="Z311" t="s">
        <v>2306</v>
      </c>
      <c r="AA311">
        <v>7</v>
      </c>
      <c r="AB311" s="14">
        <v>65</v>
      </c>
      <c r="AC311" t="s">
        <v>2307</v>
      </c>
      <c r="AD311" t="s">
        <v>2308</v>
      </c>
      <c r="AE311" t="s">
        <v>2643</v>
      </c>
      <c r="AF311">
        <v>31</v>
      </c>
      <c r="AG311">
        <v>0</v>
      </c>
      <c r="AJ311">
        <v>1</v>
      </c>
      <c r="AK311">
        <v>1</v>
      </c>
      <c r="AL311">
        <v>1</v>
      </c>
      <c r="AM311" s="14">
        <v>0</v>
      </c>
      <c r="AN311" t="s">
        <v>2644</v>
      </c>
      <c r="AO311" s="12">
        <v>46054</v>
      </c>
      <c r="AP311">
        <v>2026</v>
      </c>
      <c r="AQ311">
        <v>2</v>
      </c>
      <c r="AR311" t="s">
        <v>2649</v>
      </c>
    </row>
    <row r="312" spans="1:44">
      <c r="A312" t="s">
        <v>1254</v>
      </c>
      <c r="B312" s="12">
        <v>46076</v>
      </c>
      <c r="C312" s="12">
        <v>46056</v>
      </c>
      <c r="D312" t="s">
        <v>495</v>
      </c>
      <c r="E312" t="s">
        <v>339</v>
      </c>
      <c r="F312" t="s">
        <v>409</v>
      </c>
      <c r="G312" t="s">
        <v>501</v>
      </c>
      <c r="H312" t="s">
        <v>115</v>
      </c>
      <c r="I312" t="s">
        <v>299</v>
      </c>
      <c r="J312" s="13">
        <v>0.33333333333333331</v>
      </c>
      <c r="K312" s="13">
        <v>0.34444444444444444</v>
      </c>
      <c r="L312" s="13">
        <v>0.3611111111111111</v>
      </c>
      <c r="M312">
        <v>20</v>
      </c>
      <c r="N312" s="14">
        <v>150</v>
      </c>
      <c r="O312" t="s">
        <v>169</v>
      </c>
      <c r="P312">
        <v>5</v>
      </c>
      <c r="Q312" t="s">
        <v>305</v>
      </c>
      <c r="R312" t="s">
        <v>896</v>
      </c>
      <c r="S312">
        <v>0</v>
      </c>
      <c r="T312">
        <v>0</v>
      </c>
      <c r="U312" t="s">
        <v>2294</v>
      </c>
      <c r="V312" t="s">
        <v>2295</v>
      </c>
      <c r="W312" t="s">
        <v>2296</v>
      </c>
      <c r="X312" t="s">
        <v>2297</v>
      </c>
      <c r="Y312" t="s">
        <v>2298</v>
      </c>
      <c r="Z312" t="s">
        <v>2318</v>
      </c>
      <c r="AA312">
        <v>28</v>
      </c>
      <c r="AB312" s="14">
        <v>150</v>
      </c>
      <c r="AC312" t="s">
        <v>2319</v>
      </c>
      <c r="AD312" t="s">
        <v>2320</v>
      </c>
      <c r="AE312" t="s">
        <v>2643</v>
      </c>
      <c r="AF312">
        <v>20</v>
      </c>
      <c r="AG312">
        <v>1</v>
      </c>
      <c r="AH312">
        <v>24</v>
      </c>
      <c r="AI312">
        <v>1</v>
      </c>
      <c r="AJ312">
        <v>1</v>
      </c>
      <c r="AK312">
        <v>0</v>
      </c>
      <c r="AL312">
        <v>1</v>
      </c>
      <c r="AM312" s="14">
        <v>0</v>
      </c>
      <c r="AN312" t="s">
        <v>2644</v>
      </c>
      <c r="AO312" s="12">
        <v>46054</v>
      </c>
      <c r="AP312">
        <v>2026</v>
      </c>
      <c r="AQ312">
        <v>2</v>
      </c>
      <c r="AR312" t="s">
        <v>2649</v>
      </c>
    </row>
    <row r="313" spans="1:44">
      <c r="A313" t="s">
        <v>1257</v>
      </c>
      <c r="B313" s="12">
        <v>46062</v>
      </c>
      <c r="C313" s="12">
        <v>46023</v>
      </c>
      <c r="D313" t="s">
        <v>454</v>
      </c>
      <c r="E313" t="s">
        <v>268</v>
      </c>
      <c r="F313" t="s">
        <v>269</v>
      </c>
      <c r="G313" t="s">
        <v>270</v>
      </c>
      <c r="H313" t="s">
        <v>115</v>
      </c>
      <c r="I313" t="s">
        <v>271</v>
      </c>
      <c r="J313" s="13">
        <v>0.33333333333333331</v>
      </c>
      <c r="K313" s="13">
        <v>0.33541666666666664</v>
      </c>
      <c r="L313" s="13">
        <v>0.35694444444444445</v>
      </c>
      <c r="M313">
        <v>45</v>
      </c>
      <c r="N313" s="14">
        <v>80</v>
      </c>
      <c r="O313" t="s">
        <v>195</v>
      </c>
      <c r="P313">
        <v>2</v>
      </c>
      <c r="Q313" t="s">
        <v>285</v>
      </c>
      <c r="R313" t="s">
        <v>896</v>
      </c>
      <c r="S313">
        <v>0</v>
      </c>
      <c r="T313">
        <v>0</v>
      </c>
      <c r="U313" t="s">
        <v>2285</v>
      </c>
      <c r="V313" t="s">
        <v>2286</v>
      </c>
      <c r="W313" t="s">
        <v>2287</v>
      </c>
      <c r="X313" t="s">
        <v>2288</v>
      </c>
      <c r="Y313" t="s">
        <v>2289</v>
      </c>
      <c r="Z313" t="s">
        <v>2315</v>
      </c>
      <c r="AA313">
        <v>10</v>
      </c>
      <c r="AB313" s="14">
        <v>80</v>
      </c>
      <c r="AC313" t="s">
        <v>2316</v>
      </c>
      <c r="AD313" t="s">
        <v>2317</v>
      </c>
      <c r="AE313" t="s">
        <v>2643</v>
      </c>
      <c r="AF313">
        <v>39</v>
      </c>
      <c r="AG313">
        <v>0</v>
      </c>
      <c r="AH313">
        <v>31</v>
      </c>
      <c r="AI313">
        <v>0</v>
      </c>
      <c r="AJ313">
        <v>1</v>
      </c>
      <c r="AK313">
        <v>0</v>
      </c>
      <c r="AL313">
        <v>1</v>
      </c>
      <c r="AM313" s="14">
        <v>0</v>
      </c>
      <c r="AN313" t="s">
        <v>2644</v>
      </c>
      <c r="AO313" s="12">
        <v>46054</v>
      </c>
      <c r="AP313">
        <v>2026</v>
      </c>
      <c r="AQ313">
        <v>2</v>
      </c>
      <c r="AR313" t="s">
        <v>2649</v>
      </c>
    </row>
    <row r="314" spans="1:44">
      <c r="A314" t="s">
        <v>1259</v>
      </c>
      <c r="B314" s="12">
        <v>46078</v>
      </c>
      <c r="C314" s="12">
        <v>46053</v>
      </c>
      <c r="D314" t="s">
        <v>434</v>
      </c>
      <c r="E314" t="s">
        <v>339</v>
      </c>
      <c r="F314" t="s">
        <v>269</v>
      </c>
      <c r="G314" t="s">
        <v>340</v>
      </c>
      <c r="H314" t="s">
        <v>122</v>
      </c>
      <c r="I314" t="s">
        <v>316</v>
      </c>
      <c r="J314" s="13">
        <v>0.47916666666666669</v>
      </c>
      <c r="K314" s="13"/>
      <c r="L314" s="13"/>
      <c r="M314">
        <v>0</v>
      </c>
      <c r="N314" s="14">
        <v>80</v>
      </c>
      <c r="O314" t="s">
        <v>169</v>
      </c>
      <c r="Q314" t="s">
        <v>305</v>
      </c>
      <c r="R314" t="s">
        <v>896</v>
      </c>
      <c r="S314">
        <v>0</v>
      </c>
      <c r="T314">
        <v>0</v>
      </c>
      <c r="U314" t="s">
        <v>2294</v>
      </c>
      <c r="V314" t="s">
        <v>2295</v>
      </c>
      <c r="W314" t="s">
        <v>2296</v>
      </c>
      <c r="X314" t="s">
        <v>2297</v>
      </c>
      <c r="Y314" t="s">
        <v>2298</v>
      </c>
      <c r="Z314" t="s">
        <v>2315</v>
      </c>
      <c r="AA314">
        <v>10</v>
      </c>
      <c r="AB314" s="14">
        <v>80</v>
      </c>
      <c r="AC314" t="s">
        <v>2316</v>
      </c>
      <c r="AD314" t="s">
        <v>2317</v>
      </c>
      <c r="AE314" t="s">
        <v>2643</v>
      </c>
      <c r="AF314">
        <v>25</v>
      </c>
      <c r="AG314">
        <v>0</v>
      </c>
      <c r="AJ314">
        <v>1</v>
      </c>
      <c r="AK314">
        <v>1</v>
      </c>
      <c r="AL314">
        <v>1</v>
      </c>
      <c r="AM314" s="14">
        <v>0</v>
      </c>
      <c r="AN314" t="s">
        <v>2644</v>
      </c>
      <c r="AO314" s="12">
        <v>46054</v>
      </c>
      <c r="AP314">
        <v>2026</v>
      </c>
      <c r="AQ314">
        <v>2</v>
      </c>
      <c r="AR314" t="s">
        <v>2649</v>
      </c>
    </row>
    <row r="315" spans="1:44">
      <c r="A315" t="s">
        <v>1260</v>
      </c>
      <c r="B315" s="12">
        <v>46062</v>
      </c>
      <c r="C315" s="12">
        <v>46020</v>
      </c>
      <c r="D315" t="s">
        <v>582</v>
      </c>
      <c r="E315" t="s">
        <v>255</v>
      </c>
      <c r="F315" t="s">
        <v>297</v>
      </c>
      <c r="G315" t="s">
        <v>331</v>
      </c>
      <c r="H315" t="s">
        <v>115</v>
      </c>
      <c r="I315" t="s">
        <v>258</v>
      </c>
      <c r="J315" s="13">
        <v>0.66666666666666663</v>
      </c>
      <c r="K315" s="13">
        <v>0.66736111111111107</v>
      </c>
      <c r="L315" s="13">
        <v>0.66736111111111107</v>
      </c>
      <c r="M315">
        <v>20</v>
      </c>
      <c r="N315" s="14">
        <v>65</v>
      </c>
      <c r="O315" t="s">
        <v>169</v>
      </c>
      <c r="P315">
        <v>4</v>
      </c>
      <c r="Q315" t="s">
        <v>305</v>
      </c>
      <c r="R315" t="s">
        <v>896</v>
      </c>
      <c r="S315">
        <v>0</v>
      </c>
      <c r="T315">
        <v>0</v>
      </c>
      <c r="U315" t="s">
        <v>2299</v>
      </c>
      <c r="V315" t="s">
        <v>2295</v>
      </c>
      <c r="W315" t="s">
        <v>2300</v>
      </c>
      <c r="X315" t="s">
        <v>2288</v>
      </c>
      <c r="Y315" t="s">
        <v>2301</v>
      </c>
      <c r="Z315" t="s">
        <v>2306</v>
      </c>
      <c r="AA315">
        <v>7</v>
      </c>
      <c r="AB315" s="14">
        <v>65</v>
      </c>
      <c r="AC315" t="s">
        <v>2307</v>
      </c>
      <c r="AD315" t="s">
        <v>2308</v>
      </c>
      <c r="AE315" t="s">
        <v>2643</v>
      </c>
      <c r="AF315">
        <v>42</v>
      </c>
      <c r="AG315">
        <v>0</v>
      </c>
      <c r="AH315">
        <v>0</v>
      </c>
      <c r="AI315">
        <v>1</v>
      </c>
      <c r="AJ315">
        <v>1</v>
      </c>
      <c r="AK315">
        <v>0</v>
      </c>
      <c r="AL315">
        <v>1</v>
      </c>
      <c r="AM315" s="14">
        <v>0</v>
      </c>
      <c r="AN315" t="s">
        <v>2644</v>
      </c>
      <c r="AO315" s="12">
        <v>46054</v>
      </c>
      <c r="AP315">
        <v>2026</v>
      </c>
      <c r="AQ315">
        <v>2</v>
      </c>
      <c r="AR315" t="s">
        <v>2649</v>
      </c>
    </row>
    <row r="316" spans="1:44">
      <c r="A316" t="s">
        <v>1261</v>
      </c>
      <c r="B316" s="12">
        <v>46080</v>
      </c>
      <c r="C316" s="12">
        <v>46051</v>
      </c>
      <c r="D316" t="s">
        <v>1262</v>
      </c>
      <c r="E316" t="s">
        <v>281</v>
      </c>
      <c r="F316" t="s">
        <v>282</v>
      </c>
      <c r="G316" t="s">
        <v>446</v>
      </c>
      <c r="H316" t="s">
        <v>115</v>
      </c>
      <c r="I316" t="s">
        <v>258</v>
      </c>
      <c r="J316" s="13">
        <v>0.47916666666666669</v>
      </c>
      <c r="K316" s="13">
        <v>0.47847222222222224</v>
      </c>
      <c r="L316" s="13">
        <v>0.50208333333333333</v>
      </c>
      <c r="M316">
        <v>60</v>
      </c>
      <c r="N316" s="14">
        <v>120</v>
      </c>
      <c r="O316" t="s">
        <v>169</v>
      </c>
      <c r="P316">
        <v>4</v>
      </c>
      <c r="Q316" t="s">
        <v>326</v>
      </c>
      <c r="R316" t="s">
        <v>896</v>
      </c>
      <c r="S316">
        <v>0</v>
      </c>
      <c r="T316">
        <v>0</v>
      </c>
      <c r="U316" t="s">
        <v>2290</v>
      </c>
      <c r="V316" t="s">
        <v>2291</v>
      </c>
      <c r="W316" t="s">
        <v>2292</v>
      </c>
      <c r="X316" t="s">
        <v>2288</v>
      </c>
      <c r="Y316" t="s">
        <v>2293</v>
      </c>
      <c r="Z316" t="s">
        <v>2309</v>
      </c>
      <c r="AA316">
        <v>14</v>
      </c>
      <c r="AB316" s="14">
        <v>120</v>
      </c>
      <c r="AC316" t="s">
        <v>2310</v>
      </c>
      <c r="AD316" t="s">
        <v>2311</v>
      </c>
      <c r="AE316" t="s">
        <v>2643</v>
      </c>
      <c r="AF316">
        <v>29</v>
      </c>
      <c r="AG316">
        <v>0</v>
      </c>
      <c r="AH316">
        <v>34</v>
      </c>
      <c r="AI316">
        <v>0</v>
      </c>
      <c r="AJ316">
        <v>1</v>
      </c>
      <c r="AK316">
        <v>0</v>
      </c>
      <c r="AL316">
        <v>1</v>
      </c>
      <c r="AM316" s="14">
        <v>0</v>
      </c>
      <c r="AN316" t="s">
        <v>2644</v>
      </c>
      <c r="AO316" s="12">
        <v>46054</v>
      </c>
      <c r="AP316">
        <v>2026</v>
      </c>
      <c r="AQ316">
        <v>2</v>
      </c>
      <c r="AR316" t="s">
        <v>2649</v>
      </c>
    </row>
    <row r="317" spans="1:44">
      <c r="A317" t="s">
        <v>1264</v>
      </c>
      <c r="B317" s="12">
        <v>46069</v>
      </c>
      <c r="C317" s="12">
        <v>46062</v>
      </c>
      <c r="D317" t="s">
        <v>441</v>
      </c>
      <c r="E317" t="s">
        <v>339</v>
      </c>
      <c r="G317" t="s">
        <v>564</v>
      </c>
      <c r="H317" t="s">
        <v>115</v>
      </c>
      <c r="I317" t="s">
        <v>258</v>
      </c>
      <c r="J317" s="13">
        <v>0.35416666666666669</v>
      </c>
      <c r="K317" s="13">
        <v>0.3527777777777778</v>
      </c>
      <c r="L317" s="13">
        <v>0.3576388888888889</v>
      </c>
      <c r="M317">
        <v>30</v>
      </c>
      <c r="N317" s="14">
        <v>120</v>
      </c>
      <c r="O317" t="s">
        <v>195</v>
      </c>
      <c r="P317">
        <v>3</v>
      </c>
      <c r="Q317" t="s">
        <v>318</v>
      </c>
      <c r="R317" t="s">
        <v>896</v>
      </c>
      <c r="S317">
        <v>0</v>
      </c>
      <c r="T317">
        <v>1</v>
      </c>
      <c r="U317" t="s">
        <v>2294</v>
      </c>
      <c r="V317" t="s">
        <v>2295</v>
      </c>
      <c r="W317" t="s">
        <v>2296</v>
      </c>
      <c r="X317" t="s">
        <v>2297</v>
      </c>
      <c r="Y317" t="s">
        <v>2298</v>
      </c>
      <c r="AE317" t="s">
        <v>2646</v>
      </c>
      <c r="AF317">
        <v>7</v>
      </c>
      <c r="AH317">
        <v>7</v>
      </c>
      <c r="AI317">
        <v>1</v>
      </c>
      <c r="AJ317">
        <v>1</v>
      </c>
      <c r="AK317">
        <v>0</v>
      </c>
      <c r="AL317">
        <v>1</v>
      </c>
      <c r="AN317" t="s">
        <v>2647</v>
      </c>
      <c r="AO317" s="12">
        <v>46054</v>
      </c>
      <c r="AP317">
        <v>2026</v>
      </c>
      <c r="AQ317">
        <v>2</v>
      </c>
      <c r="AR317" t="s">
        <v>2649</v>
      </c>
    </row>
    <row r="318" spans="1:44">
      <c r="A318" t="s">
        <v>1266</v>
      </c>
      <c r="B318" s="12">
        <v>46062</v>
      </c>
      <c r="C318" s="12">
        <v>46028</v>
      </c>
      <c r="D318" t="s">
        <v>1237</v>
      </c>
      <c r="E318" t="s">
        <v>339</v>
      </c>
      <c r="F318" t="s">
        <v>256</v>
      </c>
      <c r="G318" t="s">
        <v>345</v>
      </c>
      <c r="H318" t="s">
        <v>122</v>
      </c>
      <c r="I318" t="s">
        <v>258</v>
      </c>
      <c r="J318" s="13">
        <v>0.33333333333333331</v>
      </c>
      <c r="K318" s="13"/>
      <c r="L318" s="13"/>
      <c r="M318">
        <v>0</v>
      </c>
      <c r="N318" s="14">
        <v>95</v>
      </c>
      <c r="O318" t="s">
        <v>169</v>
      </c>
      <c r="Q318" t="s">
        <v>318</v>
      </c>
      <c r="R318" t="s">
        <v>896</v>
      </c>
      <c r="S318">
        <v>0</v>
      </c>
      <c r="T318">
        <v>0</v>
      </c>
      <c r="U318" t="s">
        <v>2294</v>
      </c>
      <c r="V318" t="s">
        <v>2295</v>
      </c>
      <c r="W318" t="s">
        <v>2296</v>
      </c>
      <c r="X318" t="s">
        <v>2297</v>
      </c>
      <c r="Y318" t="s">
        <v>2298</v>
      </c>
      <c r="Z318" t="s">
        <v>2312</v>
      </c>
      <c r="AA318">
        <v>21</v>
      </c>
      <c r="AB318" s="14">
        <v>95</v>
      </c>
      <c r="AC318" t="s">
        <v>2313</v>
      </c>
      <c r="AD318" t="s">
        <v>2314</v>
      </c>
      <c r="AE318" t="s">
        <v>2643</v>
      </c>
      <c r="AF318">
        <v>34</v>
      </c>
      <c r="AG318">
        <v>0</v>
      </c>
      <c r="AJ318">
        <v>1</v>
      </c>
      <c r="AK318">
        <v>1</v>
      </c>
      <c r="AL318">
        <v>1</v>
      </c>
      <c r="AM318" s="14">
        <v>0</v>
      </c>
      <c r="AN318" t="s">
        <v>2644</v>
      </c>
      <c r="AO318" s="12">
        <v>46054</v>
      </c>
      <c r="AP318">
        <v>2026</v>
      </c>
      <c r="AQ318">
        <v>2</v>
      </c>
      <c r="AR318" t="s">
        <v>2649</v>
      </c>
    </row>
    <row r="319" spans="1:44">
      <c r="A319" t="s">
        <v>1267</v>
      </c>
      <c r="B319" s="12">
        <v>46072</v>
      </c>
      <c r="C319" s="12">
        <v>46038</v>
      </c>
      <c r="D319" t="s">
        <v>1268</v>
      </c>
      <c r="E319" t="s">
        <v>339</v>
      </c>
      <c r="F319" t="s">
        <v>256</v>
      </c>
      <c r="G319" t="s">
        <v>345</v>
      </c>
      <c r="H319" t="s">
        <v>115</v>
      </c>
      <c r="I319" t="s">
        <v>271</v>
      </c>
      <c r="J319" s="13">
        <v>0.375</v>
      </c>
      <c r="K319" s="13">
        <v>0.38124999999999998</v>
      </c>
      <c r="L319" s="13">
        <v>0.39513888888888887</v>
      </c>
      <c r="M319">
        <v>20</v>
      </c>
      <c r="N319" s="14">
        <v>95</v>
      </c>
      <c r="O319" t="s">
        <v>169</v>
      </c>
      <c r="P319">
        <v>2</v>
      </c>
      <c r="Q319" t="s">
        <v>305</v>
      </c>
      <c r="R319" t="s">
        <v>896</v>
      </c>
      <c r="S319">
        <v>0</v>
      </c>
      <c r="T319">
        <v>0</v>
      </c>
      <c r="U319" t="s">
        <v>2294</v>
      </c>
      <c r="V319" t="s">
        <v>2295</v>
      </c>
      <c r="W319" t="s">
        <v>2296</v>
      </c>
      <c r="X319" t="s">
        <v>2297</v>
      </c>
      <c r="Y319" t="s">
        <v>2298</v>
      </c>
      <c r="Z319" t="s">
        <v>2312</v>
      </c>
      <c r="AA319">
        <v>21</v>
      </c>
      <c r="AB319" s="14">
        <v>95</v>
      </c>
      <c r="AC319" t="s">
        <v>2313</v>
      </c>
      <c r="AD319" t="s">
        <v>2314</v>
      </c>
      <c r="AE319" t="s">
        <v>2643</v>
      </c>
      <c r="AF319">
        <v>34</v>
      </c>
      <c r="AG319">
        <v>0</v>
      </c>
      <c r="AH319">
        <v>20</v>
      </c>
      <c r="AI319">
        <v>1</v>
      </c>
      <c r="AJ319">
        <v>1</v>
      </c>
      <c r="AK319">
        <v>0</v>
      </c>
      <c r="AL319">
        <v>1</v>
      </c>
      <c r="AM319" s="14">
        <v>0</v>
      </c>
      <c r="AN319" t="s">
        <v>2644</v>
      </c>
      <c r="AO319" s="12">
        <v>46054</v>
      </c>
      <c r="AP319">
        <v>2026</v>
      </c>
      <c r="AQ319">
        <v>2</v>
      </c>
      <c r="AR319" t="s">
        <v>2649</v>
      </c>
    </row>
    <row r="320" spans="1:44">
      <c r="A320" t="s">
        <v>1271</v>
      </c>
      <c r="B320" s="12">
        <v>46087</v>
      </c>
      <c r="C320" s="12">
        <v>46044</v>
      </c>
      <c r="D320" t="s">
        <v>518</v>
      </c>
      <c r="E320" t="s">
        <v>255</v>
      </c>
      <c r="F320" t="s">
        <v>256</v>
      </c>
      <c r="G320" t="s">
        <v>257</v>
      </c>
      <c r="H320" t="s">
        <v>122</v>
      </c>
      <c r="I320" t="s">
        <v>299</v>
      </c>
      <c r="J320" s="13">
        <v>0.60416666666666663</v>
      </c>
      <c r="K320" s="13"/>
      <c r="L320" s="13"/>
      <c r="M320">
        <v>0</v>
      </c>
      <c r="N320" s="14">
        <v>95</v>
      </c>
      <c r="O320" t="s">
        <v>195</v>
      </c>
      <c r="Q320" t="s">
        <v>326</v>
      </c>
      <c r="R320" t="s">
        <v>1273</v>
      </c>
      <c r="S320">
        <v>0</v>
      </c>
      <c r="T320">
        <v>0</v>
      </c>
      <c r="U320" t="s">
        <v>2299</v>
      </c>
      <c r="V320" t="s">
        <v>2295</v>
      </c>
      <c r="W320" t="s">
        <v>2300</v>
      </c>
      <c r="X320" t="s">
        <v>2288</v>
      </c>
      <c r="Y320" t="s">
        <v>2301</v>
      </c>
      <c r="Z320" t="s">
        <v>2312</v>
      </c>
      <c r="AA320">
        <v>21</v>
      </c>
      <c r="AB320" s="14">
        <v>95</v>
      </c>
      <c r="AC320" t="s">
        <v>2313</v>
      </c>
      <c r="AD320" t="s">
        <v>2314</v>
      </c>
      <c r="AE320" t="s">
        <v>2643</v>
      </c>
      <c r="AF320">
        <v>43</v>
      </c>
      <c r="AG320">
        <v>0</v>
      </c>
      <c r="AJ320">
        <v>1</v>
      </c>
      <c r="AK320">
        <v>1</v>
      </c>
      <c r="AL320">
        <v>1</v>
      </c>
      <c r="AM320" s="14">
        <v>0</v>
      </c>
      <c r="AN320" t="s">
        <v>2644</v>
      </c>
      <c r="AO320" s="12">
        <v>46082</v>
      </c>
      <c r="AP320">
        <v>2026</v>
      </c>
      <c r="AQ320">
        <v>3</v>
      </c>
      <c r="AR320" t="s">
        <v>2650</v>
      </c>
    </row>
    <row r="321" spans="1:44">
      <c r="A321" t="s">
        <v>1274</v>
      </c>
      <c r="B321" s="12">
        <v>46099</v>
      </c>
      <c r="C321" s="12">
        <v>46074</v>
      </c>
      <c r="D321" t="s">
        <v>677</v>
      </c>
      <c r="E321" t="s">
        <v>281</v>
      </c>
      <c r="F321" t="s">
        <v>297</v>
      </c>
      <c r="G321" t="s">
        <v>368</v>
      </c>
      <c r="H321" t="s">
        <v>115</v>
      </c>
      <c r="I321" t="s">
        <v>299</v>
      </c>
      <c r="J321" s="13">
        <v>0.375</v>
      </c>
      <c r="K321" s="13">
        <v>0.37430555555555556</v>
      </c>
      <c r="L321" s="13">
        <v>0.38333333333333336</v>
      </c>
      <c r="M321">
        <v>45</v>
      </c>
      <c r="N321" s="14">
        <v>65</v>
      </c>
      <c r="O321" t="s">
        <v>195</v>
      </c>
      <c r="P321">
        <v>5</v>
      </c>
      <c r="Q321" t="s">
        <v>262</v>
      </c>
      <c r="R321" t="s">
        <v>1273</v>
      </c>
      <c r="S321">
        <v>0</v>
      </c>
      <c r="T321">
        <v>0</v>
      </c>
      <c r="U321" t="s">
        <v>2290</v>
      </c>
      <c r="V321" t="s">
        <v>2291</v>
      </c>
      <c r="W321" t="s">
        <v>2292</v>
      </c>
      <c r="X321" t="s">
        <v>2288</v>
      </c>
      <c r="Y321" t="s">
        <v>2293</v>
      </c>
      <c r="Z321" t="s">
        <v>2306</v>
      </c>
      <c r="AA321">
        <v>7</v>
      </c>
      <c r="AB321" s="14">
        <v>65</v>
      </c>
      <c r="AC321" t="s">
        <v>2307</v>
      </c>
      <c r="AD321" t="s">
        <v>2308</v>
      </c>
      <c r="AE321" t="s">
        <v>2643</v>
      </c>
      <c r="AF321">
        <v>25</v>
      </c>
      <c r="AG321">
        <v>0</v>
      </c>
      <c r="AH321">
        <v>13</v>
      </c>
      <c r="AI321">
        <v>1</v>
      </c>
      <c r="AJ321">
        <v>1</v>
      </c>
      <c r="AK321">
        <v>0</v>
      </c>
      <c r="AL321">
        <v>1</v>
      </c>
      <c r="AM321" s="14">
        <v>0</v>
      </c>
      <c r="AN321" t="s">
        <v>2644</v>
      </c>
      <c r="AO321" s="12">
        <v>46082</v>
      </c>
      <c r="AP321">
        <v>2026</v>
      </c>
      <c r="AQ321">
        <v>3</v>
      </c>
      <c r="AR321" t="s">
        <v>2650</v>
      </c>
    </row>
    <row r="322" spans="1:44">
      <c r="A322" t="s">
        <v>1276</v>
      </c>
      <c r="B322" s="12">
        <v>46093</v>
      </c>
      <c r="C322" s="12">
        <v>46050</v>
      </c>
      <c r="D322" t="s">
        <v>610</v>
      </c>
      <c r="E322" t="s">
        <v>268</v>
      </c>
      <c r="F322" t="s">
        <v>297</v>
      </c>
      <c r="G322" t="s">
        <v>583</v>
      </c>
      <c r="H322" t="s">
        <v>115</v>
      </c>
      <c r="I322" t="s">
        <v>271</v>
      </c>
      <c r="J322" s="13">
        <v>0.375</v>
      </c>
      <c r="K322" s="13">
        <v>0.36875000000000002</v>
      </c>
      <c r="L322" s="13">
        <v>0.39027777777777778</v>
      </c>
      <c r="M322">
        <v>20</v>
      </c>
      <c r="N322" s="14">
        <v>65</v>
      </c>
      <c r="O322" t="s">
        <v>195</v>
      </c>
      <c r="P322">
        <v>3</v>
      </c>
      <c r="Q322" t="s">
        <v>285</v>
      </c>
      <c r="R322" t="s">
        <v>1273</v>
      </c>
      <c r="S322">
        <v>0</v>
      </c>
      <c r="T322">
        <v>0</v>
      </c>
      <c r="U322" t="s">
        <v>2285</v>
      </c>
      <c r="V322" t="s">
        <v>2286</v>
      </c>
      <c r="W322" t="s">
        <v>2287</v>
      </c>
      <c r="X322" t="s">
        <v>2288</v>
      </c>
      <c r="Y322" t="s">
        <v>2289</v>
      </c>
      <c r="Z322" t="s">
        <v>2306</v>
      </c>
      <c r="AA322">
        <v>7</v>
      </c>
      <c r="AB322" s="14">
        <v>65</v>
      </c>
      <c r="AC322" t="s">
        <v>2307</v>
      </c>
      <c r="AD322" t="s">
        <v>2308</v>
      </c>
      <c r="AE322" t="s">
        <v>2643</v>
      </c>
      <c r="AF322">
        <v>43</v>
      </c>
      <c r="AG322">
        <v>0</v>
      </c>
      <c r="AH322">
        <v>31</v>
      </c>
      <c r="AI322">
        <v>0</v>
      </c>
      <c r="AJ322">
        <v>1</v>
      </c>
      <c r="AK322">
        <v>0</v>
      </c>
      <c r="AL322">
        <v>1</v>
      </c>
      <c r="AM322" s="14">
        <v>0</v>
      </c>
      <c r="AN322" t="s">
        <v>2644</v>
      </c>
      <c r="AO322" s="12">
        <v>46082</v>
      </c>
      <c r="AP322">
        <v>2026</v>
      </c>
      <c r="AQ322">
        <v>3</v>
      </c>
      <c r="AR322" t="s">
        <v>2650</v>
      </c>
    </row>
    <row r="323" spans="1:44">
      <c r="A323" t="s">
        <v>1278</v>
      </c>
      <c r="B323" s="12">
        <v>46098</v>
      </c>
      <c r="C323" s="12">
        <v>46045</v>
      </c>
      <c r="D323" t="s">
        <v>1280</v>
      </c>
      <c r="E323" t="s">
        <v>268</v>
      </c>
      <c r="F323" t="s">
        <v>256</v>
      </c>
      <c r="G323" t="s">
        <v>886</v>
      </c>
      <c r="H323" t="s">
        <v>115</v>
      </c>
      <c r="I323" t="s">
        <v>316</v>
      </c>
      <c r="J323" s="13">
        <v>0.45833333333333331</v>
      </c>
      <c r="K323" s="13">
        <v>0.45347222222222222</v>
      </c>
      <c r="L323" s="13">
        <v>0.48472222222222222</v>
      </c>
      <c r="M323">
        <v>20</v>
      </c>
      <c r="N323" s="14">
        <v>95</v>
      </c>
      <c r="O323" t="s">
        <v>169</v>
      </c>
      <c r="P323">
        <v>5</v>
      </c>
      <c r="Q323" t="s">
        <v>326</v>
      </c>
      <c r="R323" t="s">
        <v>1273</v>
      </c>
      <c r="S323">
        <v>0</v>
      </c>
      <c r="T323">
        <v>0</v>
      </c>
      <c r="U323" t="s">
        <v>2285</v>
      </c>
      <c r="V323" t="s">
        <v>2286</v>
      </c>
      <c r="W323" t="s">
        <v>2287</v>
      </c>
      <c r="X323" t="s">
        <v>2288</v>
      </c>
      <c r="Y323" t="s">
        <v>2289</v>
      </c>
      <c r="Z323" t="s">
        <v>2312</v>
      </c>
      <c r="AA323">
        <v>21</v>
      </c>
      <c r="AB323" s="14">
        <v>95</v>
      </c>
      <c r="AC323" t="s">
        <v>2313</v>
      </c>
      <c r="AD323" t="s">
        <v>2314</v>
      </c>
      <c r="AE323" t="s">
        <v>2643</v>
      </c>
      <c r="AF323">
        <v>53</v>
      </c>
      <c r="AG323">
        <v>0</v>
      </c>
      <c r="AH323">
        <v>45</v>
      </c>
      <c r="AI323">
        <v>0</v>
      </c>
      <c r="AJ323">
        <v>1</v>
      </c>
      <c r="AK323">
        <v>0</v>
      </c>
      <c r="AL323">
        <v>1</v>
      </c>
      <c r="AM323" s="14">
        <v>0</v>
      </c>
      <c r="AN323" t="s">
        <v>2644</v>
      </c>
      <c r="AO323" s="12">
        <v>46082</v>
      </c>
      <c r="AP323">
        <v>2026</v>
      </c>
      <c r="AQ323">
        <v>3</v>
      </c>
      <c r="AR323" t="s">
        <v>2650</v>
      </c>
    </row>
    <row r="324" spans="1:44">
      <c r="A324" t="s">
        <v>1282</v>
      </c>
      <c r="B324" s="12">
        <v>46082</v>
      </c>
      <c r="C324" s="12">
        <v>46068</v>
      </c>
      <c r="D324" t="s">
        <v>1193</v>
      </c>
      <c r="E324" t="s">
        <v>255</v>
      </c>
      <c r="F324" t="s">
        <v>409</v>
      </c>
      <c r="G324" t="s">
        <v>648</v>
      </c>
      <c r="H324" t="s">
        <v>122</v>
      </c>
      <c r="I324" t="s">
        <v>258</v>
      </c>
      <c r="J324" s="13">
        <v>0.66666666666666663</v>
      </c>
      <c r="K324" s="13"/>
      <c r="L324" s="13"/>
      <c r="M324">
        <v>0</v>
      </c>
      <c r="N324" s="14">
        <v>150</v>
      </c>
      <c r="O324" t="s">
        <v>195</v>
      </c>
      <c r="Q324" t="s">
        <v>262</v>
      </c>
      <c r="R324" t="s">
        <v>1273</v>
      </c>
      <c r="S324">
        <v>0</v>
      </c>
      <c r="T324">
        <v>0</v>
      </c>
      <c r="U324" t="s">
        <v>2299</v>
      </c>
      <c r="V324" t="s">
        <v>2295</v>
      </c>
      <c r="W324" t="s">
        <v>2300</v>
      </c>
      <c r="X324" t="s">
        <v>2288</v>
      </c>
      <c r="Y324" t="s">
        <v>2301</v>
      </c>
      <c r="Z324" t="s">
        <v>2318</v>
      </c>
      <c r="AA324">
        <v>28</v>
      </c>
      <c r="AB324" s="14">
        <v>150</v>
      </c>
      <c r="AC324" t="s">
        <v>2319</v>
      </c>
      <c r="AD324" t="s">
        <v>2320</v>
      </c>
      <c r="AE324" t="s">
        <v>2643</v>
      </c>
      <c r="AF324">
        <v>14</v>
      </c>
      <c r="AG324">
        <v>1</v>
      </c>
      <c r="AJ324">
        <v>1</v>
      </c>
      <c r="AK324">
        <v>1</v>
      </c>
      <c r="AL324">
        <v>1</v>
      </c>
      <c r="AM324" s="14">
        <v>0</v>
      </c>
      <c r="AN324" t="s">
        <v>2644</v>
      </c>
      <c r="AO324" s="12">
        <v>46082</v>
      </c>
      <c r="AP324">
        <v>2026</v>
      </c>
      <c r="AQ324">
        <v>3</v>
      </c>
      <c r="AR324" t="s">
        <v>2650</v>
      </c>
    </row>
    <row r="325" spans="1:44">
      <c r="A325" t="s">
        <v>1284</v>
      </c>
      <c r="B325" s="12">
        <v>46086</v>
      </c>
      <c r="C325" s="12">
        <v>46052</v>
      </c>
      <c r="D325" t="s">
        <v>579</v>
      </c>
      <c r="E325" t="s">
        <v>339</v>
      </c>
      <c r="F325" t="s">
        <v>409</v>
      </c>
      <c r="G325" t="s">
        <v>476</v>
      </c>
      <c r="H325" t="s">
        <v>115</v>
      </c>
      <c r="I325" t="s">
        <v>271</v>
      </c>
      <c r="J325" s="13">
        <v>0.52083333333333337</v>
      </c>
      <c r="K325" s="13">
        <v>0.53194444444444444</v>
      </c>
      <c r="L325" s="13">
        <v>0.53819444444444442</v>
      </c>
      <c r="M325">
        <v>45</v>
      </c>
      <c r="N325" s="14">
        <v>150</v>
      </c>
      <c r="O325" t="s">
        <v>169</v>
      </c>
      <c r="P325">
        <v>4</v>
      </c>
      <c r="Q325" t="s">
        <v>305</v>
      </c>
      <c r="R325" t="s">
        <v>1273</v>
      </c>
      <c r="S325">
        <v>0</v>
      </c>
      <c r="T325">
        <v>0</v>
      </c>
      <c r="U325" t="s">
        <v>2294</v>
      </c>
      <c r="V325" t="s">
        <v>2295</v>
      </c>
      <c r="W325" t="s">
        <v>2296</v>
      </c>
      <c r="X325" t="s">
        <v>2297</v>
      </c>
      <c r="Y325" t="s">
        <v>2298</v>
      </c>
      <c r="Z325" t="s">
        <v>2318</v>
      </c>
      <c r="AA325">
        <v>28</v>
      </c>
      <c r="AB325" s="14">
        <v>150</v>
      </c>
      <c r="AC325" t="s">
        <v>2319</v>
      </c>
      <c r="AD325" t="s">
        <v>2320</v>
      </c>
      <c r="AE325" t="s">
        <v>2643</v>
      </c>
      <c r="AF325">
        <v>34</v>
      </c>
      <c r="AG325">
        <v>0</v>
      </c>
      <c r="AH325">
        <v>9</v>
      </c>
      <c r="AI325">
        <v>1</v>
      </c>
      <c r="AJ325">
        <v>1</v>
      </c>
      <c r="AK325">
        <v>0</v>
      </c>
      <c r="AL325">
        <v>1</v>
      </c>
      <c r="AM325" s="14">
        <v>0</v>
      </c>
      <c r="AN325" t="s">
        <v>2644</v>
      </c>
      <c r="AO325" s="12">
        <v>46082</v>
      </c>
      <c r="AP325">
        <v>2026</v>
      </c>
      <c r="AQ325">
        <v>3</v>
      </c>
      <c r="AR325" t="s">
        <v>2650</v>
      </c>
    </row>
    <row r="326" spans="1:44">
      <c r="A326" t="s">
        <v>1287</v>
      </c>
      <c r="B326" s="12">
        <v>46091</v>
      </c>
      <c r="C326" s="12">
        <v>46041</v>
      </c>
      <c r="D326" t="s">
        <v>795</v>
      </c>
      <c r="E326" t="s">
        <v>268</v>
      </c>
      <c r="F326" t="s">
        <v>409</v>
      </c>
      <c r="G326" t="s">
        <v>552</v>
      </c>
      <c r="H326" t="s">
        <v>122</v>
      </c>
      <c r="I326" t="s">
        <v>299</v>
      </c>
      <c r="J326" s="13">
        <v>0.58333333333333337</v>
      </c>
      <c r="K326" s="13"/>
      <c r="L326" s="13"/>
      <c r="M326">
        <v>0</v>
      </c>
      <c r="N326" s="14">
        <v>150</v>
      </c>
      <c r="O326" t="s">
        <v>195</v>
      </c>
      <c r="Q326" t="s">
        <v>305</v>
      </c>
      <c r="R326" t="s">
        <v>1273</v>
      </c>
      <c r="S326">
        <v>0</v>
      </c>
      <c r="T326">
        <v>0</v>
      </c>
      <c r="U326" t="s">
        <v>2285</v>
      </c>
      <c r="V326" t="s">
        <v>2286</v>
      </c>
      <c r="W326" t="s">
        <v>2287</v>
      </c>
      <c r="X326" t="s">
        <v>2288</v>
      </c>
      <c r="Y326" t="s">
        <v>2289</v>
      </c>
      <c r="Z326" t="s">
        <v>2318</v>
      </c>
      <c r="AA326">
        <v>28</v>
      </c>
      <c r="AB326" s="14">
        <v>150</v>
      </c>
      <c r="AC326" t="s">
        <v>2319</v>
      </c>
      <c r="AD326" t="s">
        <v>2320</v>
      </c>
      <c r="AE326" t="s">
        <v>2643</v>
      </c>
      <c r="AF326">
        <v>50</v>
      </c>
      <c r="AG326">
        <v>0</v>
      </c>
      <c r="AJ326">
        <v>1</v>
      </c>
      <c r="AK326">
        <v>1</v>
      </c>
      <c r="AL326">
        <v>1</v>
      </c>
      <c r="AM326" s="14">
        <v>0</v>
      </c>
      <c r="AN326" t="s">
        <v>2644</v>
      </c>
      <c r="AO326" s="12">
        <v>46082</v>
      </c>
      <c r="AP326">
        <v>2026</v>
      </c>
      <c r="AQ326">
        <v>3</v>
      </c>
      <c r="AR326" t="s">
        <v>2650</v>
      </c>
    </row>
    <row r="327" spans="1:44">
      <c r="A327" t="s">
        <v>1289</v>
      </c>
      <c r="B327" s="12">
        <v>46085</v>
      </c>
      <c r="C327" s="12">
        <v>46036</v>
      </c>
      <c r="D327" t="s">
        <v>1097</v>
      </c>
      <c r="E327" t="s">
        <v>255</v>
      </c>
      <c r="F327" t="s">
        <v>256</v>
      </c>
      <c r="G327" t="s">
        <v>398</v>
      </c>
      <c r="H327" t="s">
        <v>115</v>
      </c>
      <c r="I327" t="s">
        <v>316</v>
      </c>
      <c r="J327" s="13">
        <v>0.54166666666666663</v>
      </c>
      <c r="K327" s="13">
        <v>0.53680555555555554</v>
      </c>
      <c r="L327" s="13">
        <v>0.54513888888888884</v>
      </c>
      <c r="M327">
        <v>30</v>
      </c>
      <c r="N327" s="14">
        <v>95</v>
      </c>
      <c r="O327" t="s">
        <v>169</v>
      </c>
      <c r="P327">
        <v>5</v>
      </c>
      <c r="Q327" t="s">
        <v>326</v>
      </c>
      <c r="R327" t="s">
        <v>1273</v>
      </c>
      <c r="S327">
        <v>0</v>
      </c>
      <c r="T327">
        <v>0</v>
      </c>
      <c r="U327" t="s">
        <v>2299</v>
      </c>
      <c r="V327" t="s">
        <v>2295</v>
      </c>
      <c r="W327" t="s">
        <v>2300</v>
      </c>
      <c r="X327" t="s">
        <v>2288</v>
      </c>
      <c r="Y327" t="s">
        <v>2301</v>
      </c>
      <c r="Z327" t="s">
        <v>2312</v>
      </c>
      <c r="AA327">
        <v>21</v>
      </c>
      <c r="AB327" s="14">
        <v>95</v>
      </c>
      <c r="AC327" t="s">
        <v>2313</v>
      </c>
      <c r="AD327" t="s">
        <v>2314</v>
      </c>
      <c r="AE327" t="s">
        <v>2643</v>
      </c>
      <c r="AF327">
        <v>49</v>
      </c>
      <c r="AG327">
        <v>0</v>
      </c>
      <c r="AH327">
        <v>12</v>
      </c>
      <c r="AI327">
        <v>1</v>
      </c>
      <c r="AJ327">
        <v>1</v>
      </c>
      <c r="AK327">
        <v>0</v>
      </c>
      <c r="AL327">
        <v>1</v>
      </c>
      <c r="AM327" s="14">
        <v>0</v>
      </c>
      <c r="AN327" t="s">
        <v>2644</v>
      </c>
      <c r="AO327" s="12">
        <v>46082</v>
      </c>
      <c r="AP327">
        <v>2026</v>
      </c>
      <c r="AQ327">
        <v>3</v>
      </c>
      <c r="AR327" t="s">
        <v>2650</v>
      </c>
    </row>
    <row r="328" spans="1:44">
      <c r="A328" t="s">
        <v>1291</v>
      </c>
      <c r="B328" s="12">
        <v>46109</v>
      </c>
      <c r="C328" s="12">
        <v>46054</v>
      </c>
      <c r="D328" t="s">
        <v>634</v>
      </c>
      <c r="E328" t="s">
        <v>281</v>
      </c>
      <c r="F328" t="s">
        <v>282</v>
      </c>
      <c r="G328" t="s">
        <v>446</v>
      </c>
      <c r="H328" t="s">
        <v>115</v>
      </c>
      <c r="I328" t="s">
        <v>316</v>
      </c>
      <c r="J328" s="13">
        <v>0.45833333333333331</v>
      </c>
      <c r="K328" s="13">
        <v>0.46041666666666664</v>
      </c>
      <c r="L328" s="13">
        <v>0.46666666666666667</v>
      </c>
      <c r="M328">
        <v>30</v>
      </c>
      <c r="N328" s="14">
        <v>120</v>
      </c>
      <c r="O328" t="s">
        <v>195</v>
      </c>
      <c r="P328">
        <v>5</v>
      </c>
      <c r="Q328" t="s">
        <v>262</v>
      </c>
      <c r="R328" t="s">
        <v>1273</v>
      </c>
      <c r="S328">
        <v>0</v>
      </c>
      <c r="T328">
        <v>0</v>
      </c>
      <c r="U328" t="s">
        <v>2290</v>
      </c>
      <c r="V328" t="s">
        <v>2291</v>
      </c>
      <c r="W328" t="s">
        <v>2292</v>
      </c>
      <c r="X328" t="s">
        <v>2288</v>
      </c>
      <c r="Y328" t="s">
        <v>2293</v>
      </c>
      <c r="Z328" t="s">
        <v>2309</v>
      </c>
      <c r="AA328">
        <v>14</v>
      </c>
      <c r="AB328" s="14">
        <v>120</v>
      </c>
      <c r="AC328" t="s">
        <v>2310</v>
      </c>
      <c r="AD328" t="s">
        <v>2311</v>
      </c>
      <c r="AE328" t="s">
        <v>2643</v>
      </c>
      <c r="AF328">
        <v>55</v>
      </c>
      <c r="AG328">
        <v>0</v>
      </c>
      <c r="AH328">
        <v>9</v>
      </c>
      <c r="AI328">
        <v>1</v>
      </c>
      <c r="AJ328">
        <v>1</v>
      </c>
      <c r="AK328">
        <v>0</v>
      </c>
      <c r="AL328">
        <v>1</v>
      </c>
      <c r="AM328" s="14">
        <v>0</v>
      </c>
      <c r="AN328" t="s">
        <v>2644</v>
      </c>
      <c r="AO328" s="12">
        <v>46082</v>
      </c>
      <c r="AP328">
        <v>2026</v>
      </c>
      <c r="AQ328">
        <v>3</v>
      </c>
      <c r="AR328" t="s">
        <v>2650</v>
      </c>
    </row>
    <row r="329" spans="1:44">
      <c r="A329" t="s">
        <v>1294</v>
      </c>
      <c r="B329" s="12">
        <v>46091</v>
      </c>
      <c r="C329" s="12">
        <v>46054</v>
      </c>
      <c r="D329" t="s">
        <v>845</v>
      </c>
      <c r="E329" t="s">
        <v>268</v>
      </c>
      <c r="F329" t="s">
        <v>256</v>
      </c>
      <c r="G329" t="s">
        <v>419</v>
      </c>
      <c r="H329" t="s">
        <v>115</v>
      </c>
      <c r="I329" t="s">
        <v>271</v>
      </c>
      <c r="J329" s="13">
        <v>0.39583333333333331</v>
      </c>
      <c r="K329" s="13">
        <v>0.40555555555555556</v>
      </c>
      <c r="L329" s="13">
        <v>0.39791666666666664</v>
      </c>
      <c r="M329">
        <v>45</v>
      </c>
      <c r="N329" s="14">
        <v>95</v>
      </c>
      <c r="O329" t="s">
        <v>169</v>
      </c>
      <c r="P329">
        <v>5</v>
      </c>
      <c r="Q329" t="s">
        <v>285</v>
      </c>
      <c r="R329" t="s">
        <v>1273</v>
      </c>
      <c r="S329">
        <v>0</v>
      </c>
      <c r="T329">
        <v>0</v>
      </c>
      <c r="U329" t="s">
        <v>2285</v>
      </c>
      <c r="V329" t="s">
        <v>2286</v>
      </c>
      <c r="W329" t="s">
        <v>2287</v>
      </c>
      <c r="X329" t="s">
        <v>2288</v>
      </c>
      <c r="Y329" t="s">
        <v>2289</v>
      </c>
      <c r="Z329" t="s">
        <v>2312</v>
      </c>
      <c r="AA329">
        <v>21</v>
      </c>
      <c r="AB329" s="14">
        <v>95</v>
      </c>
      <c r="AC329" t="s">
        <v>2313</v>
      </c>
      <c r="AD329" t="s">
        <v>2314</v>
      </c>
      <c r="AE329" t="s">
        <v>2643</v>
      </c>
      <c r="AF329">
        <v>37</v>
      </c>
      <c r="AG329">
        <v>0</v>
      </c>
      <c r="AJ329">
        <v>1</v>
      </c>
      <c r="AK329">
        <v>0</v>
      </c>
      <c r="AL329">
        <v>1</v>
      </c>
      <c r="AM329" s="14">
        <v>0</v>
      </c>
      <c r="AN329" t="s">
        <v>2644</v>
      </c>
      <c r="AO329" s="12">
        <v>46082</v>
      </c>
      <c r="AP329">
        <v>2026</v>
      </c>
      <c r="AQ329">
        <v>3</v>
      </c>
      <c r="AR329" t="s">
        <v>2650</v>
      </c>
    </row>
    <row r="330" spans="1:44">
      <c r="A330" t="s">
        <v>1295</v>
      </c>
      <c r="B330" s="12">
        <v>46089</v>
      </c>
      <c r="C330" s="12">
        <v>46034</v>
      </c>
      <c r="D330" t="s">
        <v>1297</v>
      </c>
      <c r="E330" t="s">
        <v>268</v>
      </c>
      <c r="F330" t="s">
        <v>297</v>
      </c>
      <c r="G330" t="s">
        <v>628</v>
      </c>
      <c r="H330" t="s">
        <v>115</v>
      </c>
      <c r="I330" t="s">
        <v>316</v>
      </c>
      <c r="J330" s="13">
        <v>0.54166666666666663</v>
      </c>
      <c r="K330" s="13">
        <v>0.54236111111111107</v>
      </c>
      <c r="L330" s="13">
        <v>0.54166666666666663</v>
      </c>
      <c r="M330">
        <v>45</v>
      </c>
      <c r="N330" s="14">
        <v>65</v>
      </c>
      <c r="O330" t="s">
        <v>195</v>
      </c>
      <c r="P330">
        <v>5</v>
      </c>
      <c r="Q330" t="s">
        <v>285</v>
      </c>
      <c r="R330" t="s">
        <v>1273</v>
      </c>
      <c r="S330">
        <v>0</v>
      </c>
      <c r="T330">
        <v>0</v>
      </c>
      <c r="U330" t="s">
        <v>2285</v>
      </c>
      <c r="V330" t="s">
        <v>2286</v>
      </c>
      <c r="W330" t="s">
        <v>2287</v>
      </c>
      <c r="X330" t="s">
        <v>2288</v>
      </c>
      <c r="Y330" t="s">
        <v>2289</v>
      </c>
      <c r="Z330" t="s">
        <v>2306</v>
      </c>
      <c r="AA330">
        <v>7</v>
      </c>
      <c r="AB330" s="14">
        <v>65</v>
      </c>
      <c r="AC330" t="s">
        <v>2307</v>
      </c>
      <c r="AD330" t="s">
        <v>2308</v>
      </c>
      <c r="AE330" t="s">
        <v>2643</v>
      </c>
      <c r="AF330">
        <v>55</v>
      </c>
      <c r="AG330">
        <v>0</v>
      </c>
      <c r="AJ330">
        <v>1</v>
      </c>
      <c r="AK330">
        <v>0</v>
      </c>
      <c r="AL330">
        <v>1</v>
      </c>
      <c r="AM330" s="14">
        <v>0</v>
      </c>
      <c r="AN330" t="s">
        <v>2644</v>
      </c>
      <c r="AO330" s="12">
        <v>46082</v>
      </c>
      <c r="AP330">
        <v>2026</v>
      </c>
      <c r="AQ330">
        <v>3</v>
      </c>
      <c r="AR330" t="s">
        <v>2650</v>
      </c>
    </row>
    <row r="331" spans="1:44">
      <c r="A331" t="s">
        <v>1298</v>
      </c>
      <c r="B331" s="12">
        <v>46091</v>
      </c>
      <c r="C331" s="12">
        <v>46085</v>
      </c>
      <c r="D331" t="s">
        <v>1299</v>
      </c>
      <c r="E331" t="s">
        <v>281</v>
      </c>
      <c r="F331" t="s">
        <v>269</v>
      </c>
      <c r="G331" t="s">
        <v>322</v>
      </c>
      <c r="H331" t="s">
        <v>115</v>
      </c>
      <c r="I331" t="s">
        <v>299</v>
      </c>
      <c r="J331" s="13">
        <v>0.5625</v>
      </c>
      <c r="K331" s="13">
        <v>0.56736111111111109</v>
      </c>
      <c r="L331" s="13">
        <v>0.57152777777777775</v>
      </c>
      <c r="M331">
        <v>45</v>
      </c>
      <c r="N331" s="14">
        <v>80</v>
      </c>
      <c r="O331" t="s">
        <v>195</v>
      </c>
      <c r="P331">
        <v>4</v>
      </c>
      <c r="Q331" t="s">
        <v>305</v>
      </c>
      <c r="R331" t="s">
        <v>1273</v>
      </c>
      <c r="S331">
        <v>0</v>
      </c>
      <c r="T331">
        <v>0</v>
      </c>
      <c r="U331" t="s">
        <v>2290</v>
      </c>
      <c r="V331" t="s">
        <v>2291</v>
      </c>
      <c r="W331" t="s">
        <v>2292</v>
      </c>
      <c r="X331" t="s">
        <v>2288</v>
      </c>
      <c r="Y331" t="s">
        <v>2293</v>
      </c>
      <c r="Z331" t="s">
        <v>2315</v>
      </c>
      <c r="AA331">
        <v>10</v>
      </c>
      <c r="AB331" s="14">
        <v>80</v>
      </c>
      <c r="AC331" t="s">
        <v>2316</v>
      </c>
      <c r="AD331" t="s">
        <v>2317</v>
      </c>
      <c r="AE331" t="s">
        <v>2643</v>
      </c>
      <c r="AF331">
        <v>6</v>
      </c>
      <c r="AG331">
        <v>1</v>
      </c>
      <c r="AH331">
        <v>6</v>
      </c>
      <c r="AI331">
        <v>1</v>
      </c>
      <c r="AJ331">
        <v>1</v>
      </c>
      <c r="AK331">
        <v>0</v>
      </c>
      <c r="AL331">
        <v>1</v>
      </c>
      <c r="AM331" s="14">
        <v>0</v>
      </c>
      <c r="AN331" t="s">
        <v>2644</v>
      </c>
      <c r="AO331" s="12">
        <v>46082</v>
      </c>
      <c r="AP331">
        <v>2026</v>
      </c>
      <c r="AQ331">
        <v>3</v>
      </c>
      <c r="AR331" t="s">
        <v>2650</v>
      </c>
    </row>
    <row r="332" spans="1:44">
      <c r="A332" t="s">
        <v>1301</v>
      </c>
      <c r="B332" s="12">
        <v>46082</v>
      </c>
      <c r="C332" s="12">
        <v>46073</v>
      </c>
      <c r="D332" t="s">
        <v>1302</v>
      </c>
      <c r="E332" t="s">
        <v>255</v>
      </c>
      <c r="F332" t="s">
        <v>256</v>
      </c>
      <c r="G332" t="s">
        <v>398</v>
      </c>
      <c r="H332" t="s">
        <v>115</v>
      </c>
      <c r="I332" t="s">
        <v>271</v>
      </c>
      <c r="J332" s="13">
        <v>0.60416666666666663</v>
      </c>
      <c r="K332" s="13">
        <v>0.60277777777777775</v>
      </c>
      <c r="L332" s="13">
        <v>0.60902777777777772</v>
      </c>
      <c r="M332">
        <v>45</v>
      </c>
      <c r="N332" s="14">
        <v>95</v>
      </c>
      <c r="O332" t="s">
        <v>195</v>
      </c>
      <c r="P332">
        <v>2</v>
      </c>
      <c r="Q332" t="s">
        <v>305</v>
      </c>
      <c r="R332" t="s">
        <v>1273</v>
      </c>
      <c r="S332">
        <v>0</v>
      </c>
      <c r="T332">
        <v>0</v>
      </c>
      <c r="U332" t="s">
        <v>2299</v>
      </c>
      <c r="V332" t="s">
        <v>2295</v>
      </c>
      <c r="W332" t="s">
        <v>2300</v>
      </c>
      <c r="X332" t="s">
        <v>2288</v>
      </c>
      <c r="Y332" t="s">
        <v>2301</v>
      </c>
      <c r="Z332" t="s">
        <v>2312</v>
      </c>
      <c r="AA332">
        <v>21</v>
      </c>
      <c r="AB332" s="14">
        <v>95</v>
      </c>
      <c r="AC332" t="s">
        <v>2313</v>
      </c>
      <c r="AD332" t="s">
        <v>2314</v>
      </c>
      <c r="AE332" t="s">
        <v>2643</v>
      </c>
      <c r="AF332">
        <v>9</v>
      </c>
      <c r="AG332">
        <v>1</v>
      </c>
      <c r="AH332">
        <v>9</v>
      </c>
      <c r="AI332">
        <v>1</v>
      </c>
      <c r="AJ332">
        <v>1</v>
      </c>
      <c r="AK332">
        <v>0</v>
      </c>
      <c r="AL332">
        <v>1</v>
      </c>
      <c r="AM332" s="14">
        <v>0</v>
      </c>
      <c r="AN332" t="s">
        <v>2644</v>
      </c>
      <c r="AO332" s="12">
        <v>46082</v>
      </c>
      <c r="AP332">
        <v>2026</v>
      </c>
      <c r="AQ332">
        <v>3</v>
      </c>
      <c r="AR332" t="s">
        <v>2650</v>
      </c>
    </row>
    <row r="333" spans="1:44">
      <c r="A333" t="s">
        <v>1304</v>
      </c>
      <c r="B333" s="12">
        <v>46104</v>
      </c>
      <c r="C333" s="12">
        <v>46055</v>
      </c>
      <c r="D333" t="s">
        <v>882</v>
      </c>
      <c r="E333" t="s">
        <v>339</v>
      </c>
      <c r="F333" t="s">
        <v>282</v>
      </c>
      <c r="G333" t="s">
        <v>461</v>
      </c>
      <c r="H333" t="s">
        <v>115</v>
      </c>
      <c r="I333" t="s">
        <v>271</v>
      </c>
      <c r="J333" s="13">
        <v>0.45833333333333331</v>
      </c>
      <c r="K333" s="13">
        <v>0.45555555555555555</v>
      </c>
      <c r="L333" s="13">
        <v>0.48541666666666666</v>
      </c>
      <c r="M333">
        <v>30</v>
      </c>
      <c r="N333" s="14">
        <v>120</v>
      </c>
      <c r="O333" t="s">
        <v>195</v>
      </c>
      <c r="P333">
        <v>5</v>
      </c>
      <c r="Q333" t="s">
        <v>318</v>
      </c>
      <c r="R333" t="s">
        <v>1273</v>
      </c>
      <c r="S333">
        <v>0</v>
      </c>
      <c r="T333">
        <v>0</v>
      </c>
      <c r="U333" t="s">
        <v>2294</v>
      </c>
      <c r="V333" t="s">
        <v>2295</v>
      </c>
      <c r="W333" t="s">
        <v>2296</v>
      </c>
      <c r="X333" t="s">
        <v>2297</v>
      </c>
      <c r="Y333" t="s">
        <v>2298</v>
      </c>
      <c r="Z333" t="s">
        <v>2309</v>
      </c>
      <c r="AA333">
        <v>14</v>
      </c>
      <c r="AB333" s="14">
        <v>120</v>
      </c>
      <c r="AC333" t="s">
        <v>2310</v>
      </c>
      <c r="AD333" t="s">
        <v>2311</v>
      </c>
      <c r="AE333" t="s">
        <v>2643</v>
      </c>
      <c r="AF333">
        <v>49</v>
      </c>
      <c r="AG333">
        <v>0</v>
      </c>
      <c r="AH333">
        <v>43</v>
      </c>
      <c r="AI333">
        <v>0</v>
      </c>
      <c r="AJ333">
        <v>1</v>
      </c>
      <c r="AK333">
        <v>0</v>
      </c>
      <c r="AL333">
        <v>1</v>
      </c>
      <c r="AM333" s="14">
        <v>0</v>
      </c>
      <c r="AN333" t="s">
        <v>2644</v>
      </c>
      <c r="AO333" s="12">
        <v>46082</v>
      </c>
      <c r="AP333">
        <v>2026</v>
      </c>
      <c r="AQ333">
        <v>3</v>
      </c>
      <c r="AR333" t="s">
        <v>2650</v>
      </c>
    </row>
    <row r="334" spans="1:44">
      <c r="A334" t="s">
        <v>1308</v>
      </c>
      <c r="B334" s="12">
        <v>46100</v>
      </c>
      <c r="C334" s="12">
        <v>46056</v>
      </c>
      <c r="D334" t="s">
        <v>601</v>
      </c>
      <c r="E334" t="s">
        <v>255</v>
      </c>
      <c r="F334" t="s">
        <v>256</v>
      </c>
      <c r="G334" t="s">
        <v>398</v>
      </c>
      <c r="H334" t="s">
        <v>466</v>
      </c>
      <c r="I334" t="s">
        <v>316</v>
      </c>
      <c r="J334" s="13">
        <v>0.625</v>
      </c>
      <c r="K334" s="13"/>
      <c r="L334" s="13"/>
      <c r="M334">
        <v>0</v>
      </c>
      <c r="N334" s="14">
        <v>95</v>
      </c>
      <c r="O334" t="s">
        <v>195</v>
      </c>
      <c r="Q334" t="s">
        <v>318</v>
      </c>
      <c r="R334" t="s">
        <v>1273</v>
      </c>
      <c r="S334">
        <v>0</v>
      </c>
      <c r="T334">
        <v>0</v>
      </c>
      <c r="U334" t="s">
        <v>2299</v>
      </c>
      <c r="V334" t="s">
        <v>2295</v>
      </c>
      <c r="W334" t="s">
        <v>2300</v>
      </c>
      <c r="X334" t="s">
        <v>2288</v>
      </c>
      <c r="Y334" t="s">
        <v>2301</v>
      </c>
      <c r="Z334" t="s">
        <v>2312</v>
      </c>
      <c r="AA334">
        <v>21</v>
      </c>
      <c r="AB334" s="14">
        <v>95</v>
      </c>
      <c r="AC334" t="s">
        <v>2313</v>
      </c>
      <c r="AD334" t="s">
        <v>2314</v>
      </c>
      <c r="AE334" t="s">
        <v>2643</v>
      </c>
      <c r="AF334">
        <v>44</v>
      </c>
      <c r="AG334">
        <v>0</v>
      </c>
      <c r="AJ334">
        <v>0</v>
      </c>
      <c r="AL334">
        <v>1</v>
      </c>
      <c r="AM334" s="14">
        <v>0</v>
      </c>
      <c r="AN334" t="s">
        <v>2644</v>
      </c>
      <c r="AO334" s="12">
        <v>46082</v>
      </c>
      <c r="AP334">
        <v>2026</v>
      </c>
      <c r="AQ334">
        <v>3</v>
      </c>
      <c r="AR334" t="s">
        <v>2650</v>
      </c>
    </row>
    <row r="335" spans="1:44">
      <c r="A335" t="s">
        <v>1310</v>
      </c>
      <c r="B335" s="12">
        <v>46105</v>
      </c>
      <c r="C335" s="12">
        <v>46074</v>
      </c>
      <c r="D335" t="s">
        <v>1222</v>
      </c>
      <c r="E335" t="s">
        <v>339</v>
      </c>
      <c r="F335" t="s">
        <v>409</v>
      </c>
      <c r="G335" t="s">
        <v>476</v>
      </c>
      <c r="H335" t="s">
        <v>115</v>
      </c>
      <c r="I335" t="s">
        <v>271</v>
      </c>
      <c r="J335" s="13">
        <v>0.5</v>
      </c>
      <c r="K335" s="13">
        <v>0.50694444444444442</v>
      </c>
      <c r="L335" s="13">
        <v>0.52361111111111114</v>
      </c>
      <c r="M335">
        <v>30</v>
      </c>
      <c r="N335" s="14">
        <v>150</v>
      </c>
      <c r="O335" t="s">
        <v>195</v>
      </c>
      <c r="P335">
        <v>4</v>
      </c>
      <c r="Q335" t="s">
        <v>305</v>
      </c>
      <c r="R335" t="s">
        <v>1273</v>
      </c>
      <c r="S335">
        <v>0</v>
      </c>
      <c r="T335">
        <v>0</v>
      </c>
      <c r="U335" t="s">
        <v>2294</v>
      </c>
      <c r="V335" t="s">
        <v>2295</v>
      </c>
      <c r="W335" t="s">
        <v>2296</v>
      </c>
      <c r="X335" t="s">
        <v>2297</v>
      </c>
      <c r="Y335" t="s">
        <v>2298</v>
      </c>
      <c r="Z335" t="s">
        <v>2318</v>
      </c>
      <c r="AA335">
        <v>28</v>
      </c>
      <c r="AB335" s="14">
        <v>150</v>
      </c>
      <c r="AC335" t="s">
        <v>2319</v>
      </c>
      <c r="AD335" t="s">
        <v>2320</v>
      </c>
      <c r="AE335" t="s">
        <v>2643</v>
      </c>
      <c r="AF335">
        <v>31</v>
      </c>
      <c r="AG335">
        <v>0</v>
      </c>
      <c r="AH335">
        <v>24</v>
      </c>
      <c r="AI335">
        <v>1</v>
      </c>
      <c r="AJ335">
        <v>1</v>
      </c>
      <c r="AK335">
        <v>0</v>
      </c>
      <c r="AL335">
        <v>1</v>
      </c>
      <c r="AM335" s="14">
        <v>0</v>
      </c>
      <c r="AN335" t="s">
        <v>2644</v>
      </c>
      <c r="AO335" s="12">
        <v>46082</v>
      </c>
      <c r="AP335">
        <v>2026</v>
      </c>
      <c r="AQ335">
        <v>3</v>
      </c>
      <c r="AR335" t="s">
        <v>2650</v>
      </c>
    </row>
    <row r="336" spans="1:44">
      <c r="A336" t="s">
        <v>1313</v>
      </c>
      <c r="B336" s="12">
        <v>46101</v>
      </c>
      <c r="C336" s="12">
        <v>46080</v>
      </c>
      <c r="D336" t="s">
        <v>523</v>
      </c>
      <c r="E336" t="s">
        <v>268</v>
      </c>
      <c r="F336" t="s">
        <v>409</v>
      </c>
      <c r="G336" t="s">
        <v>552</v>
      </c>
      <c r="H336" t="s">
        <v>115</v>
      </c>
      <c r="I336" t="s">
        <v>299</v>
      </c>
      <c r="J336" s="13">
        <v>0.45833333333333331</v>
      </c>
      <c r="K336" s="13">
        <v>0.46527777777777779</v>
      </c>
      <c r="L336" s="13">
        <v>0.47083333333333333</v>
      </c>
      <c r="M336">
        <v>20</v>
      </c>
      <c r="N336" s="14">
        <v>150</v>
      </c>
      <c r="O336" t="s">
        <v>195</v>
      </c>
      <c r="P336">
        <v>3</v>
      </c>
      <c r="Q336" t="s">
        <v>318</v>
      </c>
      <c r="R336" t="s">
        <v>1273</v>
      </c>
      <c r="S336">
        <v>0</v>
      </c>
      <c r="T336">
        <v>0</v>
      </c>
      <c r="U336" t="s">
        <v>2285</v>
      </c>
      <c r="V336" t="s">
        <v>2286</v>
      </c>
      <c r="W336" t="s">
        <v>2287</v>
      </c>
      <c r="X336" t="s">
        <v>2288</v>
      </c>
      <c r="Y336" t="s">
        <v>2289</v>
      </c>
      <c r="Z336" t="s">
        <v>2318</v>
      </c>
      <c r="AA336">
        <v>28</v>
      </c>
      <c r="AB336" s="14">
        <v>150</v>
      </c>
      <c r="AC336" t="s">
        <v>2319</v>
      </c>
      <c r="AD336" t="s">
        <v>2320</v>
      </c>
      <c r="AE336" t="s">
        <v>2643</v>
      </c>
      <c r="AF336">
        <v>21</v>
      </c>
      <c r="AG336">
        <v>1</v>
      </c>
      <c r="AH336">
        <v>8</v>
      </c>
      <c r="AI336">
        <v>1</v>
      </c>
      <c r="AJ336">
        <v>1</v>
      </c>
      <c r="AK336">
        <v>0</v>
      </c>
      <c r="AL336">
        <v>1</v>
      </c>
      <c r="AM336" s="14">
        <v>0</v>
      </c>
      <c r="AN336" t="s">
        <v>2644</v>
      </c>
      <c r="AO336" s="12">
        <v>46082</v>
      </c>
      <c r="AP336">
        <v>2026</v>
      </c>
      <c r="AQ336">
        <v>3</v>
      </c>
      <c r="AR336" t="s">
        <v>2650</v>
      </c>
    </row>
    <row r="337" spans="1:44">
      <c r="A337" t="s">
        <v>1317</v>
      </c>
      <c r="B337" s="12">
        <v>46108</v>
      </c>
      <c r="C337" s="12">
        <v>46074</v>
      </c>
      <c r="D337" t="s">
        <v>963</v>
      </c>
      <c r="E337" t="s">
        <v>339</v>
      </c>
      <c r="F337" t="s">
        <v>269</v>
      </c>
      <c r="G337" t="s">
        <v>340</v>
      </c>
      <c r="H337" t="s">
        <v>122</v>
      </c>
      <c r="I337" t="s">
        <v>258</v>
      </c>
      <c r="J337" s="13">
        <v>0.64583333333333337</v>
      </c>
      <c r="K337" s="13"/>
      <c r="L337" s="13"/>
      <c r="M337">
        <v>0</v>
      </c>
      <c r="N337" s="14">
        <v>80</v>
      </c>
      <c r="O337" t="s">
        <v>169</v>
      </c>
      <c r="Q337" t="s">
        <v>262</v>
      </c>
      <c r="R337" t="s">
        <v>1273</v>
      </c>
      <c r="S337">
        <v>0</v>
      </c>
      <c r="T337">
        <v>0</v>
      </c>
      <c r="U337" t="s">
        <v>2294</v>
      </c>
      <c r="V337" t="s">
        <v>2295</v>
      </c>
      <c r="W337" t="s">
        <v>2296</v>
      </c>
      <c r="X337" t="s">
        <v>2297</v>
      </c>
      <c r="Y337" t="s">
        <v>2298</v>
      </c>
      <c r="Z337" t="s">
        <v>2315</v>
      </c>
      <c r="AA337">
        <v>10</v>
      </c>
      <c r="AB337" s="14">
        <v>80</v>
      </c>
      <c r="AC337" t="s">
        <v>2316</v>
      </c>
      <c r="AD337" t="s">
        <v>2317</v>
      </c>
      <c r="AE337" t="s">
        <v>2643</v>
      </c>
      <c r="AF337">
        <v>34</v>
      </c>
      <c r="AG337">
        <v>0</v>
      </c>
      <c r="AJ337">
        <v>1</v>
      </c>
      <c r="AK337">
        <v>1</v>
      </c>
      <c r="AL337">
        <v>1</v>
      </c>
      <c r="AM337" s="14">
        <v>0</v>
      </c>
      <c r="AN337" t="s">
        <v>2644</v>
      </c>
      <c r="AO337" s="12">
        <v>46082</v>
      </c>
      <c r="AP337">
        <v>2026</v>
      </c>
      <c r="AQ337">
        <v>3</v>
      </c>
      <c r="AR337" t="s">
        <v>2650</v>
      </c>
    </row>
    <row r="338" spans="1:44">
      <c r="A338" t="s">
        <v>1319</v>
      </c>
      <c r="B338" s="12">
        <v>46090</v>
      </c>
      <c r="C338" s="12">
        <v>46040</v>
      </c>
      <c r="D338" t="s">
        <v>1126</v>
      </c>
      <c r="E338" t="s">
        <v>339</v>
      </c>
      <c r="F338" t="s">
        <v>409</v>
      </c>
      <c r="G338" t="s">
        <v>476</v>
      </c>
      <c r="H338" t="s">
        <v>115</v>
      </c>
      <c r="I338" t="s">
        <v>271</v>
      </c>
      <c r="J338" s="13">
        <v>0.5625</v>
      </c>
      <c r="K338" s="13">
        <v>0.5625</v>
      </c>
      <c r="L338" s="13">
        <v>0.58750000000000002</v>
      </c>
      <c r="M338">
        <v>60</v>
      </c>
      <c r="N338" s="14">
        <v>150</v>
      </c>
      <c r="O338" t="s">
        <v>195</v>
      </c>
      <c r="P338">
        <v>5</v>
      </c>
      <c r="Q338" t="s">
        <v>326</v>
      </c>
      <c r="R338" t="s">
        <v>1273</v>
      </c>
      <c r="S338">
        <v>0</v>
      </c>
      <c r="T338">
        <v>0</v>
      </c>
      <c r="U338" t="s">
        <v>2294</v>
      </c>
      <c r="V338" t="s">
        <v>2295</v>
      </c>
      <c r="W338" t="s">
        <v>2296</v>
      </c>
      <c r="X338" t="s">
        <v>2297</v>
      </c>
      <c r="Y338" t="s">
        <v>2298</v>
      </c>
      <c r="Z338" t="s">
        <v>2318</v>
      </c>
      <c r="AA338">
        <v>28</v>
      </c>
      <c r="AB338" s="14">
        <v>150</v>
      </c>
      <c r="AC338" t="s">
        <v>2319</v>
      </c>
      <c r="AD338" t="s">
        <v>2320</v>
      </c>
      <c r="AE338" t="s">
        <v>2643</v>
      </c>
      <c r="AF338">
        <v>50</v>
      </c>
      <c r="AG338">
        <v>0</v>
      </c>
      <c r="AH338">
        <v>36</v>
      </c>
      <c r="AI338">
        <v>0</v>
      </c>
      <c r="AJ338">
        <v>1</v>
      </c>
      <c r="AK338">
        <v>0</v>
      </c>
      <c r="AL338">
        <v>1</v>
      </c>
      <c r="AM338" s="14">
        <v>0</v>
      </c>
      <c r="AN338" t="s">
        <v>2644</v>
      </c>
      <c r="AO338" s="12">
        <v>46082</v>
      </c>
      <c r="AP338">
        <v>2026</v>
      </c>
      <c r="AQ338">
        <v>3</v>
      </c>
      <c r="AR338" t="s">
        <v>2650</v>
      </c>
    </row>
    <row r="339" spans="1:44">
      <c r="A339" t="s">
        <v>1321</v>
      </c>
      <c r="B339" s="12">
        <v>46105</v>
      </c>
      <c r="C339" s="12">
        <v>46051</v>
      </c>
      <c r="D339" t="s">
        <v>1322</v>
      </c>
      <c r="E339" t="s">
        <v>281</v>
      </c>
      <c r="F339" t="s">
        <v>297</v>
      </c>
      <c r="G339" t="s">
        <v>298</v>
      </c>
      <c r="H339" t="s">
        <v>115</v>
      </c>
      <c r="I339" t="s">
        <v>316</v>
      </c>
      <c r="J339" s="13">
        <v>0.45833333333333331</v>
      </c>
      <c r="K339" s="13">
        <v>0.4548611111111111</v>
      </c>
      <c r="L339" s="13">
        <v>0.47847222222222224</v>
      </c>
      <c r="M339">
        <v>30</v>
      </c>
      <c r="N339" s="14">
        <v>65</v>
      </c>
      <c r="O339" t="s">
        <v>195</v>
      </c>
      <c r="P339">
        <v>5</v>
      </c>
      <c r="Q339" t="s">
        <v>318</v>
      </c>
      <c r="R339" t="s">
        <v>1273</v>
      </c>
      <c r="S339">
        <v>0</v>
      </c>
      <c r="T339">
        <v>0</v>
      </c>
      <c r="U339" t="s">
        <v>2290</v>
      </c>
      <c r="V339" t="s">
        <v>2291</v>
      </c>
      <c r="W339" t="s">
        <v>2292</v>
      </c>
      <c r="X339" t="s">
        <v>2288</v>
      </c>
      <c r="Y339" t="s">
        <v>2293</v>
      </c>
      <c r="Z339" t="s">
        <v>2306</v>
      </c>
      <c r="AA339">
        <v>7</v>
      </c>
      <c r="AB339" s="14">
        <v>65</v>
      </c>
      <c r="AC339" t="s">
        <v>2307</v>
      </c>
      <c r="AD339" t="s">
        <v>2308</v>
      </c>
      <c r="AE339" t="s">
        <v>2643</v>
      </c>
      <c r="AF339">
        <v>54</v>
      </c>
      <c r="AG339">
        <v>0</v>
      </c>
      <c r="AH339">
        <v>34</v>
      </c>
      <c r="AI339">
        <v>0</v>
      </c>
      <c r="AJ339">
        <v>1</v>
      </c>
      <c r="AK339">
        <v>0</v>
      </c>
      <c r="AL339">
        <v>1</v>
      </c>
      <c r="AM339" s="14">
        <v>0</v>
      </c>
      <c r="AN339" t="s">
        <v>2644</v>
      </c>
      <c r="AO339" s="12">
        <v>46082</v>
      </c>
      <c r="AP339">
        <v>2026</v>
      </c>
      <c r="AQ339">
        <v>3</v>
      </c>
      <c r="AR339" t="s">
        <v>2650</v>
      </c>
    </row>
    <row r="340" spans="1:44">
      <c r="A340" t="s">
        <v>1324</v>
      </c>
      <c r="B340" s="12">
        <v>46106</v>
      </c>
      <c r="C340" s="12">
        <v>46097</v>
      </c>
      <c r="D340" t="s">
        <v>1012</v>
      </c>
      <c r="E340" t="s">
        <v>339</v>
      </c>
      <c r="F340" t="s">
        <v>282</v>
      </c>
      <c r="G340" t="s">
        <v>461</v>
      </c>
      <c r="H340" t="s">
        <v>115</v>
      </c>
      <c r="I340" t="s">
        <v>299</v>
      </c>
      <c r="J340" s="13">
        <v>0.45833333333333331</v>
      </c>
      <c r="K340" s="13">
        <v>0.46388888888888891</v>
      </c>
      <c r="L340" s="13">
        <v>0.47986111111111113</v>
      </c>
      <c r="M340">
        <v>30</v>
      </c>
      <c r="N340" s="14">
        <v>120</v>
      </c>
      <c r="O340" t="s">
        <v>195</v>
      </c>
      <c r="P340">
        <v>2</v>
      </c>
      <c r="Q340" t="s">
        <v>305</v>
      </c>
      <c r="R340" t="s">
        <v>1273</v>
      </c>
      <c r="S340">
        <v>0</v>
      </c>
      <c r="T340">
        <v>0</v>
      </c>
      <c r="U340" t="s">
        <v>2294</v>
      </c>
      <c r="V340" t="s">
        <v>2295</v>
      </c>
      <c r="W340" t="s">
        <v>2296</v>
      </c>
      <c r="X340" t="s">
        <v>2297</v>
      </c>
      <c r="Y340" t="s">
        <v>2298</v>
      </c>
      <c r="Z340" t="s">
        <v>2309</v>
      </c>
      <c r="AA340">
        <v>14</v>
      </c>
      <c r="AB340" s="14">
        <v>120</v>
      </c>
      <c r="AC340" t="s">
        <v>2310</v>
      </c>
      <c r="AD340" t="s">
        <v>2311</v>
      </c>
      <c r="AE340" t="s">
        <v>2643</v>
      </c>
      <c r="AF340">
        <v>9</v>
      </c>
      <c r="AG340">
        <v>1</v>
      </c>
      <c r="AH340">
        <v>23</v>
      </c>
      <c r="AI340">
        <v>1</v>
      </c>
      <c r="AJ340">
        <v>1</v>
      </c>
      <c r="AK340">
        <v>0</v>
      </c>
      <c r="AL340">
        <v>1</v>
      </c>
      <c r="AM340" s="14">
        <v>0</v>
      </c>
      <c r="AN340" t="s">
        <v>2644</v>
      </c>
      <c r="AO340" s="12">
        <v>46082</v>
      </c>
      <c r="AP340">
        <v>2026</v>
      </c>
      <c r="AQ340">
        <v>3</v>
      </c>
      <c r="AR340" t="s">
        <v>2650</v>
      </c>
    </row>
    <row r="341" spans="1:44">
      <c r="A341" t="s">
        <v>1327</v>
      </c>
      <c r="B341" s="12">
        <v>46101</v>
      </c>
      <c r="C341" s="12">
        <v>46091</v>
      </c>
      <c r="D341" t="s">
        <v>1008</v>
      </c>
      <c r="E341" t="s">
        <v>268</v>
      </c>
      <c r="F341" t="s">
        <v>409</v>
      </c>
      <c r="G341" t="s">
        <v>552</v>
      </c>
      <c r="H341" t="s">
        <v>115</v>
      </c>
      <c r="I341" t="s">
        <v>258</v>
      </c>
      <c r="J341" s="13">
        <v>0.66666666666666663</v>
      </c>
      <c r="K341" s="13">
        <v>0.67291666666666672</v>
      </c>
      <c r="L341" s="13">
        <v>0.67291666666666672</v>
      </c>
      <c r="M341">
        <v>30</v>
      </c>
      <c r="N341" s="14">
        <v>150</v>
      </c>
      <c r="O341" t="s">
        <v>195</v>
      </c>
      <c r="P341">
        <v>4</v>
      </c>
      <c r="Q341" t="s">
        <v>326</v>
      </c>
      <c r="R341" t="s">
        <v>1273</v>
      </c>
      <c r="S341">
        <v>0</v>
      </c>
      <c r="T341">
        <v>0</v>
      </c>
      <c r="U341" t="s">
        <v>2285</v>
      </c>
      <c r="V341" t="s">
        <v>2286</v>
      </c>
      <c r="W341" t="s">
        <v>2287</v>
      </c>
      <c r="X341" t="s">
        <v>2288</v>
      </c>
      <c r="Y341" t="s">
        <v>2289</v>
      </c>
      <c r="Z341" t="s">
        <v>2318</v>
      </c>
      <c r="AA341">
        <v>28</v>
      </c>
      <c r="AB341" s="14">
        <v>150</v>
      </c>
      <c r="AC341" t="s">
        <v>2319</v>
      </c>
      <c r="AD341" t="s">
        <v>2320</v>
      </c>
      <c r="AE341" t="s">
        <v>2643</v>
      </c>
      <c r="AF341">
        <v>10</v>
      </c>
      <c r="AG341">
        <v>1</v>
      </c>
      <c r="AH341">
        <v>0</v>
      </c>
      <c r="AI341">
        <v>1</v>
      </c>
      <c r="AJ341">
        <v>1</v>
      </c>
      <c r="AK341">
        <v>0</v>
      </c>
      <c r="AL341">
        <v>1</v>
      </c>
      <c r="AM341" s="14">
        <v>0</v>
      </c>
      <c r="AN341" t="s">
        <v>2644</v>
      </c>
      <c r="AO341" s="12">
        <v>46082</v>
      </c>
      <c r="AP341">
        <v>2026</v>
      </c>
      <c r="AQ341">
        <v>3</v>
      </c>
      <c r="AR341" t="s">
        <v>2650</v>
      </c>
    </row>
    <row r="342" spans="1:44">
      <c r="A342" t="s">
        <v>1328</v>
      </c>
      <c r="B342" s="12">
        <v>46095</v>
      </c>
      <c r="C342" s="12">
        <v>46084</v>
      </c>
      <c r="D342" t="s">
        <v>711</v>
      </c>
      <c r="E342" t="s">
        <v>339</v>
      </c>
      <c r="F342" t="s">
        <v>297</v>
      </c>
      <c r="G342" t="s">
        <v>569</v>
      </c>
      <c r="H342" t="s">
        <v>127</v>
      </c>
      <c r="I342" t="s">
        <v>258</v>
      </c>
      <c r="J342" s="13">
        <v>0.60416666666666663</v>
      </c>
      <c r="K342" s="13"/>
      <c r="L342" s="13"/>
      <c r="M342">
        <v>0</v>
      </c>
      <c r="N342" s="14">
        <v>65</v>
      </c>
      <c r="O342" t="s">
        <v>195</v>
      </c>
      <c r="Q342" t="s">
        <v>262</v>
      </c>
      <c r="R342" t="s">
        <v>1273</v>
      </c>
      <c r="S342">
        <v>0</v>
      </c>
      <c r="T342">
        <v>0</v>
      </c>
      <c r="U342" t="s">
        <v>2294</v>
      </c>
      <c r="V342" t="s">
        <v>2295</v>
      </c>
      <c r="W342" t="s">
        <v>2296</v>
      </c>
      <c r="X342" t="s">
        <v>2297</v>
      </c>
      <c r="Y342" t="s">
        <v>2298</v>
      </c>
      <c r="Z342" t="s">
        <v>2306</v>
      </c>
      <c r="AA342">
        <v>7</v>
      </c>
      <c r="AB342" s="14">
        <v>65</v>
      </c>
      <c r="AC342" t="s">
        <v>2307</v>
      </c>
      <c r="AD342" t="s">
        <v>2308</v>
      </c>
      <c r="AE342" t="s">
        <v>2643</v>
      </c>
      <c r="AF342">
        <v>11</v>
      </c>
      <c r="AG342">
        <v>0</v>
      </c>
      <c r="AJ342">
        <v>0</v>
      </c>
      <c r="AL342">
        <v>1</v>
      </c>
      <c r="AM342" s="14">
        <v>0</v>
      </c>
      <c r="AN342" t="s">
        <v>2644</v>
      </c>
      <c r="AO342" s="12">
        <v>46082</v>
      </c>
      <c r="AP342">
        <v>2026</v>
      </c>
      <c r="AQ342">
        <v>3</v>
      </c>
      <c r="AR342" t="s">
        <v>2650</v>
      </c>
    </row>
    <row r="343" spans="1:44">
      <c r="A343" t="s">
        <v>1331</v>
      </c>
      <c r="B343" s="12">
        <v>46097</v>
      </c>
      <c r="C343" s="12">
        <v>46053</v>
      </c>
      <c r="D343" t="s">
        <v>408</v>
      </c>
      <c r="E343" t="s">
        <v>281</v>
      </c>
      <c r="F343" t="s">
        <v>297</v>
      </c>
      <c r="G343" t="s">
        <v>298</v>
      </c>
      <c r="H343" t="s">
        <v>115</v>
      </c>
      <c r="I343" t="s">
        <v>258</v>
      </c>
      <c r="J343" s="13">
        <v>0.35416666666666669</v>
      </c>
      <c r="K343" s="13">
        <v>0.3659722222222222</v>
      </c>
      <c r="L343" s="13">
        <v>0.37847222222222221</v>
      </c>
      <c r="M343">
        <v>60</v>
      </c>
      <c r="N343" s="14">
        <v>65</v>
      </c>
      <c r="O343" t="s">
        <v>169</v>
      </c>
      <c r="P343">
        <v>2</v>
      </c>
      <c r="Q343" t="s">
        <v>285</v>
      </c>
      <c r="R343" t="s">
        <v>1273</v>
      </c>
      <c r="S343">
        <v>0</v>
      </c>
      <c r="T343">
        <v>0</v>
      </c>
      <c r="U343" t="s">
        <v>2290</v>
      </c>
      <c r="V343" t="s">
        <v>2291</v>
      </c>
      <c r="W343" t="s">
        <v>2292</v>
      </c>
      <c r="X343" t="s">
        <v>2288</v>
      </c>
      <c r="Y343" t="s">
        <v>2293</v>
      </c>
      <c r="Z343" t="s">
        <v>2306</v>
      </c>
      <c r="AA343">
        <v>7</v>
      </c>
      <c r="AB343" s="14">
        <v>65</v>
      </c>
      <c r="AC343" t="s">
        <v>2307</v>
      </c>
      <c r="AD343" t="s">
        <v>2308</v>
      </c>
      <c r="AE343" t="s">
        <v>2643</v>
      </c>
      <c r="AF343">
        <v>44</v>
      </c>
      <c r="AG343">
        <v>0</v>
      </c>
      <c r="AH343">
        <v>18</v>
      </c>
      <c r="AI343">
        <v>1</v>
      </c>
      <c r="AJ343">
        <v>1</v>
      </c>
      <c r="AK343">
        <v>0</v>
      </c>
      <c r="AL343">
        <v>1</v>
      </c>
      <c r="AM343" s="14">
        <v>0</v>
      </c>
      <c r="AN343" t="s">
        <v>2644</v>
      </c>
      <c r="AO343" s="12">
        <v>46082</v>
      </c>
      <c r="AP343">
        <v>2026</v>
      </c>
      <c r="AQ343">
        <v>3</v>
      </c>
      <c r="AR343" t="s">
        <v>2650</v>
      </c>
    </row>
    <row r="344" spans="1:44">
      <c r="A344" t="s">
        <v>1334</v>
      </c>
      <c r="B344" s="12">
        <v>46089</v>
      </c>
      <c r="C344" s="12">
        <v>46072</v>
      </c>
      <c r="D344" t="s">
        <v>837</v>
      </c>
      <c r="E344" t="s">
        <v>268</v>
      </c>
      <c r="F344" t="s">
        <v>282</v>
      </c>
      <c r="G344" t="s">
        <v>505</v>
      </c>
      <c r="H344" t="s">
        <v>115</v>
      </c>
      <c r="I344" t="s">
        <v>299</v>
      </c>
      <c r="J344" s="13">
        <v>0.4375</v>
      </c>
      <c r="K344" s="13">
        <v>0.44166666666666665</v>
      </c>
      <c r="L344" s="13">
        <v>0.45069444444444445</v>
      </c>
      <c r="M344">
        <v>30</v>
      </c>
      <c r="N344" s="14">
        <v>120</v>
      </c>
      <c r="O344" t="s">
        <v>169</v>
      </c>
      <c r="P344">
        <v>5</v>
      </c>
      <c r="Q344" t="s">
        <v>305</v>
      </c>
      <c r="R344" t="s">
        <v>1273</v>
      </c>
      <c r="S344">
        <v>0</v>
      </c>
      <c r="T344">
        <v>0</v>
      </c>
      <c r="U344" t="s">
        <v>2285</v>
      </c>
      <c r="V344" t="s">
        <v>2286</v>
      </c>
      <c r="W344" t="s">
        <v>2287</v>
      </c>
      <c r="X344" t="s">
        <v>2288</v>
      </c>
      <c r="Y344" t="s">
        <v>2289</v>
      </c>
      <c r="Z344" t="s">
        <v>2309</v>
      </c>
      <c r="AA344">
        <v>14</v>
      </c>
      <c r="AB344" s="14">
        <v>120</v>
      </c>
      <c r="AC344" t="s">
        <v>2310</v>
      </c>
      <c r="AD344" t="s">
        <v>2311</v>
      </c>
      <c r="AE344" t="s">
        <v>2643</v>
      </c>
      <c r="AF344">
        <v>17</v>
      </c>
      <c r="AG344">
        <v>0</v>
      </c>
      <c r="AH344">
        <v>13</v>
      </c>
      <c r="AI344">
        <v>1</v>
      </c>
      <c r="AJ344">
        <v>1</v>
      </c>
      <c r="AK344">
        <v>0</v>
      </c>
      <c r="AL344">
        <v>1</v>
      </c>
      <c r="AM344" s="14">
        <v>0</v>
      </c>
      <c r="AN344" t="s">
        <v>2644</v>
      </c>
      <c r="AO344" s="12">
        <v>46082</v>
      </c>
      <c r="AP344">
        <v>2026</v>
      </c>
      <c r="AQ344">
        <v>3</v>
      </c>
      <c r="AR344" t="s">
        <v>2650</v>
      </c>
    </row>
    <row r="345" spans="1:44">
      <c r="A345" t="s">
        <v>1335</v>
      </c>
      <c r="B345" s="12">
        <v>46093</v>
      </c>
      <c r="C345" s="12">
        <v>46066</v>
      </c>
      <c r="D345" t="s">
        <v>475</v>
      </c>
      <c r="E345" t="s">
        <v>339</v>
      </c>
      <c r="F345" t="s">
        <v>297</v>
      </c>
      <c r="G345" t="s">
        <v>780</v>
      </c>
      <c r="H345" t="s">
        <v>122</v>
      </c>
      <c r="I345" t="s">
        <v>258</v>
      </c>
      <c r="J345" s="13">
        <v>0.47916666666666669</v>
      </c>
      <c r="K345" s="13"/>
      <c r="L345" s="13"/>
      <c r="M345">
        <v>0</v>
      </c>
      <c r="N345" s="14">
        <v>65</v>
      </c>
      <c r="O345" t="s">
        <v>169</v>
      </c>
      <c r="Q345" t="s">
        <v>262</v>
      </c>
      <c r="R345" t="s">
        <v>1273</v>
      </c>
      <c r="S345">
        <v>0</v>
      </c>
      <c r="T345">
        <v>0</v>
      </c>
      <c r="U345" t="s">
        <v>2294</v>
      </c>
      <c r="V345" t="s">
        <v>2295</v>
      </c>
      <c r="W345" t="s">
        <v>2296</v>
      </c>
      <c r="X345" t="s">
        <v>2297</v>
      </c>
      <c r="Y345" t="s">
        <v>2298</v>
      </c>
      <c r="Z345" t="s">
        <v>2306</v>
      </c>
      <c r="AA345">
        <v>7</v>
      </c>
      <c r="AB345" s="14">
        <v>65</v>
      </c>
      <c r="AC345" t="s">
        <v>2307</v>
      </c>
      <c r="AD345" t="s">
        <v>2308</v>
      </c>
      <c r="AE345" t="s">
        <v>2643</v>
      </c>
      <c r="AF345">
        <v>27</v>
      </c>
      <c r="AG345">
        <v>0</v>
      </c>
      <c r="AJ345">
        <v>1</v>
      </c>
      <c r="AK345">
        <v>1</v>
      </c>
      <c r="AL345">
        <v>1</v>
      </c>
      <c r="AM345" s="14">
        <v>0</v>
      </c>
      <c r="AN345" t="s">
        <v>2644</v>
      </c>
      <c r="AO345" s="12">
        <v>46082</v>
      </c>
      <c r="AP345">
        <v>2026</v>
      </c>
      <c r="AQ345">
        <v>3</v>
      </c>
      <c r="AR345" t="s">
        <v>2650</v>
      </c>
    </row>
    <row r="346" spans="1:44">
      <c r="A346" t="s">
        <v>1336</v>
      </c>
      <c r="B346" s="12">
        <v>46098</v>
      </c>
      <c r="C346" s="12">
        <v>46074</v>
      </c>
      <c r="D346" t="s">
        <v>1071</v>
      </c>
      <c r="E346" t="s">
        <v>268</v>
      </c>
      <c r="F346" t="s">
        <v>256</v>
      </c>
      <c r="G346" t="s">
        <v>886</v>
      </c>
      <c r="H346" t="s">
        <v>115</v>
      </c>
      <c r="I346" t="s">
        <v>271</v>
      </c>
      <c r="J346" s="13">
        <v>0.45833333333333331</v>
      </c>
      <c r="K346" s="13">
        <v>0.46111111111111114</v>
      </c>
      <c r="L346" s="13">
        <v>0.47361111111111109</v>
      </c>
      <c r="M346">
        <v>45</v>
      </c>
      <c r="N346" s="14">
        <v>95</v>
      </c>
      <c r="O346" t="s">
        <v>195</v>
      </c>
      <c r="P346">
        <v>4</v>
      </c>
      <c r="Q346" t="s">
        <v>262</v>
      </c>
      <c r="R346" t="s">
        <v>1273</v>
      </c>
      <c r="S346">
        <v>0</v>
      </c>
      <c r="T346">
        <v>0</v>
      </c>
      <c r="U346" t="s">
        <v>2285</v>
      </c>
      <c r="V346" t="s">
        <v>2286</v>
      </c>
      <c r="W346" t="s">
        <v>2287</v>
      </c>
      <c r="X346" t="s">
        <v>2288</v>
      </c>
      <c r="Y346" t="s">
        <v>2289</v>
      </c>
      <c r="Z346" t="s">
        <v>2312</v>
      </c>
      <c r="AA346">
        <v>21</v>
      </c>
      <c r="AB346" s="14">
        <v>95</v>
      </c>
      <c r="AC346" t="s">
        <v>2313</v>
      </c>
      <c r="AD346" t="s">
        <v>2314</v>
      </c>
      <c r="AE346" t="s">
        <v>2643</v>
      </c>
      <c r="AF346">
        <v>24</v>
      </c>
      <c r="AG346">
        <v>0</v>
      </c>
      <c r="AH346">
        <v>18</v>
      </c>
      <c r="AI346">
        <v>1</v>
      </c>
      <c r="AJ346">
        <v>1</v>
      </c>
      <c r="AK346">
        <v>0</v>
      </c>
      <c r="AL346">
        <v>1</v>
      </c>
      <c r="AM346" s="14">
        <v>0</v>
      </c>
      <c r="AN346" t="s">
        <v>2644</v>
      </c>
      <c r="AO346" s="12">
        <v>46082</v>
      </c>
      <c r="AP346">
        <v>2026</v>
      </c>
      <c r="AQ346">
        <v>3</v>
      </c>
      <c r="AR346" t="s">
        <v>2650</v>
      </c>
    </row>
    <row r="347" spans="1:44">
      <c r="A347" t="s">
        <v>1337</v>
      </c>
      <c r="B347" s="12">
        <v>46088</v>
      </c>
      <c r="C347" s="12">
        <v>46055</v>
      </c>
      <c r="D347" t="s">
        <v>1280</v>
      </c>
      <c r="E347" t="s">
        <v>268</v>
      </c>
      <c r="F347" t="s">
        <v>256</v>
      </c>
      <c r="G347" t="s">
        <v>886</v>
      </c>
      <c r="H347" t="s">
        <v>115</v>
      </c>
      <c r="I347" t="s">
        <v>316</v>
      </c>
      <c r="J347" s="13">
        <v>0.66666666666666663</v>
      </c>
      <c r="K347" s="13">
        <v>0.67222222222222228</v>
      </c>
      <c r="L347" s="13">
        <v>0.68263888888888891</v>
      </c>
      <c r="M347">
        <v>60</v>
      </c>
      <c r="N347" s="14">
        <v>95</v>
      </c>
      <c r="O347" t="s">
        <v>169</v>
      </c>
      <c r="P347">
        <v>5</v>
      </c>
      <c r="Q347" t="s">
        <v>305</v>
      </c>
      <c r="R347" t="s">
        <v>1273</v>
      </c>
      <c r="S347">
        <v>0</v>
      </c>
      <c r="T347">
        <v>0</v>
      </c>
      <c r="U347" t="s">
        <v>2285</v>
      </c>
      <c r="V347" t="s">
        <v>2286</v>
      </c>
      <c r="W347" t="s">
        <v>2287</v>
      </c>
      <c r="X347" t="s">
        <v>2288</v>
      </c>
      <c r="Y347" t="s">
        <v>2289</v>
      </c>
      <c r="Z347" t="s">
        <v>2312</v>
      </c>
      <c r="AA347">
        <v>21</v>
      </c>
      <c r="AB347" s="14">
        <v>95</v>
      </c>
      <c r="AC347" t="s">
        <v>2313</v>
      </c>
      <c r="AD347" t="s">
        <v>2314</v>
      </c>
      <c r="AE347" t="s">
        <v>2643</v>
      </c>
      <c r="AF347">
        <v>33</v>
      </c>
      <c r="AG347">
        <v>0</v>
      </c>
      <c r="AH347">
        <v>15</v>
      </c>
      <c r="AI347">
        <v>1</v>
      </c>
      <c r="AJ347">
        <v>1</v>
      </c>
      <c r="AK347">
        <v>0</v>
      </c>
      <c r="AL347">
        <v>1</v>
      </c>
      <c r="AM347" s="14">
        <v>0</v>
      </c>
      <c r="AN347" t="s">
        <v>2644</v>
      </c>
      <c r="AO347" s="12">
        <v>46082</v>
      </c>
      <c r="AP347">
        <v>2026</v>
      </c>
      <c r="AQ347">
        <v>3</v>
      </c>
      <c r="AR347" t="s">
        <v>2650</v>
      </c>
    </row>
    <row r="348" spans="1:44">
      <c r="A348" t="s">
        <v>1340</v>
      </c>
      <c r="B348" s="12">
        <v>46107</v>
      </c>
      <c r="C348" s="12">
        <v>46072</v>
      </c>
      <c r="D348" t="s">
        <v>731</v>
      </c>
      <c r="E348" t="s">
        <v>339</v>
      </c>
      <c r="F348" t="s">
        <v>269</v>
      </c>
      <c r="G348" t="s">
        <v>528</v>
      </c>
      <c r="H348" t="s">
        <v>127</v>
      </c>
      <c r="I348" t="s">
        <v>299</v>
      </c>
      <c r="J348" s="13">
        <v>0.52083333333333337</v>
      </c>
      <c r="K348" s="13"/>
      <c r="L348" s="13"/>
      <c r="M348">
        <v>0</v>
      </c>
      <c r="N348" s="14">
        <v>80</v>
      </c>
      <c r="O348" t="s">
        <v>195</v>
      </c>
      <c r="Q348" t="s">
        <v>326</v>
      </c>
      <c r="R348" t="s">
        <v>1273</v>
      </c>
      <c r="S348">
        <v>0</v>
      </c>
      <c r="T348">
        <v>0</v>
      </c>
      <c r="U348" t="s">
        <v>2294</v>
      </c>
      <c r="V348" t="s">
        <v>2295</v>
      </c>
      <c r="W348" t="s">
        <v>2296</v>
      </c>
      <c r="X348" t="s">
        <v>2297</v>
      </c>
      <c r="Y348" t="s">
        <v>2298</v>
      </c>
      <c r="Z348" t="s">
        <v>2315</v>
      </c>
      <c r="AA348">
        <v>10</v>
      </c>
      <c r="AB348" s="14">
        <v>80</v>
      </c>
      <c r="AC348" t="s">
        <v>2316</v>
      </c>
      <c r="AD348" t="s">
        <v>2317</v>
      </c>
      <c r="AE348" t="s">
        <v>2643</v>
      </c>
      <c r="AF348">
        <v>35</v>
      </c>
      <c r="AG348">
        <v>0</v>
      </c>
      <c r="AJ348">
        <v>0</v>
      </c>
      <c r="AL348">
        <v>1</v>
      </c>
      <c r="AM348" s="14">
        <v>0</v>
      </c>
      <c r="AN348" t="s">
        <v>2644</v>
      </c>
      <c r="AO348" s="12">
        <v>46082</v>
      </c>
      <c r="AP348">
        <v>2026</v>
      </c>
      <c r="AQ348">
        <v>3</v>
      </c>
      <c r="AR348" t="s">
        <v>2650</v>
      </c>
    </row>
    <row r="349" spans="1:44">
      <c r="A349" t="s">
        <v>1342</v>
      </c>
      <c r="B349" s="12">
        <v>46083</v>
      </c>
      <c r="C349" s="12">
        <v>46065</v>
      </c>
      <c r="D349" t="s">
        <v>1344</v>
      </c>
      <c r="E349" t="s">
        <v>281</v>
      </c>
      <c r="F349" t="s">
        <v>297</v>
      </c>
      <c r="G349" t="s">
        <v>368</v>
      </c>
      <c r="H349" t="s">
        <v>115</v>
      </c>
      <c r="I349" t="s">
        <v>299</v>
      </c>
      <c r="J349" s="13">
        <v>0.35416666666666669</v>
      </c>
      <c r="K349" s="13">
        <v>0.34791666666666665</v>
      </c>
      <c r="L349" s="13">
        <v>0.36875000000000002</v>
      </c>
      <c r="M349">
        <v>60</v>
      </c>
      <c r="N349" s="14">
        <v>65</v>
      </c>
      <c r="O349" t="s">
        <v>169</v>
      </c>
      <c r="P349">
        <v>4</v>
      </c>
      <c r="Q349" t="s">
        <v>285</v>
      </c>
      <c r="R349" t="s">
        <v>1273</v>
      </c>
      <c r="S349">
        <v>0</v>
      </c>
      <c r="T349">
        <v>0</v>
      </c>
      <c r="U349" t="s">
        <v>2290</v>
      </c>
      <c r="V349" t="s">
        <v>2291</v>
      </c>
      <c r="W349" t="s">
        <v>2292</v>
      </c>
      <c r="X349" t="s">
        <v>2288</v>
      </c>
      <c r="Y349" t="s">
        <v>2293</v>
      </c>
      <c r="Z349" t="s">
        <v>2306</v>
      </c>
      <c r="AA349">
        <v>7</v>
      </c>
      <c r="AB349" s="14">
        <v>65</v>
      </c>
      <c r="AC349" t="s">
        <v>2307</v>
      </c>
      <c r="AD349" t="s">
        <v>2308</v>
      </c>
      <c r="AE349" t="s">
        <v>2643</v>
      </c>
      <c r="AF349">
        <v>18</v>
      </c>
      <c r="AG349">
        <v>0</v>
      </c>
      <c r="AH349">
        <v>30</v>
      </c>
      <c r="AI349">
        <v>1</v>
      </c>
      <c r="AJ349">
        <v>1</v>
      </c>
      <c r="AK349">
        <v>0</v>
      </c>
      <c r="AL349">
        <v>1</v>
      </c>
      <c r="AM349" s="14">
        <v>0</v>
      </c>
      <c r="AN349" t="s">
        <v>2644</v>
      </c>
      <c r="AO349" s="12">
        <v>46082</v>
      </c>
      <c r="AP349">
        <v>2026</v>
      </c>
      <c r="AQ349">
        <v>3</v>
      </c>
      <c r="AR349" t="s">
        <v>2650</v>
      </c>
    </row>
    <row r="350" spans="1:44">
      <c r="A350" t="s">
        <v>1345</v>
      </c>
      <c r="B350" s="12">
        <v>46085</v>
      </c>
      <c r="C350" s="12">
        <v>46053</v>
      </c>
      <c r="D350" t="s">
        <v>622</v>
      </c>
      <c r="E350" t="s">
        <v>255</v>
      </c>
      <c r="F350" t="s">
        <v>256</v>
      </c>
      <c r="G350" t="s">
        <v>398</v>
      </c>
      <c r="H350" t="s">
        <v>127</v>
      </c>
      <c r="I350" t="s">
        <v>316</v>
      </c>
      <c r="J350" s="13">
        <v>0.41666666666666669</v>
      </c>
      <c r="K350" s="13"/>
      <c r="L350" s="13"/>
      <c r="M350">
        <v>0</v>
      </c>
      <c r="N350" s="14">
        <v>95</v>
      </c>
      <c r="O350" t="s">
        <v>169</v>
      </c>
      <c r="Q350" t="s">
        <v>326</v>
      </c>
      <c r="R350" t="s">
        <v>1273</v>
      </c>
      <c r="S350">
        <v>0</v>
      </c>
      <c r="T350">
        <v>0</v>
      </c>
      <c r="U350" t="s">
        <v>2299</v>
      </c>
      <c r="V350" t="s">
        <v>2295</v>
      </c>
      <c r="W350" t="s">
        <v>2300</v>
      </c>
      <c r="X350" t="s">
        <v>2288</v>
      </c>
      <c r="Y350" t="s">
        <v>2301</v>
      </c>
      <c r="Z350" t="s">
        <v>2312</v>
      </c>
      <c r="AA350">
        <v>21</v>
      </c>
      <c r="AB350" s="14">
        <v>95</v>
      </c>
      <c r="AC350" t="s">
        <v>2313</v>
      </c>
      <c r="AD350" t="s">
        <v>2314</v>
      </c>
      <c r="AE350" t="s">
        <v>2643</v>
      </c>
      <c r="AF350">
        <v>32</v>
      </c>
      <c r="AG350">
        <v>0</v>
      </c>
      <c r="AJ350">
        <v>0</v>
      </c>
      <c r="AL350">
        <v>1</v>
      </c>
      <c r="AM350" s="14">
        <v>0</v>
      </c>
      <c r="AN350" t="s">
        <v>2644</v>
      </c>
      <c r="AO350" s="12">
        <v>46082</v>
      </c>
      <c r="AP350">
        <v>2026</v>
      </c>
      <c r="AQ350">
        <v>3</v>
      </c>
      <c r="AR350" t="s">
        <v>2650</v>
      </c>
    </row>
    <row r="351" spans="1:44">
      <c r="A351" t="s">
        <v>1346</v>
      </c>
      <c r="B351" s="12">
        <v>46083</v>
      </c>
      <c r="C351" s="12">
        <v>46049</v>
      </c>
      <c r="D351" t="s">
        <v>330</v>
      </c>
      <c r="E351" t="s">
        <v>255</v>
      </c>
      <c r="F351" t="s">
        <v>282</v>
      </c>
      <c r="G351" t="s">
        <v>424</v>
      </c>
      <c r="H351" t="s">
        <v>115</v>
      </c>
      <c r="I351" t="s">
        <v>271</v>
      </c>
      <c r="J351" s="13">
        <v>0.52083333333333337</v>
      </c>
      <c r="K351" s="13">
        <v>0.52777777777777779</v>
      </c>
      <c r="L351" s="13">
        <v>0.5395833333333333</v>
      </c>
      <c r="M351">
        <v>30</v>
      </c>
      <c r="N351" s="14">
        <v>120</v>
      </c>
      <c r="O351" t="s">
        <v>169</v>
      </c>
      <c r="P351">
        <v>2</v>
      </c>
      <c r="Q351" t="s">
        <v>318</v>
      </c>
      <c r="R351" t="s">
        <v>1273</v>
      </c>
      <c r="S351">
        <v>0</v>
      </c>
      <c r="T351">
        <v>0</v>
      </c>
      <c r="U351" t="s">
        <v>2299</v>
      </c>
      <c r="V351" t="s">
        <v>2295</v>
      </c>
      <c r="W351" t="s">
        <v>2300</v>
      </c>
      <c r="X351" t="s">
        <v>2288</v>
      </c>
      <c r="Y351" t="s">
        <v>2301</v>
      </c>
      <c r="Z351" t="s">
        <v>2309</v>
      </c>
      <c r="AA351">
        <v>14</v>
      </c>
      <c r="AB351" s="14">
        <v>120</v>
      </c>
      <c r="AC351" t="s">
        <v>2310</v>
      </c>
      <c r="AD351" t="s">
        <v>2311</v>
      </c>
      <c r="AE351" t="s">
        <v>2643</v>
      </c>
      <c r="AF351">
        <v>34</v>
      </c>
      <c r="AG351">
        <v>0</v>
      </c>
      <c r="AH351">
        <v>17</v>
      </c>
      <c r="AI351">
        <v>1</v>
      </c>
      <c r="AJ351">
        <v>1</v>
      </c>
      <c r="AK351">
        <v>0</v>
      </c>
      <c r="AL351">
        <v>1</v>
      </c>
      <c r="AM351" s="14">
        <v>0</v>
      </c>
      <c r="AN351" t="s">
        <v>2644</v>
      </c>
      <c r="AO351" s="12">
        <v>46082</v>
      </c>
      <c r="AP351">
        <v>2026</v>
      </c>
      <c r="AQ351">
        <v>3</v>
      </c>
      <c r="AR351" t="s">
        <v>2650</v>
      </c>
    </row>
    <row r="352" spans="1:44">
      <c r="A352" t="s">
        <v>1347</v>
      </c>
      <c r="B352" s="12">
        <v>46082</v>
      </c>
      <c r="C352" s="12">
        <v>46068</v>
      </c>
      <c r="D352" t="s">
        <v>875</v>
      </c>
      <c r="E352" t="s">
        <v>339</v>
      </c>
      <c r="F352" t="s">
        <v>269</v>
      </c>
      <c r="G352" t="s">
        <v>340</v>
      </c>
      <c r="H352" t="s">
        <v>115</v>
      </c>
      <c r="I352" t="s">
        <v>271</v>
      </c>
      <c r="J352" s="13">
        <v>0.41666666666666669</v>
      </c>
      <c r="K352" s="13">
        <v>0.42222222222222222</v>
      </c>
      <c r="L352" s="13">
        <v>0.43125000000000002</v>
      </c>
      <c r="M352">
        <v>20</v>
      </c>
      <c r="N352" s="14">
        <v>80</v>
      </c>
      <c r="O352" t="s">
        <v>195</v>
      </c>
      <c r="P352">
        <v>5</v>
      </c>
      <c r="Q352" t="s">
        <v>262</v>
      </c>
      <c r="R352" t="s">
        <v>1273</v>
      </c>
      <c r="S352">
        <v>0</v>
      </c>
      <c r="T352">
        <v>0</v>
      </c>
      <c r="U352" t="s">
        <v>2294</v>
      </c>
      <c r="V352" t="s">
        <v>2295</v>
      </c>
      <c r="W352" t="s">
        <v>2296</v>
      </c>
      <c r="X352" t="s">
        <v>2297</v>
      </c>
      <c r="Y352" t="s">
        <v>2298</v>
      </c>
      <c r="Z352" t="s">
        <v>2315</v>
      </c>
      <c r="AA352">
        <v>10</v>
      </c>
      <c r="AB352" s="14">
        <v>80</v>
      </c>
      <c r="AC352" t="s">
        <v>2316</v>
      </c>
      <c r="AD352" t="s">
        <v>2317</v>
      </c>
      <c r="AE352" t="s">
        <v>2643</v>
      </c>
      <c r="AF352">
        <v>14</v>
      </c>
      <c r="AG352">
        <v>0</v>
      </c>
      <c r="AH352">
        <v>13</v>
      </c>
      <c r="AI352">
        <v>1</v>
      </c>
      <c r="AJ352">
        <v>1</v>
      </c>
      <c r="AK352">
        <v>0</v>
      </c>
      <c r="AL352">
        <v>1</v>
      </c>
      <c r="AM352" s="14">
        <v>0</v>
      </c>
      <c r="AN352" t="s">
        <v>2644</v>
      </c>
      <c r="AO352" s="12">
        <v>46082</v>
      </c>
      <c r="AP352">
        <v>2026</v>
      </c>
      <c r="AQ352">
        <v>3</v>
      </c>
      <c r="AR352" t="s">
        <v>2650</v>
      </c>
    </row>
    <row r="353" spans="1:44">
      <c r="A353" t="s">
        <v>1349</v>
      </c>
      <c r="B353" s="12">
        <v>46083</v>
      </c>
      <c r="C353" s="12">
        <v>46080</v>
      </c>
      <c r="D353" t="s">
        <v>468</v>
      </c>
      <c r="E353" t="s">
        <v>268</v>
      </c>
      <c r="F353" t="s">
        <v>256</v>
      </c>
      <c r="G353" t="s">
        <v>886</v>
      </c>
      <c r="H353" t="s">
        <v>115</v>
      </c>
      <c r="I353" t="s">
        <v>271</v>
      </c>
      <c r="J353" s="13">
        <v>0.45833333333333331</v>
      </c>
      <c r="K353" s="13">
        <v>0.47013888888888888</v>
      </c>
      <c r="L353" s="13">
        <v>0.46180555555555558</v>
      </c>
      <c r="M353">
        <v>60</v>
      </c>
      <c r="N353" s="14">
        <v>95</v>
      </c>
      <c r="O353" t="s">
        <v>195</v>
      </c>
      <c r="P353">
        <v>4</v>
      </c>
      <c r="Q353" t="s">
        <v>318</v>
      </c>
      <c r="R353" t="s">
        <v>1273</v>
      </c>
      <c r="S353">
        <v>0</v>
      </c>
      <c r="T353">
        <v>0</v>
      </c>
      <c r="U353" t="s">
        <v>2285</v>
      </c>
      <c r="V353" t="s">
        <v>2286</v>
      </c>
      <c r="W353" t="s">
        <v>2287</v>
      </c>
      <c r="X353" t="s">
        <v>2288</v>
      </c>
      <c r="Y353" t="s">
        <v>2289</v>
      </c>
      <c r="Z353" t="s">
        <v>2312</v>
      </c>
      <c r="AA353">
        <v>21</v>
      </c>
      <c r="AB353" s="14">
        <v>95</v>
      </c>
      <c r="AC353" t="s">
        <v>2313</v>
      </c>
      <c r="AD353" t="s">
        <v>2314</v>
      </c>
      <c r="AE353" t="s">
        <v>2643</v>
      </c>
      <c r="AF353">
        <v>3</v>
      </c>
      <c r="AG353">
        <v>1</v>
      </c>
      <c r="AJ353">
        <v>1</v>
      </c>
      <c r="AK353">
        <v>0</v>
      </c>
      <c r="AL353">
        <v>1</v>
      </c>
      <c r="AM353" s="14">
        <v>0</v>
      </c>
      <c r="AN353" t="s">
        <v>2644</v>
      </c>
      <c r="AO353" s="12">
        <v>46082</v>
      </c>
      <c r="AP353">
        <v>2026</v>
      </c>
      <c r="AQ353">
        <v>3</v>
      </c>
      <c r="AR353" t="s">
        <v>2650</v>
      </c>
    </row>
    <row r="354" spans="1:44">
      <c r="A354" t="s">
        <v>1352</v>
      </c>
      <c r="B354" s="12">
        <v>46099</v>
      </c>
      <c r="C354" s="12">
        <v>46060</v>
      </c>
      <c r="D354" t="s">
        <v>1042</v>
      </c>
      <c r="E354" t="s">
        <v>268</v>
      </c>
      <c r="F354" t="s">
        <v>297</v>
      </c>
      <c r="G354" t="s">
        <v>628</v>
      </c>
      <c r="H354" t="s">
        <v>115</v>
      </c>
      <c r="I354" t="s">
        <v>299</v>
      </c>
      <c r="J354" s="13">
        <v>0.41666666666666669</v>
      </c>
      <c r="K354" s="13">
        <v>0.42708333333333331</v>
      </c>
      <c r="L354" s="13">
        <v>0.42986111111111114</v>
      </c>
      <c r="M354">
        <v>45</v>
      </c>
      <c r="N354" s="14">
        <v>65</v>
      </c>
      <c r="O354" t="s">
        <v>195</v>
      </c>
      <c r="P354">
        <v>5</v>
      </c>
      <c r="Q354" t="s">
        <v>262</v>
      </c>
      <c r="R354" t="s">
        <v>1273</v>
      </c>
      <c r="S354">
        <v>0</v>
      </c>
      <c r="T354">
        <v>0</v>
      </c>
      <c r="U354" t="s">
        <v>2285</v>
      </c>
      <c r="V354" t="s">
        <v>2286</v>
      </c>
      <c r="W354" t="s">
        <v>2287</v>
      </c>
      <c r="X354" t="s">
        <v>2288</v>
      </c>
      <c r="Y354" t="s">
        <v>2289</v>
      </c>
      <c r="Z354" t="s">
        <v>2306</v>
      </c>
      <c r="AA354">
        <v>7</v>
      </c>
      <c r="AB354" s="14">
        <v>65</v>
      </c>
      <c r="AC354" t="s">
        <v>2307</v>
      </c>
      <c r="AD354" t="s">
        <v>2308</v>
      </c>
      <c r="AE354" t="s">
        <v>2643</v>
      </c>
      <c r="AF354">
        <v>39</v>
      </c>
      <c r="AG354">
        <v>0</v>
      </c>
      <c r="AH354">
        <v>4</v>
      </c>
      <c r="AI354">
        <v>1</v>
      </c>
      <c r="AJ354">
        <v>1</v>
      </c>
      <c r="AK354">
        <v>0</v>
      </c>
      <c r="AL354">
        <v>1</v>
      </c>
      <c r="AM354" s="14">
        <v>0</v>
      </c>
      <c r="AN354" t="s">
        <v>2644</v>
      </c>
      <c r="AO354" s="12">
        <v>46082</v>
      </c>
      <c r="AP354">
        <v>2026</v>
      </c>
      <c r="AQ354">
        <v>3</v>
      </c>
      <c r="AR354" t="s">
        <v>2650</v>
      </c>
    </row>
    <row r="355" spans="1:44">
      <c r="A355" t="s">
        <v>1354</v>
      </c>
      <c r="B355" s="12">
        <v>46100</v>
      </c>
      <c r="C355" s="12">
        <v>46096</v>
      </c>
      <c r="D355" t="s">
        <v>465</v>
      </c>
      <c r="E355" t="s">
        <v>255</v>
      </c>
      <c r="F355" t="s">
        <v>256</v>
      </c>
      <c r="G355" t="s">
        <v>398</v>
      </c>
      <c r="H355" t="s">
        <v>127</v>
      </c>
      <c r="I355" t="s">
        <v>316</v>
      </c>
      <c r="J355" s="13">
        <v>0.47916666666666669</v>
      </c>
      <c r="K355" s="13"/>
      <c r="L355" s="13"/>
      <c r="M355">
        <v>0</v>
      </c>
      <c r="N355" s="14">
        <v>95</v>
      </c>
      <c r="O355" t="s">
        <v>169</v>
      </c>
      <c r="Q355" t="s">
        <v>305</v>
      </c>
      <c r="R355" t="s">
        <v>1273</v>
      </c>
      <c r="S355">
        <v>0</v>
      </c>
      <c r="T355">
        <v>0</v>
      </c>
      <c r="U355" t="s">
        <v>2299</v>
      </c>
      <c r="V355" t="s">
        <v>2295</v>
      </c>
      <c r="W355" t="s">
        <v>2300</v>
      </c>
      <c r="X355" t="s">
        <v>2288</v>
      </c>
      <c r="Y355" t="s">
        <v>2301</v>
      </c>
      <c r="Z355" t="s">
        <v>2312</v>
      </c>
      <c r="AA355">
        <v>21</v>
      </c>
      <c r="AB355" s="14">
        <v>95</v>
      </c>
      <c r="AC355" t="s">
        <v>2313</v>
      </c>
      <c r="AD355" t="s">
        <v>2314</v>
      </c>
      <c r="AE355" t="s">
        <v>2643</v>
      </c>
      <c r="AF355">
        <v>4</v>
      </c>
      <c r="AG355">
        <v>1</v>
      </c>
      <c r="AJ355">
        <v>0</v>
      </c>
      <c r="AL355">
        <v>1</v>
      </c>
      <c r="AM355" s="14">
        <v>0</v>
      </c>
      <c r="AN355" t="s">
        <v>2644</v>
      </c>
      <c r="AO355" s="12">
        <v>46082</v>
      </c>
      <c r="AP355">
        <v>2026</v>
      </c>
      <c r="AQ355">
        <v>3</v>
      </c>
      <c r="AR355" t="s">
        <v>2650</v>
      </c>
    </row>
    <row r="356" spans="1:44">
      <c r="A356" t="s">
        <v>1356</v>
      </c>
      <c r="B356" s="12">
        <v>46084</v>
      </c>
      <c r="C356" s="12">
        <v>46080</v>
      </c>
      <c r="D356" t="s">
        <v>711</v>
      </c>
      <c r="E356" t="s">
        <v>339</v>
      </c>
      <c r="F356" t="s">
        <v>282</v>
      </c>
      <c r="G356" t="s">
        <v>461</v>
      </c>
      <c r="H356" t="s">
        <v>115</v>
      </c>
      <c r="I356" t="s">
        <v>316</v>
      </c>
      <c r="J356" s="13">
        <v>0.5625</v>
      </c>
      <c r="K356" s="13">
        <v>0.5708333333333333</v>
      </c>
      <c r="L356" s="13">
        <v>0.58472222222222225</v>
      </c>
      <c r="M356">
        <v>60</v>
      </c>
      <c r="N356" s="14">
        <v>120</v>
      </c>
      <c r="O356" t="s">
        <v>169</v>
      </c>
      <c r="P356">
        <v>2</v>
      </c>
      <c r="Q356" t="s">
        <v>305</v>
      </c>
      <c r="R356" t="s">
        <v>1273</v>
      </c>
      <c r="S356">
        <v>0</v>
      </c>
      <c r="T356">
        <v>0</v>
      </c>
      <c r="U356" t="s">
        <v>2294</v>
      </c>
      <c r="V356" t="s">
        <v>2295</v>
      </c>
      <c r="W356" t="s">
        <v>2296</v>
      </c>
      <c r="X356" t="s">
        <v>2297</v>
      </c>
      <c r="Y356" t="s">
        <v>2298</v>
      </c>
      <c r="Z356" t="s">
        <v>2309</v>
      </c>
      <c r="AA356">
        <v>14</v>
      </c>
      <c r="AB356" s="14">
        <v>120</v>
      </c>
      <c r="AC356" t="s">
        <v>2310</v>
      </c>
      <c r="AD356" t="s">
        <v>2311</v>
      </c>
      <c r="AE356" t="s">
        <v>2643</v>
      </c>
      <c r="AF356">
        <v>4</v>
      </c>
      <c r="AG356">
        <v>1</v>
      </c>
      <c r="AH356">
        <v>20</v>
      </c>
      <c r="AI356">
        <v>1</v>
      </c>
      <c r="AJ356">
        <v>1</v>
      </c>
      <c r="AK356">
        <v>0</v>
      </c>
      <c r="AL356">
        <v>1</v>
      </c>
      <c r="AM356" s="14">
        <v>0</v>
      </c>
      <c r="AN356" t="s">
        <v>2644</v>
      </c>
      <c r="AO356" s="12">
        <v>46082</v>
      </c>
      <c r="AP356">
        <v>2026</v>
      </c>
      <c r="AQ356">
        <v>3</v>
      </c>
      <c r="AR356" t="s">
        <v>2650</v>
      </c>
    </row>
    <row r="357" spans="1:44">
      <c r="A357" t="s">
        <v>1358</v>
      </c>
      <c r="B357" s="12">
        <v>46092</v>
      </c>
      <c r="C357" s="12">
        <v>46056</v>
      </c>
      <c r="D357" t="s">
        <v>450</v>
      </c>
      <c r="E357" t="s">
        <v>339</v>
      </c>
      <c r="F357" t="s">
        <v>409</v>
      </c>
      <c r="G357" t="s">
        <v>476</v>
      </c>
      <c r="H357" t="s">
        <v>115</v>
      </c>
      <c r="I357" t="s">
        <v>316</v>
      </c>
      <c r="J357" s="13">
        <v>0.375</v>
      </c>
      <c r="K357" s="13">
        <v>0.37430555555555556</v>
      </c>
      <c r="L357" s="13">
        <v>0.38263888888888886</v>
      </c>
      <c r="M357">
        <v>45</v>
      </c>
      <c r="N357" s="14">
        <v>150</v>
      </c>
      <c r="O357" t="s">
        <v>195</v>
      </c>
      <c r="P357">
        <v>3</v>
      </c>
      <c r="Q357" t="s">
        <v>285</v>
      </c>
      <c r="R357" t="s">
        <v>1273</v>
      </c>
      <c r="S357">
        <v>0</v>
      </c>
      <c r="T357">
        <v>0</v>
      </c>
      <c r="U357" t="s">
        <v>2294</v>
      </c>
      <c r="V357" t="s">
        <v>2295</v>
      </c>
      <c r="W357" t="s">
        <v>2296</v>
      </c>
      <c r="X357" t="s">
        <v>2297</v>
      </c>
      <c r="Y357" t="s">
        <v>2298</v>
      </c>
      <c r="Z357" t="s">
        <v>2318</v>
      </c>
      <c r="AA357">
        <v>28</v>
      </c>
      <c r="AB357" s="14">
        <v>150</v>
      </c>
      <c r="AC357" t="s">
        <v>2319</v>
      </c>
      <c r="AD357" t="s">
        <v>2320</v>
      </c>
      <c r="AE357" t="s">
        <v>2643</v>
      </c>
      <c r="AF357">
        <v>36</v>
      </c>
      <c r="AG357">
        <v>0</v>
      </c>
      <c r="AH357">
        <v>12</v>
      </c>
      <c r="AI357">
        <v>1</v>
      </c>
      <c r="AJ357">
        <v>1</v>
      </c>
      <c r="AK357">
        <v>0</v>
      </c>
      <c r="AL357">
        <v>1</v>
      </c>
      <c r="AM357" s="14">
        <v>0</v>
      </c>
      <c r="AN357" t="s">
        <v>2644</v>
      </c>
      <c r="AO357" s="12">
        <v>46082</v>
      </c>
      <c r="AP357">
        <v>2026</v>
      </c>
      <c r="AQ357">
        <v>3</v>
      </c>
      <c r="AR357" t="s">
        <v>2650</v>
      </c>
    </row>
    <row r="358" spans="1:44">
      <c r="A358" t="s">
        <v>1360</v>
      </c>
      <c r="B358" s="12">
        <v>46101</v>
      </c>
      <c r="C358" s="12">
        <v>46062</v>
      </c>
      <c r="D358" t="s">
        <v>1361</v>
      </c>
      <c r="E358" t="s">
        <v>339</v>
      </c>
      <c r="F358" t="s">
        <v>269</v>
      </c>
      <c r="G358" t="s">
        <v>340</v>
      </c>
      <c r="H358" t="s">
        <v>127</v>
      </c>
      <c r="I358" t="s">
        <v>258</v>
      </c>
      <c r="J358" s="13">
        <v>0.35416666666666669</v>
      </c>
      <c r="K358" s="13"/>
      <c r="L358" s="13"/>
      <c r="M358">
        <v>0</v>
      </c>
      <c r="N358" s="14">
        <v>80</v>
      </c>
      <c r="O358" t="s">
        <v>169</v>
      </c>
      <c r="Q358" t="s">
        <v>318</v>
      </c>
      <c r="R358" t="s">
        <v>1273</v>
      </c>
      <c r="S358">
        <v>0</v>
      </c>
      <c r="T358">
        <v>0</v>
      </c>
      <c r="U358" t="s">
        <v>2294</v>
      </c>
      <c r="V358" t="s">
        <v>2295</v>
      </c>
      <c r="W358" t="s">
        <v>2296</v>
      </c>
      <c r="X358" t="s">
        <v>2297</v>
      </c>
      <c r="Y358" t="s">
        <v>2298</v>
      </c>
      <c r="Z358" t="s">
        <v>2315</v>
      </c>
      <c r="AA358">
        <v>10</v>
      </c>
      <c r="AB358" s="14">
        <v>80</v>
      </c>
      <c r="AC358" t="s">
        <v>2316</v>
      </c>
      <c r="AD358" t="s">
        <v>2317</v>
      </c>
      <c r="AE358" t="s">
        <v>2643</v>
      </c>
      <c r="AF358">
        <v>39</v>
      </c>
      <c r="AG358">
        <v>0</v>
      </c>
      <c r="AJ358">
        <v>0</v>
      </c>
      <c r="AL358">
        <v>1</v>
      </c>
      <c r="AM358" s="14">
        <v>0</v>
      </c>
      <c r="AN358" t="s">
        <v>2644</v>
      </c>
      <c r="AO358" s="12">
        <v>46082</v>
      </c>
      <c r="AP358">
        <v>2026</v>
      </c>
      <c r="AQ358">
        <v>3</v>
      </c>
      <c r="AR358" t="s">
        <v>2650</v>
      </c>
    </row>
    <row r="359" spans="1:44">
      <c r="A359" t="s">
        <v>1362</v>
      </c>
      <c r="B359" s="12">
        <v>46112</v>
      </c>
      <c r="C359" s="12">
        <v>46110</v>
      </c>
      <c r="D359" t="s">
        <v>865</v>
      </c>
      <c r="E359" t="s">
        <v>268</v>
      </c>
      <c r="F359" t="s">
        <v>269</v>
      </c>
      <c r="G359" t="s">
        <v>435</v>
      </c>
      <c r="H359" t="s">
        <v>115</v>
      </c>
      <c r="I359" t="s">
        <v>316</v>
      </c>
      <c r="J359" s="13">
        <v>0.41666666666666669</v>
      </c>
      <c r="K359" s="13">
        <v>0.41666666666666669</v>
      </c>
      <c r="L359" s="13">
        <v>0.43472222222222223</v>
      </c>
      <c r="M359">
        <v>45</v>
      </c>
      <c r="N359" s="14">
        <v>80</v>
      </c>
      <c r="O359" t="s">
        <v>195</v>
      </c>
      <c r="P359">
        <v>3</v>
      </c>
      <c r="Q359" t="s">
        <v>285</v>
      </c>
      <c r="R359" t="s">
        <v>1273</v>
      </c>
      <c r="S359">
        <v>0</v>
      </c>
      <c r="T359">
        <v>0</v>
      </c>
      <c r="U359" t="s">
        <v>2285</v>
      </c>
      <c r="V359" t="s">
        <v>2286</v>
      </c>
      <c r="W359" t="s">
        <v>2287</v>
      </c>
      <c r="X359" t="s">
        <v>2288</v>
      </c>
      <c r="Y359" t="s">
        <v>2289</v>
      </c>
      <c r="Z359" t="s">
        <v>2315</v>
      </c>
      <c r="AA359">
        <v>10</v>
      </c>
      <c r="AB359" s="14">
        <v>80</v>
      </c>
      <c r="AC359" t="s">
        <v>2316</v>
      </c>
      <c r="AD359" t="s">
        <v>2317</v>
      </c>
      <c r="AE359" t="s">
        <v>2643</v>
      </c>
      <c r="AF359">
        <v>2</v>
      </c>
      <c r="AG359">
        <v>1</v>
      </c>
      <c r="AH359">
        <v>26</v>
      </c>
      <c r="AI359">
        <v>1</v>
      </c>
      <c r="AJ359">
        <v>1</v>
      </c>
      <c r="AK359">
        <v>0</v>
      </c>
      <c r="AL359">
        <v>1</v>
      </c>
      <c r="AM359" s="14">
        <v>0</v>
      </c>
      <c r="AN359" t="s">
        <v>2644</v>
      </c>
      <c r="AO359" s="12">
        <v>46082</v>
      </c>
      <c r="AP359">
        <v>2026</v>
      </c>
      <c r="AQ359">
        <v>3</v>
      </c>
      <c r="AR359" t="s">
        <v>2650</v>
      </c>
    </row>
    <row r="360" spans="1:44">
      <c r="A360" t="s">
        <v>1365</v>
      </c>
      <c r="B360" s="12">
        <v>46084</v>
      </c>
      <c r="C360" s="12">
        <v>46075</v>
      </c>
      <c r="D360" t="s">
        <v>1366</v>
      </c>
      <c r="E360" t="s">
        <v>281</v>
      </c>
      <c r="F360" t="s">
        <v>269</v>
      </c>
      <c r="G360" t="s">
        <v>322</v>
      </c>
      <c r="H360" t="s">
        <v>115</v>
      </c>
      <c r="I360" t="s">
        <v>299</v>
      </c>
      <c r="J360" s="13">
        <v>0.52083333333333337</v>
      </c>
      <c r="K360" s="13">
        <v>0.51875000000000004</v>
      </c>
      <c r="L360" s="13">
        <v>0.53749999999999998</v>
      </c>
      <c r="M360">
        <v>20</v>
      </c>
      <c r="N360" s="14">
        <v>80</v>
      </c>
      <c r="O360" t="s">
        <v>195</v>
      </c>
      <c r="P360">
        <v>4</v>
      </c>
      <c r="Q360" t="s">
        <v>285</v>
      </c>
      <c r="R360" t="s">
        <v>1273</v>
      </c>
      <c r="S360">
        <v>0</v>
      </c>
      <c r="T360">
        <v>0</v>
      </c>
      <c r="U360" t="s">
        <v>2290</v>
      </c>
      <c r="V360" t="s">
        <v>2291</v>
      </c>
      <c r="W360" t="s">
        <v>2292</v>
      </c>
      <c r="X360" t="s">
        <v>2288</v>
      </c>
      <c r="Y360" t="s">
        <v>2293</v>
      </c>
      <c r="Z360" t="s">
        <v>2315</v>
      </c>
      <c r="AA360">
        <v>10</v>
      </c>
      <c r="AB360" s="14">
        <v>80</v>
      </c>
      <c r="AC360" t="s">
        <v>2316</v>
      </c>
      <c r="AD360" t="s">
        <v>2317</v>
      </c>
      <c r="AE360" t="s">
        <v>2643</v>
      </c>
      <c r="AF360">
        <v>9</v>
      </c>
      <c r="AG360">
        <v>1</v>
      </c>
      <c r="AH360">
        <v>27</v>
      </c>
      <c r="AI360">
        <v>1</v>
      </c>
      <c r="AJ360">
        <v>1</v>
      </c>
      <c r="AK360">
        <v>0</v>
      </c>
      <c r="AL360">
        <v>1</v>
      </c>
      <c r="AM360" s="14">
        <v>0</v>
      </c>
      <c r="AN360" t="s">
        <v>2644</v>
      </c>
      <c r="AO360" s="12">
        <v>46082</v>
      </c>
      <c r="AP360">
        <v>2026</v>
      </c>
      <c r="AQ360">
        <v>3</v>
      </c>
      <c r="AR360" t="s">
        <v>2650</v>
      </c>
    </row>
    <row r="361" spans="1:44">
      <c r="A361" t="s">
        <v>1367</v>
      </c>
      <c r="B361" s="12">
        <v>46112</v>
      </c>
      <c r="C361" s="12">
        <v>46111</v>
      </c>
      <c r="D361" t="s">
        <v>823</v>
      </c>
      <c r="E361" t="s">
        <v>339</v>
      </c>
      <c r="F361" t="s">
        <v>297</v>
      </c>
      <c r="G361" t="s">
        <v>780</v>
      </c>
      <c r="H361" t="s">
        <v>115</v>
      </c>
      <c r="I361" t="s">
        <v>271</v>
      </c>
      <c r="J361" s="13">
        <v>0.64583333333333337</v>
      </c>
      <c r="K361" s="13">
        <v>0.65277777777777779</v>
      </c>
      <c r="L361" s="13">
        <v>0.64652777777777781</v>
      </c>
      <c r="M361">
        <v>30</v>
      </c>
      <c r="N361" s="14">
        <v>65</v>
      </c>
      <c r="O361" t="s">
        <v>195</v>
      </c>
      <c r="P361">
        <v>2</v>
      </c>
      <c r="Q361" t="s">
        <v>326</v>
      </c>
      <c r="R361" t="s">
        <v>1273</v>
      </c>
      <c r="S361">
        <v>0</v>
      </c>
      <c r="T361">
        <v>0</v>
      </c>
      <c r="U361" t="s">
        <v>2294</v>
      </c>
      <c r="V361" t="s">
        <v>2295</v>
      </c>
      <c r="W361" t="s">
        <v>2296</v>
      </c>
      <c r="X361" t="s">
        <v>2297</v>
      </c>
      <c r="Y361" t="s">
        <v>2298</v>
      </c>
      <c r="Z361" t="s">
        <v>2306</v>
      </c>
      <c r="AA361">
        <v>7</v>
      </c>
      <c r="AB361" s="14">
        <v>65</v>
      </c>
      <c r="AC361" t="s">
        <v>2307</v>
      </c>
      <c r="AD361" t="s">
        <v>2308</v>
      </c>
      <c r="AE361" t="s">
        <v>2643</v>
      </c>
      <c r="AF361">
        <v>1</v>
      </c>
      <c r="AG361">
        <v>1</v>
      </c>
      <c r="AJ361">
        <v>1</v>
      </c>
      <c r="AK361">
        <v>0</v>
      </c>
      <c r="AL361">
        <v>1</v>
      </c>
      <c r="AM361" s="14">
        <v>0</v>
      </c>
      <c r="AN361" t="s">
        <v>2644</v>
      </c>
      <c r="AO361" s="12">
        <v>46082</v>
      </c>
      <c r="AP361">
        <v>2026</v>
      </c>
      <c r="AQ361">
        <v>3</v>
      </c>
      <c r="AR361" t="s">
        <v>2650</v>
      </c>
    </row>
    <row r="362" spans="1:44">
      <c r="A362" t="s">
        <v>1369</v>
      </c>
      <c r="B362" s="12">
        <v>46082</v>
      </c>
      <c r="C362" s="12">
        <v>46058</v>
      </c>
      <c r="D362" t="s">
        <v>795</v>
      </c>
      <c r="E362" t="s">
        <v>339</v>
      </c>
      <c r="F362" t="s">
        <v>297</v>
      </c>
      <c r="G362" t="s">
        <v>780</v>
      </c>
      <c r="H362" t="s">
        <v>115</v>
      </c>
      <c r="I362" t="s">
        <v>299</v>
      </c>
      <c r="J362" s="13">
        <v>0.47916666666666669</v>
      </c>
      <c r="K362" s="13">
        <v>0.4909722222222222</v>
      </c>
      <c r="L362" s="13">
        <v>0.50624999999999998</v>
      </c>
      <c r="M362">
        <v>20</v>
      </c>
      <c r="N362" s="14">
        <v>65</v>
      </c>
      <c r="O362" t="s">
        <v>195</v>
      </c>
      <c r="P362">
        <v>5</v>
      </c>
      <c r="Q362" t="s">
        <v>262</v>
      </c>
      <c r="R362" t="s">
        <v>1273</v>
      </c>
      <c r="S362">
        <v>0</v>
      </c>
      <c r="T362">
        <v>0</v>
      </c>
      <c r="U362" t="s">
        <v>2294</v>
      </c>
      <c r="V362" t="s">
        <v>2295</v>
      </c>
      <c r="W362" t="s">
        <v>2296</v>
      </c>
      <c r="X362" t="s">
        <v>2297</v>
      </c>
      <c r="Y362" t="s">
        <v>2298</v>
      </c>
      <c r="Z362" t="s">
        <v>2306</v>
      </c>
      <c r="AA362">
        <v>7</v>
      </c>
      <c r="AB362" s="14">
        <v>65</v>
      </c>
      <c r="AC362" t="s">
        <v>2307</v>
      </c>
      <c r="AD362" t="s">
        <v>2308</v>
      </c>
      <c r="AE362" t="s">
        <v>2643</v>
      </c>
      <c r="AF362">
        <v>24</v>
      </c>
      <c r="AG362">
        <v>0</v>
      </c>
      <c r="AH362">
        <v>22</v>
      </c>
      <c r="AI362">
        <v>1</v>
      </c>
      <c r="AJ362">
        <v>1</v>
      </c>
      <c r="AK362">
        <v>0</v>
      </c>
      <c r="AL362">
        <v>1</v>
      </c>
      <c r="AM362" s="14">
        <v>0</v>
      </c>
      <c r="AN362" t="s">
        <v>2644</v>
      </c>
      <c r="AO362" s="12">
        <v>46082</v>
      </c>
      <c r="AP362">
        <v>2026</v>
      </c>
      <c r="AQ362">
        <v>3</v>
      </c>
      <c r="AR362" t="s">
        <v>2650</v>
      </c>
    </row>
    <row r="363" spans="1:44">
      <c r="A363" t="s">
        <v>1371</v>
      </c>
      <c r="B363" s="12">
        <v>46093</v>
      </c>
      <c r="C363" s="12">
        <v>46080</v>
      </c>
      <c r="D363" t="s">
        <v>1227</v>
      </c>
      <c r="E363" t="s">
        <v>255</v>
      </c>
      <c r="F363" t="s">
        <v>269</v>
      </c>
      <c r="G363" t="s">
        <v>542</v>
      </c>
      <c r="H363" t="s">
        <v>115</v>
      </c>
      <c r="I363" t="s">
        <v>299</v>
      </c>
      <c r="J363" s="13">
        <v>0.4375</v>
      </c>
      <c r="K363" s="13">
        <v>0.43819444444444444</v>
      </c>
      <c r="L363" s="13">
        <v>0.45</v>
      </c>
      <c r="M363">
        <v>60</v>
      </c>
      <c r="N363" s="14">
        <v>80</v>
      </c>
      <c r="O363" t="s">
        <v>169</v>
      </c>
      <c r="P363">
        <v>5</v>
      </c>
      <c r="Q363" t="s">
        <v>326</v>
      </c>
      <c r="R363" t="s">
        <v>1273</v>
      </c>
      <c r="S363">
        <v>0</v>
      </c>
      <c r="T363">
        <v>0</v>
      </c>
      <c r="U363" t="s">
        <v>2299</v>
      </c>
      <c r="V363" t="s">
        <v>2295</v>
      </c>
      <c r="W363" t="s">
        <v>2300</v>
      </c>
      <c r="X363" t="s">
        <v>2288</v>
      </c>
      <c r="Y363" t="s">
        <v>2301</v>
      </c>
      <c r="Z363" t="s">
        <v>2315</v>
      </c>
      <c r="AA363">
        <v>10</v>
      </c>
      <c r="AB363" s="14">
        <v>80</v>
      </c>
      <c r="AC363" t="s">
        <v>2316</v>
      </c>
      <c r="AD363" t="s">
        <v>2317</v>
      </c>
      <c r="AE363" t="s">
        <v>2643</v>
      </c>
      <c r="AF363">
        <v>13</v>
      </c>
      <c r="AG363">
        <v>0</v>
      </c>
      <c r="AH363">
        <v>17</v>
      </c>
      <c r="AI363">
        <v>1</v>
      </c>
      <c r="AJ363">
        <v>1</v>
      </c>
      <c r="AK363">
        <v>0</v>
      </c>
      <c r="AL363">
        <v>1</v>
      </c>
      <c r="AM363" s="14">
        <v>0</v>
      </c>
      <c r="AN363" t="s">
        <v>2644</v>
      </c>
      <c r="AO363" s="12">
        <v>46082</v>
      </c>
      <c r="AP363">
        <v>2026</v>
      </c>
      <c r="AQ363">
        <v>3</v>
      </c>
      <c r="AR363" t="s">
        <v>2650</v>
      </c>
    </row>
    <row r="364" spans="1:44">
      <c r="A364" t="s">
        <v>1372</v>
      </c>
      <c r="B364" s="12">
        <v>46084</v>
      </c>
      <c r="C364" s="12">
        <v>46082</v>
      </c>
      <c r="D364" t="s">
        <v>1022</v>
      </c>
      <c r="E364" t="s">
        <v>339</v>
      </c>
      <c r="F364" t="s">
        <v>256</v>
      </c>
      <c r="G364" t="s">
        <v>345</v>
      </c>
      <c r="H364" t="s">
        <v>115</v>
      </c>
      <c r="I364" t="s">
        <v>299</v>
      </c>
      <c r="J364" s="13">
        <v>0.54166666666666663</v>
      </c>
      <c r="K364" s="13">
        <v>0.54027777777777775</v>
      </c>
      <c r="L364" s="13">
        <v>0.54305555555555551</v>
      </c>
      <c r="M364">
        <v>60</v>
      </c>
      <c r="N364" s="14">
        <v>95</v>
      </c>
      <c r="O364" t="s">
        <v>169</v>
      </c>
      <c r="P364">
        <v>3</v>
      </c>
      <c r="Q364" t="s">
        <v>262</v>
      </c>
      <c r="R364" t="s">
        <v>1273</v>
      </c>
      <c r="S364">
        <v>0</v>
      </c>
      <c r="T364">
        <v>0</v>
      </c>
      <c r="U364" t="s">
        <v>2294</v>
      </c>
      <c r="V364" t="s">
        <v>2295</v>
      </c>
      <c r="W364" t="s">
        <v>2296</v>
      </c>
      <c r="X364" t="s">
        <v>2297</v>
      </c>
      <c r="Y364" t="s">
        <v>2298</v>
      </c>
      <c r="Z364" t="s">
        <v>2312</v>
      </c>
      <c r="AA364">
        <v>21</v>
      </c>
      <c r="AB364" s="14">
        <v>95</v>
      </c>
      <c r="AC364" t="s">
        <v>2313</v>
      </c>
      <c r="AD364" t="s">
        <v>2314</v>
      </c>
      <c r="AE364" t="s">
        <v>2643</v>
      </c>
      <c r="AF364">
        <v>2</v>
      </c>
      <c r="AG364">
        <v>1</v>
      </c>
      <c r="AH364">
        <v>4</v>
      </c>
      <c r="AI364">
        <v>1</v>
      </c>
      <c r="AJ364">
        <v>1</v>
      </c>
      <c r="AK364">
        <v>0</v>
      </c>
      <c r="AL364">
        <v>1</v>
      </c>
      <c r="AM364" s="14">
        <v>0</v>
      </c>
      <c r="AN364" t="s">
        <v>2644</v>
      </c>
      <c r="AO364" s="12">
        <v>46082</v>
      </c>
      <c r="AP364">
        <v>2026</v>
      </c>
      <c r="AQ364">
        <v>3</v>
      </c>
      <c r="AR364" t="s">
        <v>2650</v>
      </c>
    </row>
    <row r="365" spans="1:44">
      <c r="A365" t="s">
        <v>1373</v>
      </c>
      <c r="B365" s="12">
        <v>46106</v>
      </c>
      <c r="C365" s="12">
        <v>46088</v>
      </c>
      <c r="D365" t="s">
        <v>682</v>
      </c>
      <c r="E365" t="s">
        <v>281</v>
      </c>
      <c r="F365" t="s">
        <v>269</v>
      </c>
      <c r="G365" t="s">
        <v>322</v>
      </c>
      <c r="H365" t="s">
        <v>122</v>
      </c>
      <c r="I365" t="s">
        <v>299</v>
      </c>
      <c r="J365" s="13">
        <v>0.47916666666666669</v>
      </c>
      <c r="K365" s="13"/>
      <c r="L365" s="13"/>
      <c r="M365">
        <v>0</v>
      </c>
      <c r="N365" s="14">
        <v>80</v>
      </c>
      <c r="O365" t="s">
        <v>195</v>
      </c>
      <c r="Q365" t="s">
        <v>305</v>
      </c>
      <c r="R365" t="s">
        <v>1273</v>
      </c>
      <c r="S365">
        <v>0</v>
      </c>
      <c r="T365">
        <v>0</v>
      </c>
      <c r="U365" t="s">
        <v>2290</v>
      </c>
      <c r="V365" t="s">
        <v>2291</v>
      </c>
      <c r="W365" t="s">
        <v>2292</v>
      </c>
      <c r="X365" t="s">
        <v>2288</v>
      </c>
      <c r="Y365" t="s">
        <v>2293</v>
      </c>
      <c r="Z365" t="s">
        <v>2315</v>
      </c>
      <c r="AA365">
        <v>10</v>
      </c>
      <c r="AB365" s="14">
        <v>80</v>
      </c>
      <c r="AC365" t="s">
        <v>2316</v>
      </c>
      <c r="AD365" t="s">
        <v>2317</v>
      </c>
      <c r="AE365" t="s">
        <v>2643</v>
      </c>
      <c r="AF365">
        <v>18</v>
      </c>
      <c r="AG365">
        <v>0</v>
      </c>
      <c r="AJ365">
        <v>1</v>
      </c>
      <c r="AK365">
        <v>1</v>
      </c>
      <c r="AL365">
        <v>1</v>
      </c>
      <c r="AM365" s="14">
        <v>0</v>
      </c>
      <c r="AN365" t="s">
        <v>2644</v>
      </c>
      <c r="AO365" s="12">
        <v>46082</v>
      </c>
      <c r="AP365">
        <v>2026</v>
      </c>
      <c r="AQ365">
        <v>3</v>
      </c>
      <c r="AR365" t="s">
        <v>2650</v>
      </c>
    </row>
    <row r="366" spans="1:44">
      <c r="A366" t="s">
        <v>1374</v>
      </c>
      <c r="B366" s="12">
        <v>46111</v>
      </c>
      <c r="C366" s="12">
        <v>46062</v>
      </c>
      <c r="D366" t="s">
        <v>254</v>
      </c>
      <c r="E366" t="s">
        <v>268</v>
      </c>
      <c r="F366" t="s">
        <v>269</v>
      </c>
      <c r="G366" t="s">
        <v>270</v>
      </c>
      <c r="H366" t="s">
        <v>122</v>
      </c>
      <c r="I366" t="s">
        <v>258</v>
      </c>
      <c r="J366" s="13">
        <v>0.45833333333333331</v>
      </c>
      <c r="K366" s="13"/>
      <c r="L366" s="13"/>
      <c r="M366">
        <v>0</v>
      </c>
      <c r="N366" s="14">
        <v>80</v>
      </c>
      <c r="O366" t="s">
        <v>195</v>
      </c>
      <c r="Q366" t="s">
        <v>318</v>
      </c>
      <c r="R366" t="s">
        <v>1273</v>
      </c>
      <c r="S366">
        <v>0</v>
      </c>
      <c r="T366">
        <v>0</v>
      </c>
      <c r="U366" t="s">
        <v>2285</v>
      </c>
      <c r="V366" t="s">
        <v>2286</v>
      </c>
      <c r="W366" t="s">
        <v>2287</v>
      </c>
      <c r="X366" t="s">
        <v>2288</v>
      </c>
      <c r="Y366" t="s">
        <v>2289</v>
      </c>
      <c r="Z366" t="s">
        <v>2315</v>
      </c>
      <c r="AA366">
        <v>10</v>
      </c>
      <c r="AB366" s="14">
        <v>80</v>
      </c>
      <c r="AC366" t="s">
        <v>2316</v>
      </c>
      <c r="AD366" t="s">
        <v>2317</v>
      </c>
      <c r="AE366" t="s">
        <v>2643</v>
      </c>
      <c r="AF366">
        <v>49</v>
      </c>
      <c r="AG366">
        <v>0</v>
      </c>
      <c r="AJ366">
        <v>1</v>
      </c>
      <c r="AK366">
        <v>1</v>
      </c>
      <c r="AL366">
        <v>1</v>
      </c>
      <c r="AM366" s="14">
        <v>0</v>
      </c>
      <c r="AN366" t="s">
        <v>2644</v>
      </c>
      <c r="AO366" s="12">
        <v>46082</v>
      </c>
      <c r="AP366">
        <v>2026</v>
      </c>
      <c r="AQ366">
        <v>3</v>
      </c>
      <c r="AR366" t="s">
        <v>2650</v>
      </c>
    </row>
    <row r="367" spans="1:44">
      <c r="A367" t="s">
        <v>1375</v>
      </c>
      <c r="B367" s="12">
        <v>46095</v>
      </c>
      <c r="C367" s="12">
        <v>46043</v>
      </c>
      <c r="D367" t="s">
        <v>418</v>
      </c>
      <c r="E367" t="s">
        <v>255</v>
      </c>
      <c r="F367" t="s">
        <v>297</v>
      </c>
      <c r="G367" t="s">
        <v>639</v>
      </c>
      <c r="H367" t="s">
        <v>115</v>
      </c>
      <c r="I367" t="s">
        <v>299</v>
      </c>
      <c r="J367" s="13">
        <v>0.375</v>
      </c>
      <c r="K367" s="13">
        <v>0.37152777777777779</v>
      </c>
      <c r="L367" s="13">
        <v>0.37916666666666665</v>
      </c>
      <c r="M367">
        <v>30</v>
      </c>
      <c r="N367" s="14">
        <v>65</v>
      </c>
      <c r="O367" t="s">
        <v>195</v>
      </c>
      <c r="P367">
        <v>2</v>
      </c>
      <c r="Q367" t="s">
        <v>262</v>
      </c>
      <c r="R367" t="s">
        <v>1273</v>
      </c>
      <c r="S367">
        <v>0</v>
      </c>
      <c r="T367">
        <v>0</v>
      </c>
      <c r="U367" t="s">
        <v>2299</v>
      </c>
      <c r="V367" t="s">
        <v>2295</v>
      </c>
      <c r="W367" t="s">
        <v>2300</v>
      </c>
      <c r="X367" t="s">
        <v>2288</v>
      </c>
      <c r="Y367" t="s">
        <v>2301</v>
      </c>
      <c r="Z367" t="s">
        <v>2306</v>
      </c>
      <c r="AA367">
        <v>7</v>
      </c>
      <c r="AB367" s="14">
        <v>65</v>
      </c>
      <c r="AC367" t="s">
        <v>2307</v>
      </c>
      <c r="AD367" t="s">
        <v>2308</v>
      </c>
      <c r="AE367" t="s">
        <v>2643</v>
      </c>
      <c r="AF367">
        <v>52</v>
      </c>
      <c r="AG367">
        <v>0</v>
      </c>
      <c r="AH367">
        <v>11</v>
      </c>
      <c r="AI367">
        <v>1</v>
      </c>
      <c r="AJ367">
        <v>1</v>
      </c>
      <c r="AK367">
        <v>0</v>
      </c>
      <c r="AL367">
        <v>1</v>
      </c>
      <c r="AM367" s="14">
        <v>0</v>
      </c>
      <c r="AN367" t="s">
        <v>2644</v>
      </c>
      <c r="AO367" s="12">
        <v>46082</v>
      </c>
      <c r="AP367">
        <v>2026</v>
      </c>
      <c r="AQ367">
        <v>3</v>
      </c>
      <c r="AR367" t="s">
        <v>2650</v>
      </c>
    </row>
    <row r="368" spans="1:44">
      <c r="A368" t="s">
        <v>1377</v>
      </c>
      <c r="B368" s="12">
        <v>46093</v>
      </c>
      <c r="C368" s="12">
        <v>46040</v>
      </c>
      <c r="D368" t="s">
        <v>1378</v>
      </c>
      <c r="E368" t="s">
        <v>255</v>
      </c>
      <c r="F368" t="s">
        <v>297</v>
      </c>
      <c r="G368" t="s">
        <v>331</v>
      </c>
      <c r="H368" t="s">
        <v>115</v>
      </c>
      <c r="I368" t="s">
        <v>258</v>
      </c>
      <c r="J368" s="13">
        <v>0.35416666666666669</v>
      </c>
      <c r="K368" s="13">
        <v>0.34861111111111109</v>
      </c>
      <c r="L368" s="13">
        <v>0.37083333333333335</v>
      </c>
      <c r="M368">
        <v>20</v>
      </c>
      <c r="N368" s="14">
        <v>65</v>
      </c>
      <c r="O368" t="s">
        <v>169</v>
      </c>
      <c r="P368">
        <v>4</v>
      </c>
      <c r="Q368" t="s">
        <v>285</v>
      </c>
      <c r="R368" t="s">
        <v>1273</v>
      </c>
      <c r="S368">
        <v>0</v>
      </c>
      <c r="T368">
        <v>0</v>
      </c>
      <c r="U368" t="s">
        <v>2299</v>
      </c>
      <c r="V368" t="s">
        <v>2295</v>
      </c>
      <c r="W368" t="s">
        <v>2300</v>
      </c>
      <c r="X368" t="s">
        <v>2288</v>
      </c>
      <c r="Y368" t="s">
        <v>2301</v>
      </c>
      <c r="Z368" t="s">
        <v>2306</v>
      </c>
      <c r="AA368">
        <v>7</v>
      </c>
      <c r="AB368" s="14">
        <v>65</v>
      </c>
      <c r="AC368" t="s">
        <v>2307</v>
      </c>
      <c r="AD368" t="s">
        <v>2308</v>
      </c>
      <c r="AE368" t="s">
        <v>2643</v>
      </c>
      <c r="AF368">
        <v>53</v>
      </c>
      <c r="AG368">
        <v>0</v>
      </c>
      <c r="AH368">
        <v>32</v>
      </c>
      <c r="AI368">
        <v>0</v>
      </c>
      <c r="AJ368">
        <v>1</v>
      </c>
      <c r="AK368">
        <v>0</v>
      </c>
      <c r="AL368">
        <v>1</v>
      </c>
      <c r="AM368" s="14">
        <v>0</v>
      </c>
      <c r="AN368" t="s">
        <v>2644</v>
      </c>
      <c r="AO368" s="12">
        <v>46082</v>
      </c>
      <c r="AP368">
        <v>2026</v>
      </c>
      <c r="AQ368">
        <v>3</v>
      </c>
      <c r="AR368" t="s">
        <v>2650</v>
      </c>
    </row>
    <row r="369" spans="1:44">
      <c r="A369" t="s">
        <v>1380</v>
      </c>
      <c r="B369" s="12">
        <v>46094</v>
      </c>
      <c r="C369" s="12">
        <v>46052</v>
      </c>
      <c r="D369" t="s">
        <v>575</v>
      </c>
      <c r="E369" t="s">
        <v>339</v>
      </c>
      <c r="F369" t="s">
        <v>409</v>
      </c>
      <c r="G369" t="s">
        <v>501</v>
      </c>
      <c r="H369" t="s">
        <v>127</v>
      </c>
      <c r="I369" t="s">
        <v>299</v>
      </c>
      <c r="J369" s="13">
        <v>0.52083333333333337</v>
      </c>
      <c r="K369" s="13"/>
      <c r="L369" s="13"/>
      <c r="M369">
        <v>0</v>
      </c>
      <c r="N369" s="14">
        <v>150</v>
      </c>
      <c r="O369" t="s">
        <v>195</v>
      </c>
      <c r="Q369" t="s">
        <v>318</v>
      </c>
      <c r="R369" t="s">
        <v>1273</v>
      </c>
      <c r="S369">
        <v>0</v>
      </c>
      <c r="T369">
        <v>0</v>
      </c>
      <c r="U369" t="s">
        <v>2294</v>
      </c>
      <c r="V369" t="s">
        <v>2295</v>
      </c>
      <c r="W369" t="s">
        <v>2296</v>
      </c>
      <c r="X369" t="s">
        <v>2297</v>
      </c>
      <c r="Y369" t="s">
        <v>2298</v>
      </c>
      <c r="Z369" t="s">
        <v>2318</v>
      </c>
      <c r="AA369">
        <v>28</v>
      </c>
      <c r="AB369" s="14">
        <v>150</v>
      </c>
      <c r="AC369" t="s">
        <v>2319</v>
      </c>
      <c r="AD369" t="s">
        <v>2320</v>
      </c>
      <c r="AE369" t="s">
        <v>2643</v>
      </c>
      <c r="AF369">
        <v>42</v>
      </c>
      <c r="AG369">
        <v>0</v>
      </c>
      <c r="AJ369">
        <v>0</v>
      </c>
      <c r="AL369">
        <v>1</v>
      </c>
      <c r="AM369" s="14">
        <v>0</v>
      </c>
      <c r="AN369" t="s">
        <v>2644</v>
      </c>
      <c r="AO369" s="12">
        <v>46082</v>
      </c>
      <c r="AP369">
        <v>2026</v>
      </c>
      <c r="AQ369">
        <v>3</v>
      </c>
      <c r="AR369" t="s">
        <v>2650</v>
      </c>
    </row>
    <row r="370" spans="1:44">
      <c r="A370" t="s">
        <v>1382</v>
      </c>
      <c r="B370" s="12">
        <v>46107</v>
      </c>
      <c r="C370" s="12">
        <v>46066</v>
      </c>
      <c r="D370" t="s">
        <v>1383</v>
      </c>
      <c r="E370" t="s">
        <v>281</v>
      </c>
      <c r="F370" t="s">
        <v>409</v>
      </c>
      <c r="G370" t="s">
        <v>535</v>
      </c>
      <c r="H370" t="s">
        <v>122</v>
      </c>
      <c r="I370" t="s">
        <v>258</v>
      </c>
      <c r="J370" s="13">
        <v>0.52083333333333337</v>
      </c>
      <c r="K370" s="13"/>
      <c r="L370" s="13"/>
      <c r="M370">
        <v>0</v>
      </c>
      <c r="N370" s="14">
        <v>150</v>
      </c>
      <c r="O370" t="s">
        <v>169</v>
      </c>
      <c r="Q370" t="s">
        <v>326</v>
      </c>
      <c r="R370" t="s">
        <v>1273</v>
      </c>
      <c r="S370">
        <v>0</v>
      </c>
      <c r="T370">
        <v>0</v>
      </c>
      <c r="U370" t="s">
        <v>2290</v>
      </c>
      <c r="V370" t="s">
        <v>2291</v>
      </c>
      <c r="W370" t="s">
        <v>2292</v>
      </c>
      <c r="X370" t="s">
        <v>2288</v>
      </c>
      <c r="Y370" t="s">
        <v>2293</v>
      </c>
      <c r="Z370" t="s">
        <v>2318</v>
      </c>
      <c r="AA370">
        <v>28</v>
      </c>
      <c r="AB370" s="14">
        <v>150</v>
      </c>
      <c r="AC370" t="s">
        <v>2319</v>
      </c>
      <c r="AD370" t="s">
        <v>2320</v>
      </c>
      <c r="AE370" t="s">
        <v>2643</v>
      </c>
      <c r="AF370">
        <v>41</v>
      </c>
      <c r="AG370">
        <v>0</v>
      </c>
      <c r="AJ370">
        <v>1</v>
      </c>
      <c r="AK370">
        <v>1</v>
      </c>
      <c r="AL370">
        <v>1</v>
      </c>
      <c r="AM370" s="14">
        <v>0</v>
      </c>
      <c r="AN370" t="s">
        <v>2644</v>
      </c>
      <c r="AO370" s="12">
        <v>46082</v>
      </c>
      <c r="AP370">
        <v>2026</v>
      </c>
      <c r="AQ370">
        <v>3</v>
      </c>
      <c r="AR370" t="s">
        <v>2650</v>
      </c>
    </row>
    <row r="371" spans="1:44">
      <c r="A371" t="s">
        <v>1384</v>
      </c>
      <c r="B371" s="12">
        <v>46107</v>
      </c>
      <c r="C371" s="12">
        <v>46061</v>
      </c>
      <c r="D371" t="s">
        <v>765</v>
      </c>
      <c r="E371" t="s">
        <v>268</v>
      </c>
      <c r="F371" t="s">
        <v>282</v>
      </c>
      <c r="G371" t="s">
        <v>505</v>
      </c>
      <c r="H371" t="s">
        <v>115</v>
      </c>
      <c r="I371" t="s">
        <v>271</v>
      </c>
      <c r="J371" s="13">
        <v>0.33333333333333331</v>
      </c>
      <c r="K371" s="13">
        <v>0.3263888888888889</v>
      </c>
      <c r="L371" s="13">
        <v>0.35</v>
      </c>
      <c r="M371">
        <v>45</v>
      </c>
      <c r="N371" s="14">
        <v>120</v>
      </c>
      <c r="O371" t="s">
        <v>195</v>
      </c>
      <c r="P371">
        <v>2</v>
      </c>
      <c r="Q371" t="s">
        <v>326</v>
      </c>
      <c r="R371" t="s">
        <v>1273</v>
      </c>
      <c r="S371">
        <v>0</v>
      </c>
      <c r="T371">
        <v>0</v>
      </c>
      <c r="U371" t="s">
        <v>2285</v>
      </c>
      <c r="V371" t="s">
        <v>2286</v>
      </c>
      <c r="W371" t="s">
        <v>2287</v>
      </c>
      <c r="X371" t="s">
        <v>2288</v>
      </c>
      <c r="Y371" t="s">
        <v>2289</v>
      </c>
      <c r="Z371" t="s">
        <v>2309</v>
      </c>
      <c r="AA371">
        <v>14</v>
      </c>
      <c r="AB371" s="14">
        <v>120</v>
      </c>
      <c r="AC371" t="s">
        <v>2310</v>
      </c>
      <c r="AD371" t="s">
        <v>2311</v>
      </c>
      <c r="AE371" t="s">
        <v>2643</v>
      </c>
      <c r="AF371">
        <v>46</v>
      </c>
      <c r="AG371">
        <v>0</v>
      </c>
      <c r="AH371">
        <v>34</v>
      </c>
      <c r="AI371">
        <v>0</v>
      </c>
      <c r="AJ371">
        <v>1</v>
      </c>
      <c r="AK371">
        <v>0</v>
      </c>
      <c r="AL371">
        <v>1</v>
      </c>
      <c r="AM371" s="14">
        <v>0</v>
      </c>
      <c r="AN371" t="s">
        <v>2644</v>
      </c>
      <c r="AO371" s="12">
        <v>46082</v>
      </c>
      <c r="AP371">
        <v>2026</v>
      </c>
      <c r="AQ371">
        <v>3</v>
      </c>
      <c r="AR371" t="s">
        <v>2650</v>
      </c>
    </row>
    <row r="372" spans="1:44">
      <c r="A372" t="s">
        <v>1386</v>
      </c>
      <c r="B372" s="12">
        <v>46097</v>
      </c>
      <c r="C372" s="12">
        <v>46095</v>
      </c>
      <c r="D372" t="s">
        <v>1387</v>
      </c>
      <c r="E372" t="s">
        <v>281</v>
      </c>
      <c r="F372" t="s">
        <v>256</v>
      </c>
      <c r="G372" t="s">
        <v>429</v>
      </c>
      <c r="H372" t="s">
        <v>115</v>
      </c>
      <c r="I372" t="s">
        <v>258</v>
      </c>
      <c r="J372" s="13">
        <v>0.41666666666666669</v>
      </c>
      <c r="K372" s="13">
        <v>0.4236111111111111</v>
      </c>
      <c r="L372" s="13">
        <v>0.41875000000000001</v>
      </c>
      <c r="M372">
        <v>60</v>
      </c>
      <c r="N372" s="14">
        <v>95</v>
      </c>
      <c r="O372" t="s">
        <v>195</v>
      </c>
      <c r="P372">
        <v>4</v>
      </c>
      <c r="Q372" t="s">
        <v>326</v>
      </c>
      <c r="R372" t="s">
        <v>1273</v>
      </c>
      <c r="S372">
        <v>0</v>
      </c>
      <c r="T372">
        <v>0</v>
      </c>
      <c r="U372" t="s">
        <v>2290</v>
      </c>
      <c r="V372" t="s">
        <v>2291</v>
      </c>
      <c r="W372" t="s">
        <v>2292</v>
      </c>
      <c r="X372" t="s">
        <v>2288</v>
      </c>
      <c r="Y372" t="s">
        <v>2293</v>
      </c>
      <c r="Z372" t="s">
        <v>2312</v>
      </c>
      <c r="AA372">
        <v>21</v>
      </c>
      <c r="AB372" s="14">
        <v>95</v>
      </c>
      <c r="AC372" t="s">
        <v>2313</v>
      </c>
      <c r="AD372" t="s">
        <v>2314</v>
      </c>
      <c r="AE372" t="s">
        <v>2643</v>
      </c>
      <c r="AF372">
        <v>2</v>
      </c>
      <c r="AG372">
        <v>1</v>
      </c>
      <c r="AJ372">
        <v>1</v>
      </c>
      <c r="AK372">
        <v>0</v>
      </c>
      <c r="AL372">
        <v>1</v>
      </c>
      <c r="AM372" s="14">
        <v>0</v>
      </c>
      <c r="AN372" t="s">
        <v>2644</v>
      </c>
      <c r="AO372" s="12">
        <v>46082</v>
      </c>
      <c r="AP372">
        <v>2026</v>
      </c>
      <c r="AQ372">
        <v>3</v>
      </c>
      <c r="AR372" t="s">
        <v>2650</v>
      </c>
    </row>
    <row r="373" spans="1:44">
      <c r="A373" t="s">
        <v>1388</v>
      </c>
      <c r="B373" s="12">
        <v>46090</v>
      </c>
      <c r="C373" s="12">
        <v>46087</v>
      </c>
      <c r="D373" t="s">
        <v>667</v>
      </c>
      <c r="E373" t="s">
        <v>268</v>
      </c>
      <c r="F373" t="s">
        <v>297</v>
      </c>
      <c r="G373" t="s">
        <v>583</v>
      </c>
      <c r="H373" t="s">
        <v>115</v>
      </c>
      <c r="I373" t="s">
        <v>299</v>
      </c>
      <c r="J373" s="13">
        <v>0.5</v>
      </c>
      <c r="K373" s="13">
        <v>0.51111111111111107</v>
      </c>
      <c r="L373" s="13">
        <v>0.50486111111111109</v>
      </c>
      <c r="M373">
        <v>20</v>
      </c>
      <c r="N373" s="14">
        <v>65</v>
      </c>
      <c r="O373" t="s">
        <v>169</v>
      </c>
      <c r="P373">
        <v>2</v>
      </c>
      <c r="Q373" t="s">
        <v>262</v>
      </c>
      <c r="R373" t="s">
        <v>1273</v>
      </c>
      <c r="S373">
        <v>0</v>
      </c>
      <c r="T373">
        <v>0</v>
      </c>
      <c r="U373" t="s">
        <v>2285</v>
      </c>
      <c r="V373" t="s">
        <v>2286</v>
      </c>
      <c r="W373" t="s">
        <v>2287</v>
      </c>
      <c r="X373" t="s">
        <v>2288</v>
      </c>
      <c r="Y373" t="s">
        <v>2289</v>
      </c>
      <c r="Z373" t="s">
        <v>2306</v>
      </c>
      <c r="AA373">
        <v>7</v>
      </c>
      <c r="AB373" s="14">
        <v>65</v>
      </c>
      <c r="AC373" t="s">
        <v>2307</v>
      </c>
      <c r="AD373" t="s">
        <v>2308</v>
      </c>
      <c r="AE373" t="s">
        <v>2643</v>
      </c>
      <c r="AF373">
        <v>3</v>
      </c>
      <c r="AG373">
        <v>1</v>
      </c>
      <c r="AJ373">
        <v>1</v>
      </c>
      <c r="AK373">
        <v>0</v>
      </c>
      <c r="AL373">
        <v>1</v>
      </c>
      <c r="AM373" s="14">
        <v>0</v>
      </c>
      <c r="AN373" t="s">
        <v>2644</v>
      </c>
      <c r="AO373" s="12">
        <v>46082</v>
      </c>
      <c r="AP373">
        <v>2026</v>
      </c>
      <c r="AQ373">
        <v>3</v>
      </c>
      <c r="AR373" t="s">
        <v>2650</v>
      </c>
    </row>
    <row r="374" spans="1:44">
      <c r="A374" t="s">
        <v>1390</v>
      </c>
      <c r="B374" s="12">
        <v>46108</v>
      </c>
      <c r="C374" s="12">
        <v>46095</v>
      </c>
      <c r="D374" t="s">
        <v>736</v>
      </c>
      <c r="E374" t="s">
        <v>339</v>
      </c>
      <c r="F374" t="s">
        <v>256</v>
      </c>
      <c r="G374" t="s">
        <v>345</v>
      </c>
      <c r="H374" t="s">
        <v>127</v>
      </c>
      <c r="I374" t="s">
        <v>316</v>
      </c>
      <c r="J374" s="13">
        <v>0.39583333333333331</v>
      </c>
      <c r="K374" s="13"/>
      <c r="L374" s="13"/>
      <c r="M374">
        <v>0</v>
      </c>
      <c r="N374" s="14">
        <v>95</v>
      </c>
      <c r="O374" t="s">
        <v>169</v>
      </c>
      <c r="Q374" t="s">
        <v>285</v>
      </c>
      <c r="R374" t="s">
        <v>1273</v>
      </c>
      <c r="S374">
        <v>0</v>
      </c>
      <c r="T374">
        <v>0</v>
      </c>
      <c r="U374" t="s">
        <v>2294</v>
      </c>
      <c r="V374" t="s">
        <v>2295</v>
      </c>
      <c r="W374" t="s">
        <v>2296</v>
      </c>
      <c r="X374" t="s">
        <v>2297</v>
      </c>
      <c r="Y374" t="s">
        <v>2298</v>
      </c>
      <c r="Z374" t="s">
        <v>2312</v>
      </c>
      <c r="AA374">
        <v>21</v>
      </c>
      <c r="AB374" s="14">
        <v>95</v>
      </c>
      <c r="AC374" t="s">
        <v>2313</v>
      </c>
      <c r="AD374" t="s">
        <v>2314</v>
      </c>
      <c r="AE374" t="s">
        <v>2643</v>
      </c>
      <c r="AF374">
        <v>13</v>
      </c>
      <c r="AG374">
        <v>1</v>
      </c>
      <c r="AJ374">
        <v>0</v>
      </c>
      <c r="AL374">
        <v>1</v>
      </c>
      <c r="AM374" s="14">
        <v>0</v>
      </c>
      <c r="AN374" t="s">
        <v>2644</v>
      </c>
      <c r="AO374" s="12">
        <v>46082</v>
      </c>
      <c r="AP374">
        <v>2026</v>
      </c>
      <c r="AQ374">
        <v>3</v>
      </c>
      <c r="AR374" t="s">
        <v>2650</v>
      </c>
    </row>
    <row r="375" spans="1:44">
      <c r="A375" t="s">
        <v>1391</v>
      </c>
      <c r="B375" s="12">
        <v>46106</v>
      </c>
      <c r="C375" s="12">
        <v>46074</v>
      </c>
      <c r="D375" t="s">
        <v>615</v>
      </c>
      <c r="E375" t="s">
        <v>339</v>
      </c>
      <c r="F375" t="s">
        <v>269</v>
      </c>
      <c r="G375" t="s">
        <v>340</v>
      </c>
      <c r="H375" t="s">
        <v>127</v>
      </c>
      <c r="I375" t="s">
        <v>271</v>
      </c>
      <c r="J375" s="13">
        <v>0.39583333333333331</v>
      </c>
      <c r="K375" s="13"/>
      <c r="L375" s="13"/>
      <c r="M375">
        <v>0</v>
      </c>
      <c r="N375" s="14">
        <v>80</v>
      </c>
      <c r="O375" t="s">
        <v>169</v>
      </c>
      <c r="Q375" t="s">
        <v>326</v>
      </c>
      <c r="R375" t="s">
        <v>1273</v>
      </c>
      <c r="S375">
        <v>0</v>
      </c>
      <c r="T375">
        <v>0</v>
      </c>
      <c r="U375" t="s">
        <v>2294</v>
      </c>
      <c r="V375" t="s">
        <v>2295</v>
      </c>
      <c r="W375" t="s">
        <v>2296</v>
      </c>
      <c r="X375" t="s">
        <v>2297</v>
      </c>
      <c r="Y375" t="s">
        <v>2298</v>
      </c>
      <c r="Z375" t="s">
        <v>2315</v>
      </c>
      <c r="AA375">
        <v>10</v>
      </c>
      <c r="AB375" s="14">
        <v>80</v>
      </c>
      <c r="AC375" t="s">
        <v>2316</v>
      </c>
      <c r="AD375" t="s">
        <v>2317</v>
      </c>
      <c r="AE375" t="s">
        <v>2643</v>
      </c>
      <c r="AF375">
        <v>32</v>
      </c>
      <c r="AG375">
        <v>0</v>
      </c>
      <c r="AJ375">
        <v>0</v>
      </c>
      <c r="AL375">
        <v>1</v>
      </c>
      <c r="AM375" s="14">
        <v>0</v>
      </c>
      <c r="AN375" t="s">
        <v>2644</v>
      </c>
      <c r="AO375" s="12">
        <v>46082</v>
      </c>
      <c r="AP375">
        <v>2026</v>
      </c>
      <c r="AQ375">
        <v>3</v>
      </c>
      <c r="AR375" t="s">
        <v>2650</v>
      </c>
    </row>
    <row r="376" spans="1:44">
      <c r="A376" t="s">
        <v>1392</v>
      </c>
      <c r="B376" s="12">
        <v>46082</v>
      </c>
      <c r="C376" s="12">
        <v>46060</v>
      </c>
      <c r="D376" t="s">
        <v>1393</v>
      </c>
      <c r="E376" t="s">
        <v>268</v>
      </c>
      <c r="F376" t="s">
        <v>409</v>
      </c>
      <c r="G376" t="s">
        <v>552</v>
      </c>
      <c r="H376" t="s">
        <v>115</v>
      </c>
      <c r="I376" t="s">
        <v>299</v>
      </c>
      <c r="J376" s="13">
        <v>0.4375</v>
      </c>
      <c r="K376" s="13">
        <v>0.43125000000000002</v>
      </c>
      <c r="L376" s="13">
        <v>0.43819444444444444</v>
      </c>
      <c r="M376">
        <v>30</v>
      </c>
      <c r="N376" s="14">
        <v>150</v>
      </c>
      <c r="O376" t="s">
        <v>169</v>
      </c>
      <c r="P376">
        <v>4</v>
      </c>
      <c r="Q376" t="s">
        <v>318</v>
      </c>
      <c r="R376" t="s">
        <v>1273</v>
      </c>
      <c r="S376">
        <v>0</v>
      </c>
      <c r="T376">
        <v>0</v>
      </c>
      <c r="U376" t="s">
        <v>2285</v>
      </c>
      <c r="V376" t="s">
        <v>2286</v>
      </c>
      <c r="W376" t="s">
        <v>2287</v>
      </c>
      <c r="X376" t="s">
        <v>2288</v>
      </c>
      <c r="Y376" t="s">
        <v>2289</v>
      </c>
      <c r="Z376" t="s">
        <v>2318</v>
      </c>
      <c r="AA376">
        <v>28</v>
      </c>
      <c r="AB376" s="14">
        <v>150</v>
      </c>
      <c r="AC376" t="s">
        <v>2319</v>
      </c>
      <c r="AD376" t="s">
        <v>2320</v>
      </c>
      <c r="AE376" t="s">
        <v>2643</v>
      </c>
      <c r="AF376">
        <v>22</v>
      </c>
      <c r="AG376">
        <v>1</v>
      </c>
      <c r="AH376">
        <v>10</v>
      </c>
      <c r="AI376">
        <v>1</v>
      </c>
      <c r="AJ376">
        <v>1</v>
      </c>
      <c r="AK376">
        <v>0</v>
      </c>
      <c r="AL376">
        <v>1</v>
      </c>
      <c r="AM376" s="14">
        <v>0</v>
      </c>
      <c r="AN376" t="s">
        <v>2644</v>
      </c>
      <c r="AO376" s="12">
        <v>46082</v>
      </c>
      <c r="AP376">
        <v>2026</v>
      </c>
      <c r="AQ376">
        <v>3</v>
      </c>
      <c r="AR376" t="s">
        <v>2650</v>
      </c>
    </row>
    <row r="377" spans="1:44">
      <c r="A377" t="s">
        <v>1394</v>
      </c>
      <c r="B377" s="12">
        <v>46108</v>
      </c>
      <c r="C377" s="12">
        <v>46079</v>
      </c>
      <c r="D377" t="s">
        <v>1138</v>
      </c>
      <c r="E377" t="s">
        <v>281</v>
      </c>
      <c r="F377" t="s">
        <v>282</v>
      </c>
      <c r="G377" t="s">
        <v>283</v>
      </c>
      <c r="H377" t="s">
        <v>115</v>
      </c>
      <c r="I377" t="s">
        <v>299</v>
      </c>
      <c r="J377" s="13">
        <v>0.39583333333333331</v>
      </c>
      <c r="K377" s="13">
        <v>0.40555555555555556</v>
      </c>
      <c r="L377" s="13">
        <v>0.39652777777777776</v>
      </c>
      <c r="M377">
        <v>30</v>
      </c>
      <c r="N377" s="14">
        <v>120</v>
      </c>
      <c r="O377" t="s">
        <v>169</v>
      </c>
      <c r="P377">
        <v>2</v>
      </c>
      <c r="Q377" t="s">
        <v>318</v>
      </c>
      <c r="R377" t="s">
        <v>1273</v>
      </c>
      <c r="S377">
        <v>0</v>
      </c>
      <c r="T377">
        <v>0</v>
      </c>
      <c r="U377" t="s">
        <v>2290</v>
      </c>
      <c r="V377" t="s">
        <v>2291</v>
      </c>
      <c r="W377" t="s">
        <v>2292</v>
      </c>
      <c r="X377" t="s">
        <v>2288</v>
      </c>
      <c r="Y377" t="s">
        <v>2293</v>
      </c>
      <c r="Z377" t="s">
        <v>2309</v>
      </c>
      <c r="AA377">
        <v>14</v>
      </c>
      <c r="AB377" s="14">
        <v>120</v>
      </c>
      <c r="AC377" t="s">
        <v>2310</v>
      </c>
      <c r="AD377" t="s">
        <v>2311</v>
      </c>
      <c r="AE377" t="s">
        <v>2643</v>
      </c>
      <c r="AF377">
        <v>29</v>
      </c>
      <c r="AG377">
        <v>0</v>
      </c>
      <c r="AJ377">
        <v>1</v>
      </c>
      <c r="AK377">
        <v>0</v>
      </c>
      <c r="AL377">
        <v>1</v>
      </c>
      <c r="AM377" s="14">
        <v>0</v>
      </c>
      <c r="AN377" t="s">
        <v>2644</v>
      </c>
      <c r="AO377" s="12">
        <v>46082</v>
      </c>
      <c r="AP377">
        <v>2026</v>
      </c>
      <c r="AQ377">
        <v>3</v>
      </c>
      <c r="AR377" t="s">
        <v>2650</v>
      </c>
    </row>
    <row r="378" spans="1:44">
      <c r="A378" t="s">
        <v>1396</v>
      </c>
      <c r="B378" s="12">
        <v>46083</v>
      </c>
      <c r="C378" s="12">
        <v>46061</v>
      </c>
      <c r="D378" t="s">
        <v>1065</v>
      </c>
      <c r="E378" t="s">
        <v>339</v>
      </c>
      <c r="F378" t="s">
        <v>269</v>
      </c>
      <c r="G378" t="s">
        <v>340</v>
      </c>
      <c r="H378" t="s">
        <v>115</v>
      </c>
      <c r="I378" t="s">
        <v>316</v>
      </c>
      <c r="J378" s="13">
        <v>0.66666666666666663</v>
      </c>
      <c r="K378" s="13">
        <v>0.66041666666666665</v>
      </c>
      <c r="L378" s="13">
        <v>0.67361111111111116</v>
      </c>
      <c r="M378">
        <v>30</v>
      </c>
      <c r="N378" s="14">
        <v>80</v>
      </c>
      <c r="O378" t="s">
        <v>195</v>
      </c>
      <c r="P378">
        <v>4</v>
      </c>
      <c r="Q378" t="s">
        <v>262</v>
      </c>
      <c r="R378" t="s">
        <v>1273</v>
      </c>
      <c r="S378">
        <v>0</v>
      </c>
      <c r="T378">
        <v>0</v>
      </c>
      <c r="U378" t="s">
        <v>2294</v>
      </c>
      <c r="V378" t="s">
        <v>2295</v>
      </c>
      <c r="W378" t="s">
        <v>2296</v>
      </c>
      <c r="X378" t="s">
        <v>2297</v>
      </c>
      <c r="Y378" t="s">
        <v>2298</v>
      </c>
      <c r="Z378" t="s">
        <v>2315</v>
      </c>
      <c r="AA378">
        <v>10</v>
      </c>
      <c r="AB378" s="14">
        <v>80</v>
      </c>
      <c r="AC378" t="s">
        <v>2316</v>
      </c>
      <c r="AD378" t="s">
        <v>2317</v>
      </c>
      <c r="AE378" t="s">
        <v>2643</v>
      </c>
      <c r="AF378">
        <v>22</v>
      </c>
      <c r="AG378">
        <v>0</v>
      </c>
      <c r="AH378">
        <v>19</v>
      </c>
      <c r="AI378">
        <v>1</v>
      </c>
      <c r="AJ378">
        <v>1</v>
      </c>
      <c r="AK378">
        <v>0</v>
      </c>
      <c r="AL378">
        <v>1</v>
      </c>
      <c r="AM378" s="14">
        <v>0</v>
      </c>
      <c r="AN378" t="s">
        <v>2644</v>
      </c>
      <c r="AO378" s="12">
        <v>46082</v>
      </c>
      <c r="AP378">
        <v>2026</v>
      </c>
      <c r="AQ378">
        <v>3</v>
      </c>
      <c r="AR378" t="s">
        <v>2650</v>
      </c>
    </row>
    <row r="379" spans="1:44">
      <c r="A379" t="s">
        <v>1399</v>
      </c>
      <c r="B379" s="12">
        <v>46111</v>
      </c>
      <c r="C379" s="12">
        <v>46067</v>
      </c>
      <c r="D379" t="s">
        <v>386</v>
      </c>
      <c r="E379" t="s">
        <v>281</v>
      </c>
      <c r="F379" t="s">
        <v>282</v>
      </c>
      <c r="G379" t="s">
        <v>446</v>
      </c>
      <c r="H379" t="s">
        <v>115</v>
      </c>
      <c r="I379" t="s">
        <v>299</v>
      </c>
      <c r="J379" s="13">
        <v>0.54166666666666663</v>
      </c>
      <c r="K379" s="13">
        <v>0.55208333333333337</v>
      </c>
      <c r="L379" s="13">
        <v>0.56458333333333333</v>
      </c>
      <c r="M379">
        <v>60</v>
      </c>
      <c r="N379" s="14">
        <v>120</v>
      </c>
      <c r="O379" t="s">
        <v>169</v>
      </c>
      <c r="P379">
        <v>4</v>
      </c>
      <c r="Q379" t="s">
        <v>305</v>
      </c>
      <c r="R379" t="s">
        <v>1273</v>
      </c>
      <c r="S379">
        <v>0</v>
      </c>
      <c r="T379">
        <v>0</v>
      </c>
      <c r="U379" t="s">
        <v>2290</v>
      </c>
      <c r="V379" t="s">
        <v>2291</v>
      </c>
      <c r="W379" t="s">
        <v>2292</v>
      </c>
      <c r="X379" t="s">
        <v>2288</v>
      </c>
      <c r="Y379" t="s">
        <v>2293</v>
      </c>
      <c r="Z379" t="s">
        <v>2309</v>
      </c>
      <c r="AA379">
        <v>14</v>
      </c>
      <c r="AB379" s="14">
        <v>120</v>
      </c>
      <c r="AC379" t="s">
        <v>2310</v>
      </c>
      <c r="AD379" t="s">
        <v>2311</v>
      </c>
      <c r="AE379" t="s">
        <v>2643</v>
      </c>
      <c r="AF379">
        <v>44</v>
      </c>
      <c r="AG379">
        <v>0</v>
      </c>
      <c r="AH379">
        <v>18</v>
      </c>
      <c r="AI379">
        <v>1</v>
      </c>
      <c r="AJ379">
        <v>1</v>
      </c>
      <c r="AK379">
        <v>0</v>
      </c>
      <c r="AL379">
        <v>1</v>
      </c>
      <c r="AM379" s="14">
        <v>0</v>
      </c>
      <c r="AN379" t="s">
        <v>2644</v>
      </c>
      <c r="AO379" s="12">
        <v>46082</v>
      </c>
      <c r="AP379">
        <v>2026</v>
      </c>
      <c r="AQ379">
        <v>3</v>
      </c>
      <c r="AR379" t="s">
        <v>2650</v>
      </c>
    </row>
    <row r="380" spans="1:44">
      <c r="A380" t="s">
        <v>1401</v>
      </c>
      <c r="B380" s="12">
        <v>46110</v>
      </c>
      <c r="C380" s="12">
        <v>46077</v>
      </c>
      <c r="D380" t="s">
        <v>934</v>
      </c>
      <c r="E380" t="s">
        <v>255</v>
      </c>
      <c r="F380" t="s">
        <v>409</v>
      </c>
      <c r="G380" t="s">
        <v>648</v>
      </c>
      <c r="H380" t="s">
        <v>115</v>
      </c>
      <c r="I380" t="s">
        <v>258</v>
      </c>
      <c r="J380" s="13">
        <v>0.35416666666666669</v>
      </c>
      <c r="K380" s="13">
        <v>0.35</v>
      </c>
      <c r="L380" s="13">
        <v>0.35416666666666669</v>
      </c>
      <c r="M380">
        <v>30</v>
      </c>
      <c r="N380" s="14">
        <v>150</v>
      </c>
      <c r="O380" t="s">
        <v>195</v>
      </c>
      <c r="P380">
        <v>3</v>
      </c>
      <c r="Q380" t="s">
        <v>326</v>
      </c>
      <c r="R380" t="s">
        <v>1273</v>
      </c>
      <c r="S380">
        <v>0</v>
      </c>
      <c r="T380">
        <v>0</v>
      </c>
      <c r="U380" t="s">
        <v>2299</v>
      </c>
      <c r="V380" t="s">
        <v>2295</v>
      </c>
      <c r="W380" t="s">
        <v>2300</v>
      </c>
      <c r="X380" t="s">
        <v>2288</v>
      </c>
      <c r="Y380" t="s">
        <v>2301</v>
      </c>
      <c r="Z380" t="s">
        <v>2318</v>
      </c>
      <c r="AA380">
        <v>28</v>
      </c>
      <c r="AB380" s="14">
        <v>150</v>
      </c>
      <c r="AC380" t="s">
        <v>2319</v>
      </c>
      <c r="AD380" t="s">
        <v>2320</v>
      </c>
      <c r="AE380" t="s">
        <v>2643</v>
      </c>
      <c r="AF380">
        <v>33</v>
      </c>
      <c r="AG380">
        <v>0</v>
      </c>
      <c r="AH380">
        <v>6</v>
      </c>
      <c r="AI380">
        <v>1</v>
      </c>
      <c r="AJ380">
        <v>1</v>
      </c>
      <c r="AK380">
        <v>0</v>
      </c>
      <c r="AL380">
        <v>1</v>
      </c>
      <c r="AM380" s="14">
        <v>0</v>
      </c>
      <c r="AN380" t="s">
        <v>2644</v>
      </c>
      <c r="AO380" s="12">
        <v>46082</v>
      </c>
      <c r="AP380">
        <v>2026</v>
      </c>
      <c r="AQ380">
        <v>3</v>
      </c>
      <c r="AR380" t="s">
        <v>2650</v>
      </c>
    </row>
    <row r="381" spans="1:44">
      <c r="A381" t="s">
        <v>1403</v>
      </c>
      <c r="B381" s="12">
        <v>46107</v>
      </c>
      <c r="C381" s="12">
        <v>46091</v>
      </c>
      <c r="D381" t="s">
        <v>1136</v>
      </c>
      <c r="E381" t="s">
        <v>281</v>
      </c>
      <c r="F381" t="s">
        <v>282</v>
      </c>
      <c r="G381" t="s">
        <v>446</v>
      </c>
      <c r="H381" t="s">
        <v>122</v>
      </c>
      <c r="I381" t="s">
        <v>271</v>
      </c>
      <c r="J381" s="13">
        <v>0.5625</v>
      </c>
      <c r="K381" s="13">
        <v>0.56597222222222221</v>
      </c>
      <c r="L381" s="13">
        <v>0.58333333333333337</v>
      </c>
      <c r="M381">
        <v>60</v>
      </c>
      <c r="N381" s="14">
        <v>120</v>
      </c>
      <c r="O381" t="s">
        <v>195</v>
      </c>
      <c r="P381">
        <v>5</v>
      </c>
      <c r="Q381" t="s">
        <v>305</v>
      </c>
      <c r="R381" t="s">
        <v>1273</v>
      </c>
      <c r="S381">
        <v>0</v>
      </c>
      <c r="T381">
        <v>0</v>
      </c>
      <c r="U381" t="s">
        <v>2290</v>
      </c>
      <c r="V381" t="s">
        <v>2291</v>
      </c>
      <c r="W381" t="s">
        <v>2292</v>
      </c>
      <c r="X381" t="s">
        <v>2288</v>
      </c>
      <c r="Y381" t="s">
        <v>2293</v>
      </c>
      <c r="Z381" t="s">
        <v>2309</v>
      </c>
      <c r="AA381">
        <v>14</v>
      </c>
      <c r="AB381" s="14">
        <v>120</v>
      </c>
      <c r="AC381" t="s">
        <v>2310</v>
      </c>
      <c r="AD381" t="s">
        <v>2311</v>
      </c>
      <c r="AE381" t="s">
        <v>2643</v>
      </c>
      <c r="AF381">
        <v>16</v>
      </c>
      <c r="AG381">
        <v>0</v>
      </c>
      <c r="AJ381">
        <v>1</v>
      </c>
      <c r="AK381">
        <v>1</v>
      </c>
      <c r="AL381">
        <v>1</v>
      </c>
      <c r="AM381" s="14">
        <v>0</v>
      </c>
      <c r="AN381" t="s">
        <v>2644</v>
      </c>
      <c r="AO381" s="12">
        <v>46082</v>
      </c>
      <c r="AP381">
        <v>2026</v>
      </c>
      <c r="AQ381">
        <v>3</v>
      </c>
      <c r="AR381" t="s">
        <v>2650</v>
      </c>
    </row>
    <row r="382" spans="1:44">
      <c r="A382" t="s">
        <v>1404</v>
      </c>
      <c r="B382" s="12">
        <v>46091</v>
      </c>
      <c r="C382" s="12">
        <v>46045</v>
      </c>
      <c r="D382" t="s">
        <v>1405</v>
      </c>
      <c r="E382" t="s">
        <v>339</v>
      </c>
      <c r="F382" t="s">
        <v>409</v>
      </c>
      <c r="G382" t="s">
        <v>501</v>
      </c>
      <c r="H382" t="s">
        <v>115</v>
      </c>
      <c r="I382" t="s">
        <v>258</v>
      </c>
      <c r="J382" s="13">
        <v>0.54166666666666663</v>
      </c>
      <c r="K382" s="13">
        <v>0.55277777777777781</v>
      </c>
      <c r="L382" s="13">
        <v>0.56805555555555554</v>
      </c>
      <c r="M382">
        <v>30</v>
      </c>
      <c r="N382" s="14">
        <v>150</v>
      </c>
      <c r="O382" t="s">
        <v>195</v>
      </c>
      <c r="P382">
        <v>5</v>
      </c>
      <c r="Q382" t="s">
        <v>262</v>
      </c>
      <c r="R382" t="s">
        <v>1273</v>
      </c>
      <c r="S382">
        <v>0</v>
      </c>
      <c r="T382">
        <v>0</v>
      </c>
      <c r="U382" t="s">
        <v>2294</v>
      </c>
      <c r="V382" t="s">
        <v>2295</v>
      </c>
      <c r="W382" t="s">
        <v>2296</v>
      </c>
      <c r="X382" t="s">
        <v>2297</v>
      </c>
      <c r="Y382" t="s">
        <v>2298</v>
      </c>
      <c r="Z382" t="s">
        <v>2318</v>
      </c>
      <c r="AA382">
        <v>28</v>
      </c>
      <c r="AB382" s="14">
        <v>150</v>
      </c>
      <c r="AC382" t="s">
        <v>2319</v>
      </c>
      <c r="AD382" t="s">
        <v>2320</v>
      </c>
      <c r="AE382" t="s">
        <v>2643</v>
      </c>
      <c r="AF382">
        <v>46</v>
      </c>
      <c r="AG382">
        <v>0</v>
      </c>
      <c r="AH382">
        <v>22</v>
      </c>
      <c r="AI382">
        <v>1</v>
      </c>
      <c r="AJ382">
        <v>1</v>
      </c>
      <c r="AK382">
        <v>0</v>
      </c>
      <c r="AL382">
        <v>1</v>
      </c>
      <c r="AM382" s="14">
        <v>0</v>
      </c>
      <c r="AN382" t="s">
        <v>2644</v>
      </c>
      <c r="AO382" s="12">
        <v>46082</v>
      </c>
      <c r="AP382">
        <v>2026</v>
      </c>
      <c r="AQ382">
        <v>3</v>
      </c>
      <c r="AR382" t="s">
        <v>2650</v>
      </c>
    </row>
    <row r="383" spans="1:44">
      <c r="A383" t="s">
        <v>1407</v>
      </c>
      <c r="B383" s="12">
        <v>46109</v>
      </c>
      <c r="C383" s="12">
        <v>46065</v>
      </c>
      <c r="D383" t="s">
        <v>1157</v>
      </c>
      <c r="E383" t="s">
        <v>255</v>
      </c>
      <c r="F383" t="s">
        <v>297</v>
      </c>
      <c r="G383" t="s">
        <v>639</v>
      </c>
      <c r="H383" t="s">
        <v>122</v>
      </c>
      <c r="I383" t="s">
        <v>299</v>
      </c>
      <c r="J383" s="13">
        <v>0.47916666666666669</v>
      </c>
      <c r="K383" s="13"/>
      <c r="L383" s="13"/>
      <c r="M383">
        <v>0</v>
      </c>
      <c r="N383" s="14">
        <v>65</v>
      </c>
      <c r="O383" t="s">
        <v>195</v>
      </c>
      <c r="Q383" t="s">
        <v>305</v>
      </c>
      <c r="R383" t="s">
        <v>1273</v>
      </c>
      <c r="S383">
        <v>0</v>
      </c>
      <c r="T383">
        <v>0</v>
      </c>
      <c r="U383" t="s">
        <v>2299</v>
      </c>
      <c r="V383" t="s">
        <v>2295</v>
      </c>
      <c r="W383" t="s">
        <v>2300</v>
      </c>
      <c r="X383" t="s">
        <v>2288</v>
      </c>
      <c r="Y383" t="s">
        <v>2301</v>
      </c>
      <c r="Z383" t="s">
        <v>2306</v>
      </c>
      <c r="AA383">
        <v>7</v>
      </c>
      <c r="AB383" s="14">
        <v>65</v>
      </c>
      <c r="AC383" t="s">
        <v>2307</v>
      </c>
      <c r="AD383" t="s">
        <v>2308</v>
      </c>
      <c r="AE383" t="s">
        <v>2643</v>
      </c>
      <c r="AF383">
        <v>44</v>
      </c>
      <c r="AG383">
        <v>0</v>
      </c>
      <c r="AJ383">
        <v>1</v>
      </c>
      <c r="AK383">
        <v>1</v>
      </c>
      <c r="AL383">
        <v>1</v>
      </c>
      <c r="AM383" s="14">
        <v>0</v>
      </c>
      <c r="AN383" t="s">
        <v>2644</v>
      </c>
      <c r="AO383" s="12">
        <v>46082</v>
      </c>
      <c r="AP383">
        <v>2026</v>
      </c>
      <c r="AQ383">
        <v>3</v>
      </c>
      <c r="AR383" t="s">
        <v>2650</v>
      </c>
    </row>
    <row r="384" spans="1:44">
      <c r="A384" t="s">
        <v>1408</v>
      </c>
      <c r="B384" s="12">
        <v>46103</v>
      </c>
      <c r="C384" s="12">
        <v>46064</v>
      </c>
      <c r="D384" t="s">
        <v>1410</v>
      </c>
      <c r="E384" t="s">
        <v>255</v>
      </c>
      <c r="F384" t="s">
        <v>282</v>
      </c>
      <c r="G384" t="s">
        <v>424</v>
      </c>
      <c r="H384" t="s">
        <v>115</v>
      </c>
      <c r="I384" t="s">
        <v>316</v>
      </c>
      <c r="J384" s="13">
        <v>0.5625</v>
      </c>
      <c r="K384" s="13">
        <v>0.57291666666666663</v>
      </c>
      <c r="L384" s="13">
        <v>0.58402777777777781</v>
      </c>
      <c r="M384">
        <v>60</v>
      </c>
      <c r="N384" s="14">
        <v>120</v>
      </c>
      <c r="O384" t="s">
        <v>195</v>
      </c>
      <c r="P384">
        <v>4</v>
      </c>
      <c r="Q384" t="s">
        <v>285</v>
      </c>
      <c r="R384" t="s">
        <v>1273</v>
      </c>
      <c r="S384">
        <v>0</v>
      </c>
      <c r="T384">
        <v>0</v>
      </c>
      <c r="U384" t="s">
        <v>2299</v>
      </c>
      <c r="V384" t="s">
        <v>2295</v>
      </c>
      <c r="W384" t="s">
        <v>2300</v>
      </c>
      <c r="X384" t="s">
        <v>2288</v>
      </c>
      <c r="Y384" t="s">
        <v>2301</v>
      </c>
      <c r="Z384" t="s">
        <v>2309</v>
      </c>
      <c r="AA384">
        <v>14</v>
      </c>
      <c r="AB384" s="14">
        <v>120</v>
      </c>
      <c r="AC384" t="s">
        <v>2310</v>
      </c>
      <c r="AD384" t="s">
        <v>2311</v>
      </c>
      <c r="AE384" t="s">
        <v>2643</v>
      </c>
      <c r="AF384">
        <v>39</v>
      </c>
      <c r="AG384">
        <v>0</v>
      </c>
      <c r="AH384">
        <v>16</v>
      </c>
      <c r="AI384">
        <v>1</v>
      </c>
      <c r="AJ384">
        <v>1</v>
      </c>
      <c r="AK384">
        <v>0</v>
      </c>
      <c r="AL384">
        <v>1</v>
      </c>
      <c r="AM384" s="14">
        <v>0</v>
      </c>
      <c r="AN384" t="s">
        <v>2644</v>
      </c>
      <c r="AO384" s="12">
        <v>46082</v>
      </c>
      <c r="AP384">
        <v>2026</v>
      </c>
      <c r="AQ384">
        <v>3</v>
      </c>
      <c r="AR384" t="s">
        <v>2650</v>
      </c>
    </row>
    <row r="385" spans="1:44">
      <c r="A385" t="s">
        <v>1413</v>
      </c>
      <c r="B385" s="12">
        <v>46090</v>
      </c>
      <c r="C385" s="12">
        <v>46060</v>
      </c>
      <c r="D385" t="s">
        <v>865</v>
      </c>
      <c r="E385" t="s">
        <v>339</v>
      </c>
      <c r="F385" t="s">
        <v>297</v>
      </c>
      <c r="G385" t="s">
        <v>569</v>
      </c>
      <c r="H385" t="s">
        <v>115</v>
      </c>
      <c r="I385" t="s">
        <v>299</v>
      </c>
      <c r="J385" s="13">
        <v>0.35416666666666669</v>
      </c>
      <c r="K385" s="13">
        <v>0.35486111111111113</v>
      </c>
      <c r="L385" s="13">
        <v>0.38194444444444442</v>
      </c>
      <c r="M385">
        <v>30</v>
      </c>
      <c r="N385" s="14">
        <v>65</v>
      </c>
      <c r="O385" t="s">
        <v>169</v>
      </c>
      <c r="P385">
        <v>4</v>
      </c>
      <c r="Q385" t="s">
        <v>305</v>
      </c>
      <c r="R385" t="s">
        <v>1273</v>
      </c>
      <c r="S385">
        <v>0</v>
      </c>
      <c r="T385">
        <v>0</v>
      </c>
      <c r="U385" t="s">
        <v>2294</v>
      </c>
      <c r="V385" t="s">
        <v>2295</v>
      </c>
      <c r="W385" t="s">
        <v>2296</v>
      </c>
      <c r="X385" t="s">
        <v>2297</v>
      </c>
      <c r="Y385" t="s">
        <v>2298</v>
      </c>
      <c r="Z385" t="s">
        <v>2306</v>
      </c>
      <c r="AA385">
        <v>7</v>
      </c>
      <c r="AB385" s="14">
        <v>65</v>
      </c>
      <c r="AC385" t="s">
        <v>2307</v>
      </c>
      <c r="AD385" t="s">
        <v>2308</v>
      </c>
      <c r="AE385" t="s">
        <v>2643</v>
      </c>
      <c r="AF385">
        <v>30</v>
      </c>
      <c r="AG385">
        <v>0</v>
      </c>
      <c r="AH385">
        <v>39</v>
      </c>
      <c r="AI385">
        <v>0</v>
      </c>
      <c r="AJ385">
        <v>1</v>
      </c>
      <c r="AK385">
        <v>0</v>
      </c>
      <c r="AL385">
        <v>1</v>
      </c>
      <c r="AM385" s="14">
        <v>0</v>
      </c>
      <c r="AN385" t="s">
        <v>2644</v>
      </c>
      <c r="AO385" s="12">
        <v>46082</v>
      </c>
      <c r="AP385">
        <v>2026</v>
      </c>
      <c r="AQ385">
        <v>3</v>
      </c>
      <c r="AR385" t="s">
        <v>2650</v>
      </c>
    </row>
    <row r="386" spans="1:44">
      <c r="A386" t="s">
        <v>1415</v>
      </c>
      <c r="B386" s="12">
        <v>46109</v>
      </c>
      <c r="C386" s="12">
        <v>46094</v>
      </c>
      <c r="D386" t="s">
        <v>1416</v>
      </c>
      <c r="E386" t="s">
        <v>255</v>
      </c>
      <c r="F386" t="s">
        <v>282</v>
      </c>
      <c r="G386" t="s">
        <v>424</v>
      </c>
      <c r="H386" t="s">
        <v>115</v>
      </c>
      <c r="I386" t="s">
        <v>271</v>
      </c>
      <c r="J386" s="13">
        <v>0.35416666666666669</v>
      </c>
      <c r="K386" s="13">
        <v>0.36666666666666664</v>
      </c>
      <c r="L386" s="13">
        <v>0.37291666666666667</v>
      </c>
      <c r="M386">
        <v>45</v>
      </c>
      <c r="N386" s="14">
        <v>120</v>
      </c>
      <c r="O386" t="s">
        <v>195</v>
      </c>
      <c r="P386">
        <v>2</v>
      </c>
      <c r="Q386" t="s">
        <v>285</v>
      </c>
      <c r="R386" t="s">
        <v>1273</v>
      </c>
      <c r="S386">
        <v>0</v>
      </c>
      <c r="T386">
        <v>0</v>
      </c>
      <c r="U386" t="s">
        <v>2299</v>
      </c>
      <c r="V386" t="s">
        <v>2295</v>
      </c>
      <c r="W386" t="s">
        <v>2300</v>
      </c>
      <c r="X386" t="s">
        <v>2288</v>
      </c>
      <c r="Y386" t="s">
        <v>2301</v>
      </c>
      <c r="Z386" t="s">
        <v>2309</v>
      </c>
      <c r="AA386">
        <v>14</v>
      </c>
      <c r="AB386" s="14">
        <v>120</v>
      </c>
      <c r="AC386" t="s">
        <v>2310</v>
      </c>
      <c r="AD386" t="s">
        <v>2311</v>
      </c>
      <c r="AE386" t="s">
        <v>2643</v>
      </c>
      <c r="AF386">
        <v>15</v>
      </c>
      <c r="AG386">
        <v>0</v>
      </c>
      <c r="AH386">
        <v>9</v>
      </c>
      <c r="AI386">
        <v>1</v>
      </c>
      <c r="AJ386">
        <v>1</v>
      </c>
      <c r="AK386">
        <v>0</v>
      </c>
      <c r="AL386">
        <v>1</v>
      </c>
      <c r="AM386" s="14">
        <v>0</v>
      </c>
      <c r="AN386" t="s">
        <v>2644</v>
      </c>
      <c r="AO386" s="12">
        <v>46082</v>
      </c>
      <c r="AP386">
        <v>2026</v>
      </c>
      <c r="AQ386">
        <v>3</v>
      </c>
      <c r="AR386" t="s">
        <v>2650</v>
      </c>
    </row>
    <row r="387" spans="1:44">
      <c r="A387" t="s">
        <v>1417</v>
      </c>
      <c r="B387" s="12">
        <v>46106</v>
      </c>
      <c r="C387" s="12">
        <v>46088</v>
      </c>
      <c r="D387" t="s">
        <v>1418</v>
      </c>
      <c r="E387" t="s">
        <v>339</v>
      </c>
      <c r="F387" t="s">
        <v>297</v>
      </c>
      <c r="G387" t="s">
        <v>780</v>
      </c>
      <c r="H387" t="s">
        <v>122</v>
      </c>
      <c r="I387" t="s">
        <v>258</v>
      </c>
      <c r="J387" s="13">
        <v>0.4375</v>
      </c>
      <c r="K387" s="13"/>
      <c r="L387" s="13"/>
      <c r="M387">
        <v>0</v>
      </c>
      <c r="N387" s="14">
        <v>65</v>
      </c>
      <c r="O387" t="s">
        <v>195</v>
      </c>
      <c r="Q387" t="s">
        <v>318</v>
      </c>
      <c r="R387" t="s">
        <v>1273</v>
      </c>
      <c r="S387">
        <v>0</v>
      </c>
      <c r="T387">
        <v>0</v>
      </c>
      <c r="U387" t="s">
        <v>2294</v>
      </c>
      <c r="V387" t="s">
        <v>2295</v>
      </c>
      <c r="W387" t="s">
        <v>2296</v>
      </c>
      <c r="X387" t="s">
        <v>2297</v>
      </c>
      <c r="Y387" t="s">
        <v>2298</v>
      </c>
      <c r="Z387" t="s">
        <v>2306</v>
      </c>
      <c r="AA387">
        <v>7</v>
      </c>
      <c r="AB387" s="14">
        <v>65</v>
      </c>
      <c r="AC387" t="s">
        <v>2307</v>
      </c>
      <c r="AD387" t="s">
        <v>2308</v>
      </c>
      <c r="AE387" t="s">
        <v>2643</v>
      </c>
      <c r="AF387">
        <v>18</v>
      </c>
      <c r="AG387">
        <v>0</v>
      </c>
      <c r="AJ387">
        <v>1</v>
      </c>
      <c r="AK387">
        <v>1</v>
      </c>
      <c r="AL387">
        <v>1</v>
      </c>
      <c r="AM387" s="14">
        <v>0</v>
      </c>
      <c r="AN387" t="s">
        <v>2644</v>
      </c>
      <c r="AO387" s="12">
        <v>46082</v>
      </c>
      <c r="AP387">
        <v>2026</v>
      </c>
      <c r="AQ387">
        <v>3</v>
      </c>
      <c r="AR387" t="s">
        <v>2650</v>
      </c>
    </row>
    <row r="388" spans="1:44">
      <c r="A388" t="s">
        <v>1419</v>
      </c>
      <c r="B388" s="12">
        <v>46107</v>
      </c>
      <c r="C388" s="12">
        <v>46074</v>
      </c>
      <c r="D388" t="s">
        <v>1126</v>
      </c>
      <c r="E388" t="s">
        <v>339</v>
      </c>
      <c r="F388" t="s">
        <v>256</v>
      </c>
      <c r="G388" t="s">
        <v>403</v>
      </c>
      <c r="H388" t="s">
        <v>115</v>
      </c>
      <c r="I388" t="s">
        <v>271</v>
      </c>
      <c r="J388" s="13">
        <v>0.47916666666666669</v>
      </c>
      <c r="K388" s="13">
        <v>0.4777777777777778</v>
      </c>
      <c r="L388" s="13">
        <v>0.49027777777777776</v>
      </c>
      <c r="M388">
        <v>45</v>
      </c>
      <c r="N388" s="14">
        <v>95</v>
      </c>
      <c r="O388" t="s">
        <v>195</v>
      </c>
      <c r="P388">
        <v>4</v>
      </c>
      <c r="Q388" t="s">
        <v>262</v>
      </c>
      <c r="R388" t="s">
        <v>1273</v>
      </c>
      <c r="S388">
        <v>0</v>
      </c>
      <c r="T388">
        <v>0</v>
      </c>
      <c r="U388" t="s">
        <v>2294</v>
      </c>
      <c r="V388" t="s">
        <v>2295</v>
      </c>
      <c r="W388" t="s">
        <v>2296</v>
      </c>
      <c r="X388" t="s">
        <v>2297</v>
      </c>
      <c r="Y388" t="s">
        <v>2298</v>
      </c>
      <c r="Z388" t="s">
        <v>2312</v>
      </c>
      <c r="AA388">
        <v>21</v>
      </c>
      <c r="AB388" s="14">
        <v>95</v>
      </c>
      <c r="AC388" t="s">
        <v>2313</v>
      </c>
      <c r="AD388" t="s">
        <v>2314</v>
      </c>
      <c r="AE388" t="s">
        <v>2643</v>
      </c>
      <c r="AF388">
        <v>33</v>
      </c>
      <c r="AG388">
        <v>0</v>
      </c>
      <c r="AH388">
        <v>18</v>
      </c>
      <c r="AI388">
        <v>1</v>
      </c>
      <c r="AJ388">
        <v>1</v>
      </c>
      <c r="AK388">
        <v>0</v>
      </c>
      <c r="AL388">
        <v>1</v>
      </c>
      <c r="AM388" s="14">
        <v>0</v>
      </c>
      <c r="AN388" t="s">
        <v>2644</v>
      </c>
      <c r="AO388" s="12">
        <v>46082</v>
      </c>
      <c r="AP388">
        <v>2026</v>
      </c>
      <c r="AQ388">
        <v>3</v>
      </c>
      <c r="AR388" t="s">
        <v>2650</v>
      </c>
    </row>
    <row r="389" spans="1:44">
      <c r="A389" t="s">
        <v>1422</v>
      </c>
      <c r="B389" s="12">
        <v>46099</v>
      </c>
      <c r="C389" s="12">
        <v>46055</v>
      </c>
      <c r="D389" t="s">
        <v>882</v>
      </c>
      <c r="E389" t="s">
        <v>268</v>
      </c>
      <c r="F389" t="s">
        <v>269</v>
      </c>
      <c r="G389" t="s">
        <v>270</v>
      </c>
      <c r="H389" t="s">
        <v>115</v>
      </c>
      <c r="I389" t="s">
        <v>258</v>
      </c>
      <c r="J389" s="13">
        <v>0.4375</v>
      </c>
      <c r="K389" s="13">
        <v>0.44236111111111109</v>
      </c>
      <c r="L389" s="13">
        <v>0.46250000000000002</v>
      </c>
      <c r="M389">
        <v>30</v>
      </c>
      <c r="N389" s="14">
        <v>80</v>
      </c>
      <c r="O389" t="s">
        <v>195</v>
      </c>
      <c r="P389">
        <v>3</v>
      </c>
      <c r="Q389" t="s">
        <v>305</v>
      </c>
      <c r="R389" t="s">
        <v>1273</v>
      </c>
      <c r="S389">
        <v>0</v>
      </c>
      <c r="T389">
        <v>0</v>
      </c>
      <c r="U389" t="s">
        <v>2285</v>
      </c>
      <c r="V389" t="s">
        <v>2286</v>
      </c>
      <c r="W389" t="s">
        <v>2287</v>
      </c>
      <c r="X389" t="s">
        <v>2288</v>
      </c>
      <c r="Y389" t="s">
        <v>2289</v>
      </c>
      <c r="Z389" t="s">
        <v>2315</v>
      </c>
      <c r="AA389">
        <v>10</v>
      </c>
      <c r="AB389" s="14">
        <v>80</v>
      </c>
      <c r="AC389" t="s">
        <v>2316</v>
      </c>
      <c r="AD389" t="s">
        <v>2317</v>
      </c>
      <c r="AE389" t="s">
        <v>2643</v>
      </c>
      <c r="AF389">
        <v>44</v>
      </c>
      <c r="AG389">
        <v>0</v>
      </c>
      <c r="AH389">
        <v>29</v>
      </c>
      <c r="AI389">
        <v>1</v>
      </c>
      <c r="AJ389">
        <v>1</v>
      </c>
      <c r="AK389">
        <v>0</v>
      </c>
      <c r="AL389">
        <v>1</v>
      </c>
      <c r="AM389" s="14">
        <v>0</v>
      </c>
      <c r="AN389" t="s">
        <v>2644</v>
      </c>
      <c r="AO389" s="12">
        <v>46082</v>
      </c>
      <c r="AP389">
        <v>2026</v>
      </c>
      <c r="AQ389">
        <v>3</v>
      </c>
      <c r="AR389" t="s">
        <v>2650</v>
      </c>
    </row>
    <row r="390" spans="1:44">
      <c r="A390" t="s">
        <v>1423</v>
      </c>
      <c r="B390" s="12">
        <v>46089</v>
      </c>
      <c r="C390" s="12">
        <v>46069</v>
      </c>
      <c r="D390" t="s">
        <v>934</v>
      </c>
      <c r="E390" t="s">
        <v>268</v>
      </c>
      <c r="F390" t="s">
        <v>297</v>
      </c>
      <c r="G390" t="s">
        <v>628</v>
      </c>
      <c r="H390" t="s">
        <v>115</v>
      </c>
      <c r="I390" t="s">
        <v>271</v>
      </c>
      <c r="J390" s="13">
        <v>0.375</v>
      </c>
      <c r="K390" s="13">
        <v>0.38333333333333336</v>
      </c>
      <c r="L390" s="13">
        <v>0.38194444444444442</v>
      </c>
      <c r="M390">
        <v>30</v>
      </c>
      <c r="N390" s="14">
        <v>65</v>
      </c>
      <c r="O390" t="s">
        <v>195</v>
      </c>
      <c r="P390">
        <v>4</v>
      </c>
      <c r="Q390" t="s">
        <v>326</v>
      </c>
      <c r="R390" t="s">
        <v>1273</v>
      </c>
      <c r="S390">
        <v>0</v>
      </c>
      <c r="T390">
        <v>0</v>
      </c>
      <c r="U390" t="s">
        <v>2285</v>
      </c>
      <c r="V390" t="s">
        <v>2286</v>
      </c>
      <c r="W390" t="s">
        <v>2287</v>
      </c>
      <c r="X390" t="s">
        <v>2288</v>
      </c>
      <c r="Y390" t="s">
        <v>2289</v>
      </c>
      <c r="Z390" t="s">
        <v>2306</v>
      </c>
      <c r="AA390">
        <v>7</v>
      </c>
      <c r="AB390" s="14">
        <v>65</v>
      </c>
      <c r="AC390" t="s">
        <v>2307</v>
      </c>
      <c r="AD390" t="s">
        <v>2308</v>
      </c>
      <c r="AE390" t="s">
        <v>2643</v>
      </c>
      <c r="AF390">
        <v>20</v>
      </c>
      <c r="AG390">
        <v>0</v>
      </c>
      <c r="AJ390">
        <v>1</v>
      </c>
      <c r="AK390">
        <v>0</v>
      </c>
      <c r="AL390">
        <v>1</v>
      </c>
      <c r="AM390" s="14">
        <v>0</v>
      </c>
      <c r="AN390" t="s">
        <v>2644</v>
      </c>
      <c r="AO390" s="12">
        <v>46082</v>
      </c>
      <c r="AP390">
        <v>2026</v>
      </c>
      <c r="AQ390">
        <v>3</v>
      </c>
      <c r="AR390" t="s">
        <v>2650</v>
      </c>
    </row>
    <row r="391" spans="1:44">
      <c r="A391" t="s">
        <v>1424</v>
      </c>
      <c r="B391" s="12">
        <v>46100</v>
      </c>
      <c r="C391" s="12">
        <v>46086</v>
      </c>
      <c r="D391" t="s">
        <v>1425</v>
      </c>
      <c r="E391" t="s">
        <v>339</v>
      </c>
      <c r="F391" t="s">
        <v>269</v>
      </c>
      <c r="G391" t="s">
        <v>528</v>
      </c>
      <c r="H391" t="s">
        <v>122</v>
      </c>
      <c r="I391" t="s">
        <v>271</v>
      </c>
      <c r="J391" s="13">
        <v>0.5625</v>
      </c>
      <c r="K391" s="13"/>
      <c r="L391" s="13"/>
      <c r="M391">
        <v>0</v>
      </c>
      <c r="N391" s="14">
        <v>80</v>
      </c>
      <c r="O391" t="s">
        <v>169</v>
      </c>
      <c r="Q391" t="s">
        <v>305</v>
      </c>
      <c r="R391" t="s">
        <v>1273</v>
      </c>
      <c r="S391">
        <v>0</v>
      </c>
      <c r="T391">
        <v>0</v>
      </c>
      <c r="U391" t="s">
        <v>2294</v>
      </c>
      <c r="V391" t="s">
        <v>2295</v>
      </c>
      <c r="W391" t="s">
        <v>2296</v>
      </c>
      <c r="X391" t="s">
        <v>2297</v>
      </c>
      <c r="Y391" t="s">
        <v>2298</v>
      </c>
      <c r="Z391" t="s">
        <v>2315</v>
      </c>
      <c r="AA391">
        <v>10</v>
      </c>
      <c r="AB391" s="14">
        <v>80</v>
      </c>
      <c r="AC391" t="s">
        <v>2316</v>
      </c>
      <c r="AD391" t="s">
        <v>2317</v>
      </c>
      <c r="AE391" t="s">
        <v>2643</v>
      </c>
      <c r="AF391">
        <v>14</v>
      </c>
      <c r="AG391">
        <v>0</v>
      </c>
      <c r="AJ391">
        <v>1</v>
      </c>
      <c r="AK391">
        <v>1</v>
      </c>
      <c r="AL391">
        <v>1</v>
      </c>
      <c r="AM391" s="14">
        <v>0</v>
      </c>
      <c r="AN391" t="s">
        <v>2644</v>
      </c>
      <c r="AO391" s="12">
        <v>46082</v>
      </c>
      <c r="AP391">
        <v>2026</v>
      </c>
      <c r="AQ391">
        <v>3</v>
      </c>
      <c r="AR391" t="s">
        <v>2650</v>
      </c>
    </row>
    <row r="392" spans="1:44">
      <c r="A392" t="s">
        <v>1426</v>
      </c>
      <c r="B392" s="12">
        <v>46088</v>
      </c>
      <c r="C392" s="12">
        <v>46078</v>
      </c>
      <c r="D392" t="s">
        <v>1427</v>
      </c>
      <c r="E392" t="s">
        <v>339</v>
      </c>
      <c r="F392" t="s">
        <v>297</v>
      </c>
      <c r="G392" t="s">
        <v>780</v>
      </c>
      <c r="H392" t="s">
        <v>115</v>
      </c>
      <c r="I392" t="s">
        <v>316</v>
      </c>
      <c r="J392" s="13">
        <v>0.58333333333333337</v>
      </c>
      <c r="K392" s="13">
        <v>0.59166666666666667</v>
      </c>
      <c r="L392" s="13">
        <v>0.60416666666666663</v>
      </c>
      <c r="M392">
        <v>20</v>
      </c>
      <c r="N392" s="14">
        <v>65</v>
      </c>
      <c r="O392" t="s">
        <v>169</v>
      </c>
      <c r="P392">
        <v>3</v>
      </c>
      <c r="Q392" t="s">
        <v>318</v>
      </c>
      <c r="R392" t="s">
        <v>1273</v>
      </c>
      <c r="S392">
        <v>0</v>
      </c>
      <c r="T392">
        <v>0</v>
      </c>
      <c r="U392" t="s">
        <v>2294</v>
      </c>
      <c r="V392" t="s">
        <v>2295</v>
      </c>
      <c r="W392" t="s">
        <v>2296</v>
      </c>
      <c r="X392" t="s">
        <v>2297</v>
      </c>
      <c r="Y392" t="s">
        <v>2298</v>
      </c>
      <c r="Z392" t="s">
        <v>2306</v>
      </c>
      <c r="AA392">
        <v>7</v>
      </c>
      <c r="AB392" s="14">
        <v>65</v>
      </c>
      <c r="AC392" t="s">
        <v>2307</v>
      </c>
      <c r="AD392" t="s">
        <v>2308</v>
      </c>
      <c r="AE392" t="s">
        <v>2643</v>
      </c>
      <c r="AF392">
        <v>10</v>
      </c>
      <c r="AG392">
        <v>0</v>
      </c>
      <c r="AH392">
        <v>18</v>
      </c>
      <c r="AI392">
        <v>1</v>
      </c>
      <c r="AJ392">
        <v>1</v>
      </c>
      <c r="AK392">
        <v>0</v>
      </c>
      <c r="AL392">
        <v>1</v>
      </c>
      <c r="AM392" s="14">
        <v>0</v>
      </c>
      <c r="AN392" t="s">
        <v>2644</v>
      </c>
      <c r="AO392" s="12">
        <v>46082</v>
      </c>
      <c r="AP392">
        <v>2026</v>
      </c>
      <c r="AQ392">
        <v>3</v>
      </c>
      <c r="AR392" t="s">
        <v>2650</v>
      </c>
    </row>
    <row r="393" spans="1:44">
      <c r="A393" t="s">
        <v>1428</v>
      </c>
      <c r="B393" s="12">
        <v>46108</v>
      </c>
      <c r="C393" s="12">
        <v>46080</v>
      </c>
      <c r="D393" t="s">
        <v>408</v>
      </c>
      <c r="E393" t="s">
        <v>281</v>
      </c>
      <c r="F393" t="s">
        <v>297</v>
      </c>
      <c r="G393" t="s">
        <v>368</v>
      </c>
      <c r="H393" t="s">
        <v>127</v>
      </c>
      <c r="I393" t="s">
        <v>271</v>
      </c>
      <c r="J393" s="13">
        <v>0.58333333333333337</v>
      </c>
      <c r="K393" s="13"/>
      <c r="L393" s="13"/>
      <c r="M393">
        <v>0</v>
      </c>
      <c r="N393" s="14">
        <v>65</v>
      </c>
      <c r="O393" t="s">
        <v>169</v>
      </c>
      <c r="Q393" t="s">
        <v>285</v>
      </c>
      <c r="R393" t="s">
        <v>1273</v>
      </c>
      <c r="S393">
        <v>0</v>
      </c>
      <c r="T393">
        <v>0</v>
      </c>
      <c r="U393" t="s">
        <v>2290</v>
      </c>
      <c r="V393" t="s">
        <v>2291</v>
      </c>
      <c r="W393" t="s">
        <v>2292</v>
      </c>
      <c r="X393" t="s">
        <v>2288</v>
      </c>
      <c r="Y393" t="s">
        <v>2293</v>
      </c>
      <c r="Z393" t="s">
        <v>2306</v>
      </c>
      <c r="AA393">
        <v>7</v>
      </c>
      <c r="AB393" s="14">
        <v>65</v>
      </c>
      <c r="AC393" t="s">
        <v>2307</v>
      </c>
      <c r="AD393" t="s">
        <v>2308</v>
      </c>
      <c r="AE393" t="s">
        <v>2643</v>
      </c>
      <c r="AF393">
        <v>28</v>
      </c>
      <c r="AG393">
        <v>0</v>
      </c>
      <c r="AJ393">
        <v>0</v>
      </c>
      <c r="AL393">
        <v>1</v>
      </c>
      <c r="AM393" s="14">
        <v>0</v>
      </c>
      <c r="AN393" t="s">
        <v>2644</v>
      </c>
      <c r="AO393" s="12">
        <v>46082</v>
      </c>
      <c r="AP393">
        <v>2026</v>
      </c>
      <c r="AQ393">
        <v>3</v>
      </c>
      <c r="AR393" t="s">
        <v>2650</v>
      </c>
    </row>
    <row r="394" spans="1:44">
      <c r="A394" t="s">
        <v>1429</v>
      </c>
      <c r="B394" s="12">
        <v>46111</v>
      </c>
      <c r="C394" s="12">
        <v>46067</v>
      </c>
      <c r="D394" t="s">
        <v>622</v>
      </c>
      <c r="E394" t="s">
        <v>255</v>
      </c>
      <c r="F394" t="s">
        <v>256</v>
      </c>
      <c r="G394" t="s">
        <v>398</v>
      </c>
      <c r="H394" t="s">
        <v>115</v>
      </c>
      <c r="I394" t="s">
        <v>299</v>
      </c>
      <c r="J394" s="13">
        <v>0.375</v>
      </c>
      <c r="K394" s="13">
        <v>0.36805555555555558</v>
      </c>
      <c r="L394" s="13">
        <v>0.38541666666666669</v>
      </c>
      <c r="M394">
        <v>30</v>
      </c>
      <c r="N394" s="14">
        <v>95</v>
      </c>
      <c r="O394" t="s">
        <v>195</v>
      </c>
      <c r="P394">
        <v>5</v>
      </c>
      <c r="Q394" t="s">
        <v>285</v>
      </c>
      <c r="R394" t="s">
        <v>1273</v>
      </c>
      <c r="S394">
        <v>0</v>
      </c>
      <c r="T394">
        <v>0</v>
      </c>
      <c r="U394" t="s">
        <v>2299</v>
      </c>
      <c r="V394" t="s">
        <v>2295</v>
      </c>
      <c r="W394" t="s">
        <v>2300</v>
      </c>
      <c r="X394" t="s">
        <v>2288</v>
      </c>
      <c r="Y394" t="s">
        <v>2301</v>
      </c>
      <c r="Z394" t="s">
        <v>2312</v>
      </c>
      <c r="AA394">
        <v>21</v>
      </c>
      <c r="AB394" s="14">
        <v>95</v>
      </c>
      <c r="AC394" t="s">
        <v>2313</v>
      </c>
      <c r="AD394" t="s">
        <v>2314</v>
      </c>
      <c r="AE394" t="s">
        <v>2643</v>
      </c>
      <c r="AF394">
        <v>44</v>
      </c>
      <c r="AG394">
        <v>0</v>
      </c>
      <c r="AH394">
        <v>25</v>
      </c>
      <c r="AI394">
        <v>1</v>
      </c>
      <c r="AJ394">
        <v>1</v>
      </c>
      <c r="AK394">
        <v>0</v>
      </c>
      <c r="AL394">
        <v>1</v>
      </c>
      <c r="AM394" s="14">
        <v>0</v>
      </c>
      <c r="AN394" t="s">
        <v>2644</v>
      </c>
      <c r="AO394" s="12">
        <v>46082</v>
      </c>
      <c r="AP394">
        <v>2026</v>
      </c>
      <c r="AQ394">
        <v>3</v>
      </c>
      <c r="AR394" t="s">
        <v>2650</v>
      </c>
    </row>
    <row r="395" spans="1:44">
      <c r="A395" t="s">
        <v>1430</v>
      </c>
      <c r="B395" s="12">
        <v>46111</v>
      </c>
      <c r="C395" s="12">
        <v>46079</v>
      </c>
      <c r="D395" t="s">
        <v>963</v>
      </c>
      <c r="E395" t="s">
        <v>268</v>
      </c>
      <c r="F395" t="s">
        <v>409</v>
      </c>
      <c r="G395" t="s">
        <v>552</v>
      </c>
      <c r="H395" t="s">
        <v>115</v>
      </c>
      <c r="I395" t="s">
        <v>271</v>
      </c>
      <c r="J395" s="13">
        <v>0.58333333333333337</v>
      </c>
      <c r="K395" s="13">
        <v>0.58333333333333337</v>
      </c>
      <c r="L395" s="13">
        <v>0.59930555555555554</v>
      </c>
      <c r="M395">
        <v>30</v>
      </c>
      <c r="N395" s="14">
        <v>150</v>
      </c>
      <c r="O395" t="s">
        <v>169</v>
      </c>
      <c r="P395">
        <v>3</v>
      </c>
      <c r="Q395" t="s">
        <v>305</v>
      </c>
      <c r="R395" t="s">
        <v>1273</v>
      </c>
      <c r="S395">
        <v>0</v>
      </c>
      <c r="T395">
        <v>0</v>
      </c>
      <c r="U395" t="s">
        <v>2285</v>
      </c>
      <c r="V395" t="s">
        <v>2286</v>
      </c>
      <c r="W395" t="s">
        <v>2287</v>
      </c>
      <c r="X395" t="s">
        <v>2288</v>
      </c>
      <c r="Y395" t="s">
        <v>2289</v>
      </c>
      <c r="Z395" t="s">
        <v>2318</v>
      </c>
      <c r="AA395">
        <v>28</v>
      </c>
      <c r="AB395" s="14">
        <v>150</v>
      </c>
      <c r="AC395" t="s">
        <v>2319</v>
      </c>
      <c r="AD395" t="s">
        <v>2320</v>
      </c>
      <c r="AE395" t="s">
        <v>2643</v>
      </c>
      <c r="AF395">
        <v>32</v>
      </c>
      <c r="AG395">
        <v>0</v>
      </c>
      <c r="AH395">
        <v>23</v>
      </c>
      <c r="AI395">
        <v>1</v>
      </c>
      <c r="AJ395">
        <v>1</v>
      </c>
      <c r="AK395">
        <v>0</v>
      </c>
      <c r="AL395">
        <v>1</v>
      </c>
      <c r="AM395" s="14">
        <v>0</v>
      </c>
      <c r="AN395" t="s">
        <v>2644</v>
      </c>
      <c r="AO395" s="12">
        <v>46082</v>
      </c>
      <c r="AP395">
        <v>2026</v>
      </c>
      <c r="AQ395">
        <v>3</v>
      </c>
      <c r="AR395" t="s">
        <v>2650</v>
      </c>
    </row>
    <row r="396" spans="1:44">
      <c r="A396" t="s">
        <v>1432</v>
      </c>
      <c r="B396" s="12">
        <v>46096</v>
      </c>
      <c r="C396" s="12">
        <v>46091</v>
      </c>
      <c r="D396" t="s">
        <v>909</v>
      </c>
      <c r="E396" t="s">
        <v>281</v>
      </c>
      <c r="F396" t="s">
        <v>297</v>
      </c>
      <c r="G396" t="s">
        <v>368</v>
      </c>
      <c r="H396" t="s">
        <v>127</v>
      </c>
      <c r="I396" t="s">
        <v>271</v>
      </c>
      <c r="J396" s="13">
        <v>0.33333333333333331</v>
      </c>
      <c r="K396" s="13"/>
      <c r="L396" s="13"/>
      <c r="M396">
        <v>0</v>
      </c>
      <c r="N396" s="14">
        <v>65</v>
      </c>
      <c r="O396" t="s">
        <v>169</v>
      </c>
      <c r="Q396" t="s">
        <v>305</v>
      </c>
      <c r="R396" t="s">
        <v>1273</v>
      </c>
      <c r="S396">
        <v>0</v>
      </c>
      <c r="T396">
        <v>0</v>
      </c>
      <c r="U396" t="s">
        <v>2290</v>
      </c>
      <c r="V396" t="s">
        <v>2291</v>
      </c>
      <c r="W396" t="s">
        <v>2292</v>
      </c>
      <c r="X396" t="s">
        <v>2288</v>
      </c>
      <c r="Y396" t="s">
        <v>2293</v>
      </c>
      <c r="Z396" t="s">
        <v>2306</v>
      </c>
      <c r="AA396">
        <v>7</v>
      </c>
      <c r="AB396" s="14">
        <v>65</v>
      </c>
      <c r="AC396" t="s">
        <v>2307</v>
      </c>
      <c r="AD396" t="s">
        <v>2308</v>
      </c>
      <c r="AE396" t="s">
        <v>2643</v>
      </c>
      <c r="AF396">
        <v>5</v>
      </c>
      <c r="AG396">
        <v>1</v>
      </c>
      <c r="AJ396">
        <v>0</v>
      </c>
      <c r="AL396">
        <v>1</v>
      </c>
      <c r="AM396" s="14">
        <v>0</v>
      </c>
      <c r="AN396" t="s">
        <v>2644</v>
      </c>
      <c r="AO396" s="12">
        <v>46082</v>
      </c>
      <c r="AP396">
        <v>2026</v>
      </c>
      <c r="AQ396">
        <v>3</v>
      </c>
      <c r="AR396" t="s">
        <v>2650</v>
      </c>
    </row>
    <row r="397" spans="1:44">
      <c r="A397" t="s">
        <v>1433</v>
      </c>
      <c r="B397" s="12">
        <v>46096</v>
      </c>
      <c r="C397" s="12">
        <v>46091</v>
      </c>
      <c r="D397" t="s">
        <v>372</v>
      </c>
      <c r="E397" t="s">
        <v>281</v>
      </c>
      <c r="F397" t="s">
        <v>409</v>
      </c>
      <c r="G397" t="s">
        <v>496</v>
      </c>
      <c r="H397" t="s">
        <v>115</v>
      </c>
      <c r="I397" t="s">
        <v>299</v>
      </c>
      <c r="J397" s="13">
        <v>0.64583333333333337</v>
      </c>
      <c r="K397" s="13">
        <v>0.65138888888888891</v>
      </c>
      <c r="L397" s="13">
        <v>0.66666666666666663</v>
      </c>
      <c r="M397">
        <v>60</v>
      </c>
      <c r="N397" s="14">
        <v>150</v>
      </c>
      <c r="O397" t="s">
        <v>195</v>
      </c>
      <c r="P397">
        <v>3</v>
      </c>
      <c r="Q397" t="s">
        <v>305</v>
      </c>
      <c r="R397" t="s">
        <v>1273</v>
      </c>
      <c r="S397">
        <v>0</v>
      </c>
      <c r="T397">
        <v>0</v>
      </c>
      <c r="U397" t="s">
        <v>2290</v>
      </c>
      <c r="V397" t="s">
        <v>2291</v>
      </c>
      <c r="W397" t="s">
        <v>2292</v>
      </c>
      <c r="X397" t="s">
        <v>2288</v>
      </c>
      <c r="Y397" t="s">
        <v>2293</v>
      </c>
      <c r="Z397" t="s">
        <v>2318</v>
      </c>
      <c r="AA397">
        <v>28</v>
      </c>
      <c r="AB397" s="14">
        <v>150</v>
      </c>
      <c r="AC397" t="s">
        <v>2319</v>
      </c>
      <c r="AD397" t="s">
        <v>2320</v>
      </c>
      <c r="AE397" t="s">
        <v>2643</v>
      </c>
      <c r="AF397">
        <v>5</v>
      </c>
      <c r="AG397">
        <v>1</v>
      </c>
      <c r="AH397">
        <v>22</v>
      </c>
      <c r="AI397">
        <v>1</v>
      </c>
      <c r="AJ397">
        <v>1</v>
      </c>
      <c r="AK397">
        <v>0</v>
      </c>
      <c r="AL397">
        <v>1</v>
      </c>
      <c r="AM397" s="14">
        <v>0</v>
      </c>
      <c r="AN397" t="s">
        <v>2644</v>
      </c>
      <c r="AO397" s="12">
        <v>46082</v>
      </c>
      <c r="AP397">
        <v>2026</v>
      </c>
      <c r="AQ397">
        <v>3</v>
      </c>
      <c r="AR397" t="s">
        <v>2650</v>
      </c>
    </row>
    <row r="398" spans="1:44">
      <c r="A398" t="s">
        <v>1434</v>
      </c>
      <c r="B398" s="12">
        <v>46109</v>
      </c>
      <c r="C398" s="12">
        <v>46071</v>
      </c>
      <c r="D398" t="s">
        <v>715</v>
      </c>
      <c r="E398" t="s">
        <v>268</v>
      </c>
      <c r="G398" t="s">
        <v>419</v>
      </c>
      <c r="H398" t="s">
        <v>115</v>
      </c>
      <c r="I398" t="s">
        <v>258</v>
      </c>
      <c r="J398" s="13">
        <v>0.625</v>
      </c>
      <c r="K398" s="13">
        <v>0.63541666666666663</v>
      </c>
      <c r="L398" s="13">
        <v>0.62708333333333333</v>
      </c>
      <c r="M398">
        <v>20</v>
      </c>
      <c r="N398" s="14">
        <v>95</v>
      </c>
      <c r="O398" t="s">
        <v>169</v>
      </c>
      <c r="P398">
        <v>4</v>
      </c>
      <c r="Q398" t="s">
        <v>285</v>
      </c>
      <c r="R398" t="s">
        <v>1273</v>
      </c>
      <c r="S398">
        <v>0</v>
      </c>
      <c r="T398">
        <v>1</v>
      </c>
      <c r="U398" t="s">
        <v>2285</v>
      </c>
      <c r="V398" t="s">
        <v>2286</v>
      </c>
      <c r="W398" t="s">
        <v>2287</v>
      </c>
      <c r="X398" t="s">
        <v>2288</v>
      </c>
      <c r="Y398" t="s">
        <v>2289</v>
      </c>
      <c r="AE398" t="s">
        <v>2646</v>
      </c>
      <c r="AF398">
        <v>38</v>
      </c>
      <c r="AJ398">
        <v>1</v>
      </c>
      <c r="AK398">
        <v>0</v>
      </c>
      <c r="AL398">
        <v>1</v>
      </c>
      <c r="AN398" t="s">
        <v>2647</v>
      </c>
      <c r="AO398" s="12">
        <v>46082</v>
      </c>
      <c r="AP398">
        <v>2026</v>
      </c>
      <c r="AQ398">
        <v>3</v>
      </c>
      <c r="AR398" t="s">
        <v>2650</v>
      </c>
    </row>
    <row r="399" spans="1:44">
      <c r="A399" t="s">
        <v>1435</v>
      </c>
      <c r="B399" s="12">
        <v>46092</v>
      </c>
      <c r="C399" s="12">
        <v>46061</v>
      </c>
      <c r="D399" t="s">
        <v>475</v>
      </c>
      <c r="E399" t="s">
        <v>255</v>
      </c>
      <c r="F399" t="s">
        <v>256</v>
      </c>
      <c r="G399" t="s">
        <v>257</v>
      </c>
      <c r="H399" t="s">
        <v>115</v>
      </c>
      <c r="I399" t="s">
        <v>258</v>
      </c>
      <c r="J399" s="13">
        <v>0.625</v>
      </c>
      <c r="K399" s="13">
        <v>0.6333333333333333</v>
      </c>
      <c r="L399" s="13">
        <v>0.63472222222222219</v>
      </c>
      <c r="M399">
        <v>30</v>
      </c>
      <c r="N399" s="14">
        <v>95</v>
      </c>
      <c r="O399" t="s">
        <v>195</v>
      </c>
      <c r="P399">
        <v>3</v>
      </c>
      <c r="Q399" t="s">
        <v>285</v>
      </c>
      <c r="R399" t="s">
        <v>1273</v>
      </c>
      <c r="S399">
        <v>0</v>
      </c>
      <c r="T399">
        <v>0</v>
      </c>
      <c r="U399" t="s">
        <v>2299</v>
      </c>
      <c r="V399" t="s">
        <v>2295</v>
      </c>
      <c r="W399" t="s">
        <v>2300</v>
      </c>
      <c r="X399" t="s">
        <v>2288</v>
      </c>
      <c r="Y399" t="s">
        <v>2301</v>
      </c>
      <c r="Z399" t="s">
        <v>2312</v>
      </c>
      <c r="AA399">
        <v>21</v>
      </c>
      <c r="AB399" s="14">
        <v>95</v>
      </c>
      <c r="AC399" t="s">
        <v>2313</v>
      </c>
      <c r="AD399" t="s">
        <v>2314</v>
      </c>
      <c r="AE399" t="s">
        <v>2643</v>
      </c>
      <c r="AF399">
        <v>31</v>
      </c>
      <c r="AG399">
        <v>0</v>
      </c>
      <c r="AH399">
        <v>2</v>
      </c>
      <c r="AI399">
        <v>1</v>
      </c>
      <c r="AJ399">
        <v>1</v>
      </c>
      <c r="AK399">
        <v>0</v>
      </c>
      <c r="AL399">
        <v>1</v>
      </c>
      <c r="AM399" s="14">
        <v>0</v>
      </c>
      <c r="AN399" t="s">
        <v>2644</v>
      </c>
      <c r="AO399" s="12">
        <v>46082</v>
      </c>
      <c r="AP399">
        <v>2026</v>
      </c>
      <c r="AQ399">
        <v>3</v>
      </c>
      <c r="AR399" t="s">
        <v>2650</v>
      </c>
    </row>
    <row r="400" spans="1:44">
      <c r="A400" t="s">
        <v>1437</v>
      </c>
      <c r="B400" s="12">
        <v>46111</v>
      </c>
      <c r="C400" s="12">
        <v>46096</v>
      </c>
      <c r="D400" t="s">
        <v>338</v>
      </c>
      <c r="E400" t="s">
        <v>281</v>
      </c>
      <c r="F400" t="s">
        <v>269</v>
      </c>
      <c r="G400" t="s">
        <v>322</v>
      </c>
      <c r="H400" t="s">
        <v>127</v>
      </c>
      <c r="I400" t="s">
        <v>299</v>
      </c>
      <c r="J400" s="13">
        <v>0.52083333333333337</v>
      </c>
      <c r="K400" s="13"/>
      <c r="L400" s="13"/>
      <c r="M400">
        <v>0</v>
      </c>
      <c r="N400" s="14">
        <v>80</v>
      </c>
      <c r="O400" t="s">
        <v>169</v>
      </c>
      <c r="Q400" t="s">
        <v>262</v>
      </c>
      <c r="R400" t="s">
        <v>1273</v>
      </c>
      <c r="S400">
        <v>0</v>
      </c>
      <c r="T400">
        <v>0</v>
      </c>
      <c r="U400" t="s">
        <v>2290</v>
      </c>
      <c r="V400" t="s">
        <v>2291</v>
      </c>
      <c r="W400" t="s">
        <v>2292</v>
      </c>
      <c r="X400" t="s">
        <v>2288</v>
      </c>
      <c r="Y400" t="s">
        <v>2293</v>
      </c>
      <c r="Z400" t="s">
        <v>2315</v>
      </c>
      <c r="AA400">
        <v>10</v>
      </c>
      <c r="AB400" s="14">
        <v>80</v>
      </c>
      <c r="AC400" t="s">
        <v>2316</v>
      </c>
      <c r="AD400" t="s">
        <v>2317</v>
      </c>
      <c r="AE400" t="s">
        <v>2643</v>
      </c>
      <c r="AF400">
        <v>15</v>
      </c>
      <c r="AG400">
        <v>0</v>
      </c>
      <c r="AJ400">
        <v>0</v>
      </c>
      <c r="AL400">
        <v>1</v>
      </c>
      <c r="AM400" s="14">
        <v>0</v>
      </c>
      <c r="AN400" t="s">
        <v>2644</v>
      </c>
      <c r="AO400" s="12">
        <v>46082</v>
      </c>
      <c r="AP400">
        <v>2026</v>
      </c>
      <c r="AQ400">
        <v>3</v>
      </c>
      <c r="AR400" t="s">
        <v>2650</v>
      </c>
    </row>
    <row r="401" spans="1:44">
      <c r="A401" t="s">
        <v>1438</v>
      </c>
      <c r="B401" s="12">
        <v>46090</v>
      </c>
      <c r="C401" s="12">
        <v>46069</v>
      </c>
      <c r="D401" t="s">
        <v>1136</v>
      </c>
      <c r="E401" t="s">
        <v>268</v>
      </c>
      <c r="F401" t="s">
        <v>297</v>
      </c>
      <c r="G401" t="s">
        <v>628</v>
      </c>
      <c r="H401" t="s">
        <v>115</v>
      </c>
      <c r="I401" t="s">
        <v>271</v>
      </c>
      <c r="J401" s="13">
        <v>0.58333333333333337</v>
      </c>
      <c r="K401" s="13">
        <v>0.57847222222222228</v>
      </c>
      <c r="L401" s="13">
        <v>0.59791666666666665</v>
      </c>
      <c r="M401">
        <v>60</v>
      </c>
      <c r="N401" s="14">
        <v>65</v>
      </c>
      <c r="O401" t="s">
        <v>195</v>
      </c>
      <c r="P401">
        <v>2</v>
      </c>
      <c r="Q401" t="s">
        <v>285</v>
      </c>
      <c r="R401" t="s">
        <v>1273</v>
      </c>
      <c r="S401">
        <v>0</v>
      </c>
      <c r="T401">
        <v>0</v>
      </c>
      <c r="U401" t="s">
        <v>2285</v>
      </c>
      <c r="V401" t="s">
        <v>2286</v>
      </c>
      <c r="W401" t="s">
        <v>2287</v>
      </c>
      <c r="X401" t="s">
        <v>2288</v>
      </c>
      <c r="Y401" t="s">
        <v>2289</v>
      </c>
      <c r="Z401" t="s">
        <v>2306</v>
      </c>
      <c r="AA401">
        <v>7</v>
      </c>
      <c r="AB401" s="14">
        <v>65</v>
      </c>
      <c r="AC401" t="s">
        <v>2307</v>
      </c>
      <c r="AD401" t="s">
        <v>2308</v>
      </c>
      <c r="AE401" t="s">
        <v>2643</v>
      </c>
      <c r="AF401">
        <v>21</v>
      </c>
      <c r="AG401">
        <v>0</v>
      </c>
      <c r="AH401">
        <v>28</v>
      </c>
      <c r="AI401">
        <v>1</v>
      </c>
      <c r="AJ401">
        <v>1</v>
      </c>
      <c r="AK401">
        <v>0</v>
      </c>
      <c r="AL401">
        <v>1</v>
      </c>
      <c r="AM401" s="14">
        <v>0</v>
      </c>
      <c r="AN401" t="s">
        <v>2644</v>
      </c>
      <c r="AO401" s="12">
        <v>46082</v>
      </c>
      <c r="AP401">
        <v>2026</v>
      </c>
      <c r="AQ401">
        <v>3</v>
      </c>
      <c r="AR401" t="s">
        <v>2650</v>
      </c>
    </row>
    <row r="402" spans="1:44">
      <c r="A402" t="s">
        <v>1441</v>
      </c>
      <c r="B402" s="12">
        <v>46097</v>
      </c>
      <c r="C402" s="12">
        <v>46065</v>
      </c>
      <c r="D402" t="s">
        <v>367</v>
      </c>
      <c r="E402" t="s">
        <v>255</v>
      </c>
      <c r="F402" t="s">
        <v>282</v>
      </c>
      <c r="G402" t="s">
        <v>290</v>
      </c>
      <c r="H402" t="s">
        <v>115</v>
      </c>
      <c r="I402" t="s">
        <v>316</v>
      </c>
      <c r="J402" s="13">
        <v>0.625</v>
      </c>
      <c r="K402" s="13">
        <v>0.62569444444444444</v>
      </c>
      <c r="L402" s="13">
        <v>0.63611111111111107</v>
      </c>
      <c r="M402">
        <v>60</v>
      </c>
      <c r="N402" s="14">
        <v>120</v>
      </c>
      <c r="O402" t="s">
        <v>195</v>
      </c>
      <c r="Q402" t="s">
        <v>326</v>
      </c>
      <c r="R402" t="s">
        <v>1273</v>
      </c>
      <c r="S402">
        <v>0</v>
      </c>
      <c r="T402">
        <v>0</v>
      </c>
      <c r="U402" t="s">
        <v>2299</v>
      </c>
      <c r="V402" t="s">
        <v>2295</v>
      </c>
      <c r="W402" t="s">
        <v>2300</v>
      </c>
      <c r="X402" t="s">
        <v>2288</v>
      </c>
      <c r="Y402" t="s">
        <v>2301</v>
      </c>
      <c r="Z402" t="s">
        <v>2309</v>
      </c>
      <c r="AA402">
        <v>14</v>
      </c>
      <c r="AB402" s="14">
        <v>120</v>
      </c>
      <c r="AC402" t="s">
        <v>2310</v>
      </c>
      <c r="AD402" t="s">
        <v>2311</v>
      </c>
      <c r="AE402" t="s">
        <v>2643</v>
      </c>
      <c r="AF402">
        <v>32</v>
      </c>
      <c r="AG402">
        <v>0</v>
      </c>
      <c r="AH402">
        <v>15</v>
      </c>
      <c r="AI402">
        <v>1</v>
      </c>
      <c r="AJ402">
        <v>1</v>
      </c>
      <c r="AK402">
        <v>0</v>
      </c>
      <c r="AL402">
        <v>1</v>
      </c>
      <c r="AM402" s="14">
        <v>0</v>
      </c>
      <c r="AN402" t="s">
        <v>2644</v>
      </c>
      <c r="AO402" s="12">
        <v>46082</v>
      </c>
      <c r="AP402">
        <v>2026</v>
      </c>
      <c r="AQ402">
        <v>3</v>
      </c>
      <c r="AR402" t="s">
        <v>2650</v>
      </c>
    </row>
    <row r="403" spans="1:44">
      <c r="A403" t="s">
        <v>1443</v>
      </c>
      <c r="B403" s="12">
        <v>46104</v>
      </c>
      <c r="C403" s="12">
        <v>46075</v>
      </c>
      <c r="D403" t="s">
        <v>638</v>
      </c>
      <c r="E403" t="s">
        <v>339</v>
      </c>
      <c r="F403" t="s">
        <v>409</v>
      </c>
      <c r="G403" t="s">
        <v>501</v>
      </c>
      <c r="H403" t="s">
        <v>115</v>
      </c>
      <c r="I403" t="s">
        <v>299</v>
      </c>
      <c r="J403" s="13">
        <v>0.60416666666666663</v>
      </c>
      <c r="K403" s="13">
        <v>0.61250000000000004</v>
      </c>
      <c r="L403" s="13">
        <v>0.6069444444444444</v>
      </c>
      <c r="M403">
        <v>20</v>
      </c>
      <c r="N403" s="14">
        <v>150</v>
      </c>
      <c r="O403" t="s">
        <v>195</v>
      </c>
      <c r="P403">
        <v>4</v>
      </c>
      <c r="Q403" t="s">
        <v>305</v>
      </c>
      <c r="R403" t="s">
        <v>1273</v>
      </c>
      <c r="S403">
        <v>0</v>
      </c>
      <c r="T403">
        <v>0</v>
      </c>
      <c r="U403" t="s">
        <v>2294</v>
      </c>
      <c r="V403" t="s">
        <v>2295</v>
      </c>
      <c r="W403" t="s">
        <v>2296</v>
      </c>
      <c r="X403" t="s">
        <v>2297</v>
      </c>
      <c r="Y403" t="s">
        <v>2298</v>
      </c>
      <c r="Z403" t="s">
        <v>2318</v>
      </c>
      <c r="AA403">
        <v>28</v>
      </c>
      <c r="AB403" s="14">
        <v>150</v>
      </c>
      <c r="AC403" t="s">
        <v>2319</v>
      </c>
      <c r="AD403" t="s">
        <v>2320</v>
      </c>
      <c r="AE403" t="s">
        <v>2643</v>
      </c>
      <c r="AF403">
        <v>29</v>
      </c>
      <c r="AG403">
        <v>0</v>
      </c>
      <c r="AJ403">
        <v>1</v>
      </c>
      <c r="AK403">
        <v>0</v>
      </c>
      <c r="AL403">
        <v>1</v>
      </c>
      <c r="AM403" s="14">
        <v>0</v>
      </c>
      <c r="AN403" t="s">
        <v>2644</v>
      </c>
      <c r="AO403" s="12">
        <v>46082</v>
      </c>
      <c r="AP403">
        <v>2026</v>
      </c>
      <c r="AQ403">
        <v>3</v>
      </c>
      <c r="AR403" t="s">
        <v>2650</v>
      </c>
    </row>
    <row r="404" spans="1:44">
      <c r="A404" t="s">
        <v>1445</v>
      </c>
      <c r="B404" s="12">
        <v>46108</v>
      </c>
      <c r="C404" s="12">
        <v>46092</v>
      </c>
      <c r="D404" t="s">
        <v>1427</v>
      </c>
      <c r="E404" t="s">
        <v>255</v>
      </c>
      <c r="F404" t="s">
        <v>256</v>
      </c>
      <c r="G404" t="s">
        <v>398</v>
      </c>
      <c r="H404" t="s">
        <v>122</v>
      </c>
      <c r="I404" t="s">
        <v>258</v>
      </c>
      <c r="J404" s="13">
        <v>0.58333333333333337</v>
      </c>
      <c r="K404" s="13"/>
      <c r="L404" s="13"/>
      <c r="M404">
        <v>0</v>
      </c>
      <c r="N404" s="14">
        <v>95</v>
      </c>
      <c r="O404" t="s">
        <v>195</v>
      </c>
      <c r="Q404" t="s">
        <v>318</v>
      </c>
      <c r="R404" t="s">
        <v>1273</v>
      </c>
      <c r="S404">
        <v>0</v>
      </c>
      <c r="T404">
        <v>0</v>
      </c>
      <c r="U404" t="s">
        <v>2299</v>
      </c>
      <c r="V404" t="s">
        <v>2295</v>
      </c>
      <c r="W404" t="s">
        <v>2300</v>
      </c>
      <c r="X404" t="s">
        <v>2288</v>
      </c>
      <c r="Y404" t="s">
        <v>2301</v>
      </c>
      <c r="Z404" t="s">
        <v>2312</v>
      </c>
      <c r="AA404">
        <v>21</v>
      </c>
      <c r="AB404" s="14">
        <v>95</v>
      </c>
      <c r="AC404" t="s">
        <v>2313</v>
      </c>
      <c r="AD404" t="s">
        <v>2314</v>
      </c>
      <c r="AE404" t="s">
        <v>2643</v>
      </c>
      <c r="AF404">
        <v>16</v>
      </c>
      <c r="AG404">
        <v>1</v>
      </c>
      <c r="AJ404">
        <v>1</v>
      </c>
      <c r="AK404">
        <v>1</v>
      </c>
      <c r="AL404">
        <v>1</v>
      </c>
      <c r="AM404" s="14">
        <v>0</v>
      </c>
      <c r="AN404" t="s">
        <v>2644</v>
      </c>
      <c r="AO404" s="12">
        <v>46082</v>
      </c>
      <c r="AP404">
        <v>2026</v>
      </c>
      <c r="AQ404">
        <v>3</v>
      </c>
      <c r="AR404" t="s">
        <v>2650</v>
      </c>
    </row>
    <row r="405" spans="1:44">
      <c r="A405" t="s">
        <v>1446</v>
      </c>
      <c r="B405" s="12">
        <v>46086</v>
      </c>
      <c r="C405" s="12">
        <v>46063</v>
      </c>
      <c r="D405" t="s">
        <v>1447</v>
      </c>
      <c r="E405" t="s">
        <v>339</v>
      </c>
      <c r="F405" t="s">
        <v>256</v>
      </c>
      <c r="G405" t="s">
        <v>345</v>
      </c>
      <c r="H405" t="s">
        <v>115</v>
      </c>
      <c r="I405" t="s">
        <v>271</v>
      </c>
      <c r="J405" s="13">
        <v>0.52083333333333337</v>
      </c>
      <c r="K405" s="13">
        <v>0.51736111111111116</v>
      </c>
      <c r="L405" s="13">
        <v>0.53263888888888888</v>
      </c>
      <c r="M405">
        <v>30</v>
      </c>
      <c r="N405" s="14">
        <v>95</v>
      </c>
      <c r="O405" t="s">
        <v>195</v>
      </c>
      <c r="P405">
        <v>4</v>
      </c>
      <c r="Q405" t="s">
        <v>305</v>
      </c>
      <c r="R405" t="s">
        <v>1273</v>
      </c>
      <c r="S405">
        <v>0</v>
      </c>
      <c r="T405">
        <v>0</v>
      </c>
      <c r="U405" t="s">
        <v>2294</v>
      </c>
      <c r="V405" t="s">
        <v>2295</v>
      </c>
      <c r="W405" t="s">
        <v>2296</v>
      </c>
      <c r="X405" t="s">
        <v>2297</v>
      </c>
      <c r="Y405" t="s">
        <v>2298</v>
      </c>
      <c r="Z405" t="s">
        <v>2312</v>
      </c>
      <c r="AA405">
        <v>21</v>
      </c>
      <c r="AB405" s="14">
        <v>95</v>
      </c>
      <c r="AC405" t="s">
        <v>2313</v>
      </c>
      <c r="AD405" t="s">
        <v>2314</v>
      </c>
      <c r="AE405" t="s">
        <v>2643</v>
      </c>
      <c r="AF405">
        <v>23</v>
      </c>
      <c r="AG405">
        <v>0</v>
      </c>
      <c r="AH405">
        <v>22</v>
      </c>
      <c r="AI405">
        <v>1</v>
      </c>
      <c r="AJ405">
        <v>1</v>
      </c>
      <c r="AK405">
        <v>0</v>
      </c>
      <c r="AL405">
        <v>1</v>
      </c>
      <c r="AM405" s="14">
        <v>0</v>
      </c>
      <c r="AN405" t="s">
        <v>2644</v>
      </c>
      <c r="AO405" s="12">
        <v>46082</v>
      </c>
      <c r="AP405">
        <v>2026</v>
      </c>
      <c r="AQ405">
        <v>3</v>
      </c>
      <c r="AR405" t="s">
        <v>2650</v>
      </c>
    </row>
    <row r="406" spans="1:44">
      <c r="A406" t="s">
        <v>1448</v>
      </c>
      <c r="B406" s="12">
        <v>46097</v>
      </c>
      <c r="C406" s="12">
        <v>46064</v>
      </c>
      <c r="D406" t="s">
        <v>586</v>
      </c>
      <c r="E406" t="s">
        <v>268</v>
      </c>
      <c r="F406" t="s">
        <v>409</v>
      </c>
      <c r="G406" t="s">
        <v>587</v>
      </c>
      <c r="H406" t="s">
        <v>115</v>
      </c>
      <c r="I406" t="s">
        <v>299</v>
      </c>
      <c r="J406" s="13">
        <v>0.375</v>
      </c>
      <c r="K406" s="13">
        <v>0.3840277777777778</v>
      </c>
      <c r="L406" s="13">
        <v>0.4</v>
      </c>
      <c r="M406">
        <v>20</v>
      </c>
      <c r="N406" s="14">
        <v>150</v>
      </c>
      <c r="O406" t="s">
        <v>195</v>
      </c>
      <c r="P406">
        <v>5</v>
      </c>
      <c r="Q406" t="s">
        <v>285</v>
      </c>
      <c r="R406" t="s">
        <v>1273</v>
      </c>
      <c r="S406">
        <v>0</v>
      </c>
      <c r="T406">
        <v>0</v>
      </c>
      <c r="U406" t="s">
        <v>2285</v>
      </c>
      <c r="V406" t="s">
        <v>2286</v>
      </c>
      <c r="W406" t="s">
        <v>2287</v>
      </c>
      <c r="X406" t="s">
        <v>2288</v>
      </c>
      <c r="Y406" t="s">
        <v>2289</v>
      </c>
      <c r="Z406" t="s">
        <v>2318</v>
      </c>
      <c r="AA406">
        <v>28</v>
      </c>
      <c r="AB406" s="14">
        <v>150</v>
      </c>
      <c r="AC406" t="s">
        <v>2319</v>
      </c>
      <c r="AD406" t="s">
        <v>2320</v>
      </c>
      <c r="AE406" t="s">
        <v>2643</v>
      </c>
      <c r="AF406">
        <v>33</v>
      </c>
      <c r="AG406">
        <v>0</v>
      </c>
      <c r="AH406">
        <v>23</v>
      </c>
      <c r="AI406">
        <v>1</v>
      </c>
      <c r="AJ406">
        <v>1</v>
      </c>
      <c r="AK406">
        <v>0</v>
      </c>
      <c r="AL406">
        <v>1</v>
      </c>
      <c r="AM406" s="14">
        <v>0</v>
      </c>
      <c r="AN406" t="s">
        <v>2644</v>
      </c>
      <c r="AO406" s="12">
        <v>46082</v>
      </c>
      <c r="AP406">
        <v>2026</v>
      </c>
      <c r="AQ406">
        <v>3</v>
      </c>
      <c r="AR406" t="s">
        <v>2650</v>
      </c>
    </row>
    <row r="407" spans="1:44">
      <c r="A407" t="s">
        <v>1449</v>
      </c>
      <c r="B407" s="12">
        <v>46091</v>
      </c>
      <c r="C407" s="12">
        <v>46069</v>
      </c>
      <c r="D407" t="s">
        <v>706</v>
      </c>
      <c r="E407" t="s">
        <v>255</v>
      </c>
      <c r="F407" t="s">
        <v>256</v>
      </c>
      <c r="G407" t="s">
        <v>398</v>
      </c>
      <c r="H407" t="s">
        <v>115</v>
      </c>
      <c r="I407" t="s">
        <v>258</v>
      </c>
      <c r="J407" s="13">
        <v>0.45833333333333331</v>
      </c>
      <c r="K407" s="13">
        <v>0.4548611111111111</v>
      </c>
      <c r="L407" s="13">
        <v>0.45902777777777776</v>
      </c>
      <c r="M407">
        <v>30</v>
      </c>
      <c r="N407" s="14">
        <v>95</v>
      </c>
      <c r="O407" t="s">
        <v>195</v>
      </c>
      <c r="P407">
        <v>4</v>
      </c>
      <c r="Q407" t="s">
        <v>262</v>
      </c>
      <c r="R407" t="s">
        <v>1273</v>
      </c>
      <c r="S407">
        <v>0</v>
      </c>
      <c r="T407">
        <v>0</v>
      </c>
      <c r="U407" t="s">
        <v>2299</v>
      </c>
      <c r="V407" t="s">
        <v>2295</v>
      </c>
      <c r="W407" t="s">
        <v>2300</v>
      </c>
      <c r="X407" t="s">
        <v>2288</v>
      </c>
      <c r="Y407" t="s">
        <v>2301</v>
      </c>
      <c r="Z407" t="s">
        <v>2312</v>
      </c>
      <c r="AA407">
        <v>21</v>
      </c>
      <c r="AB407" s="14">
        <v>95</v>
      </c>
      <c r="AC407" t="s">
        <v>2313</v>
      </c>
      <c r="AD407" t="s">
        <v>2314</v>
      </c>
      <c r="AE407" t="s">
        <v>2643</v>
      </c>
      <c r="AF407">
        <v>22</v>
      </c>
      <c r="AG407">
        <v>0</v>
      </c>
      <c r="AH407">
        <v>6</v>
      </c>
      <c r="AI407">
        <v>1</v>
      </c>
      <c r="AJ407">
        <v>1</v>
      </c>
      <c r="AK407">
        <v>0</v>
      </c>
      <c r="AL407">
        <v>1</v>
      </c>
      <c r="AM407" s="14">
        <v>0</v>
      </c>
      <c r="AN407" t="s">
        <v>2644</v>
      </c>
      <c r="AO407" s="12">
        <v>46082</v>
      </c>
      <c r="AP407">
        <v>2026</v>
      </c>
      <c r="AQ407">
        <v>3</v>
      </c>
      <c r="AR407" t="s">
        <v>2650</v>
      </c>
    </row>
    <row r="408" spans="1:44">
      <c r="A408" t="s">
        <v>1450</v>
      </c>
      <c r="B408" s="12">
        <v>46095</v>
      </c>
      <c r="C408" s="12">
        <v>46053</v>
      </c>
      <c r="D408" t="s">
        <v>1237</v>
      </c>
      <c r="E408" t="s">
        <v>281</v>
      </c>
      <c r="F408" t="s">
        <v>409</v>
      </c>
      <c r="G408" t="s">
        <v>535</v>
      </c>
      <c r="H408" t="s">
        <v>115</v>
      </c>
      <c r="I408" t="s">
        <v>316</v>
      </c>
      <c r="J408" s="13">
        <v>0.47916666666666669</v>
      </c>
      <c r="K408" s="13">
        <v>0.48541666666666666</v>
      </c>
      <c r="L408" s="13">
        <v>0.48958333333333331</v>
      </c>
      <c r="M408">
        <v>45</v>
      </c>
      <c r="N408" s="14">
        <v>150</v>
      </c>
      <c r="O408" t="s">
        <v>195</v>
      </c>
      <c r="P408">
        <v>4</v>
      </c>
      <c r="Q408" t="s">
        <v>305</v>
      </c>
      <c r="R408" t="s">
        <v>1273</v>
      </c>
      <c r="S408">
        <v>0</v>
      </c>
      <c r="T408">
        <v>0</v>
      </c>
      <c r="U408" t="s">
        <v>2290</v>
      </c>
      <c r="V408" t="s">
        <v>2291</v>
      </c>
      <c r="W408" t="s">
        <v>2292</v>
      </c>
      <c r="X408" t="s">
        <v>2288</v>
      </c>
      <c r="Y408" t="s">
        <v>2293</v>
      </c>
      <c r="Z408" t="s">
        <v>2318</v>
      </c>
      <c r="AA408">
        <v>28</v>
      </c>
      <c r="AB408" s="14">
        <v>150</v>
      </c>
      <c r="AC408" t="s">
        <v>2319</v>
      </c>
      <c r="AD408" t="s">
        <v>2320</v>
      </c>
      <c r="AE408" t="s">
        <v>2643</v>
      </c>
      <c r="AF408">
        <v>42</v>
      </c>
      <c r="AG408">
        <v>0</v>
      </c>
      <c r="AH408">
        <v>6</v>
      </c>
      <c r="AI408">
        <v>1</v>
      </c>
      <c r="AJ408">
        <v>1</v>
      </c>
      <c r="AK408">
        <v>0</v>
      </c>
      <c r="AL408">
        <v>1</v>
      </c>
      <c r="AM408" s="14">
        <v>0</v>
      </c>
      <c r="AN408" t="s">
        <v>2644</v>
      </c>
      <c r="AO408" s="12">
        <v>46082</v>
      </c>
      <c r="AP408">
        <v>2026</v>
      </c>
      <c r="AQ408">
        <v>3</v>
      </c>
      <c r="AR408" t="s">
        <v>2650</v>
      </c>
    </row>
    <row r="409" spans="1:44">
      <c r="A409" t="s">
        <v>1452</v>
      </c>
      <c r="B409" s="12">
        <v>46099</v>
      </c>
      <c r="C409" s="12">
        <v>46052</v>
      </c>
      <c r="D409" t="s">
        <v>1366</v>
      </c>
      <c r="E409" t="s">
        <v>339</v>
      </c>
      <c r="F409" t="s">
        <v>297</v>
      </c>
      <c r="G409" t="s">
        <v>569</v>
      </c>
      <c r="H409" t="s">
        <v>115</v>
      </c>
      <c r="I409" t="s">
        <v>258</v>
      </c>
      <c r="J409" s="13">
        <v>0.375</v>
      </c>
      <c r="K409" s="13">
        <v>0.37569444444444444</v>
      </c>
      <c r="L409" s="13">
        <v>0.37638888888888888</v>
      </c>
      <c r="M409">
        <v>30</v>
      </c>
      <c r="N409" s="14">
        <v>65</v>
      </c>
      <c r="O409" t="s">
        <v>195</v>
      </c>
      <c r="P409">
        <v>3</v>
      </c>
      <c r="Q409" t="s">
        <v>318</v>
      </c>
      <c r="R409" t="s">
        <v>1273</v>
      </c>
      <c r="S409">
        <v>0</v>
      </c>
      <c r="T409">
        <v>0</v>
      </c>
      <c r="U409" t="s">
        <v>2294</v>
      </c>
      <c r="V409" t="s">
        <v>2295</v>
      </c>
      <c r="W409" t="s">
        <v>2296</v>
      </c>
      <c r="X409" t="s">
        <v>2297</v>
      </c>
      <c r="Y409" t="s">
        <v>2298</v>
      </c>
      <c r="Z409" t="s">
        <v>2306</v>
      </c>
      <c r="AA409">
        <v>7</v>
      </c>
      <c r="AB409" s="14">
        <v>65</v>
      </c>
      <c r="AC409" t="s">
        <v>2307</v>
      </c>
      <c r="AD409" t="s">
        <v>2308</v>
      </c>
      <c r="AE409" t="s">
        <v>2643</v>
      </c>
      <c r="AF409">
        <v>47</v>
      </c>
      <c r="AG409">
        <v>0</v>
      </c>
      <c r="AH409">
        <v>1</v>
      </c>
      <c r="AI409">
        <v>1</v>
      </c>
      <c r="AJ409">
        <v>1</v>
      </c>
      <c r="AK409">
        <v>0</v>
      </c>
      <c r="AL409">
        <v>1</v>
      </c>
      <c r="AM409" s="14">
        <v>0</v>
      </c>
      <c r="AN409" t="s">
        <v>2644</v>
      </c>
      <c r="AO409" s="12">
        <v>46082</v>
      </c>
      <c r="AP409">
        <v>2026</v>
      </c>
      <c r="AQ409">
        <v>3</v>
      </c>
      <c r="AR409" t="s">
        <v>2650</v>
      </c>
    </row>
    <row r="410" spans="1:44">
      <c r="A410" t="s">
        <v>1453</v>
      </c>
      <c r="B410" s="12">
        <v>46104</v>
      </c>
      <c r="C410" s="12">
        <v>46084</v>
      </c>
      <c r="D410" t="s">
        <v>1067</v>
      </c>
      <c r="E410" t="s">
        <v>255</v>
      </c>
      <c r="F410" t="s">
        <v>269</v>
      </c>
      <c r="G410" t="s">
        <v>391</v>
      </c>
      <c r="H410" t="s">
        <v>466</v>
      </c>
      <c r="I410" t="s">
        <v>271</v>
      </c>
      <c r="J410" s="13">
        <v>0.4375</v>
      </c>
      <c r="K410" s="13"/>
      <c r="L410" s="13"/>
      <c r="M410">
        <v>0</v>
      </c>
      <c r="N410" s="14">
        <v>80</v>
      </c>
      <c r="O410" t="s">
        <v>169</v>
      </c>
      <c r="Q410" t="s">
        <v>285</v>
      </c>
      <c r="R410" t="s">
        <v>1273</v>
      </c>
      <c r="S410">
        <v>0</v>
      </c>
      <c r="T410">
        <v>0</v>
      </c>
      <c r="U410" t="s">
        <v>2299</v>
      </c>
      <c r="V410" t="s">
        <v>2295</v>
      </c>
      <c r="W410" t="s">
        <v>2300</v>
      </c>
      <c r="X410" t="s">
        <v>2288</v>
      </c>
      <c r="Y410" t="s">
        <v>2301</v>
      </c>
      <c r="Z410" t="s">
        <v>2315</v>
      </c>
      <c r="AA410">
        <v>10</v>
      </c>
      <c r="AB410" s="14">
        <v>80</v>
      </c>
      <c r="AC410" t="s">
        <v>2316</v>
      </c>
      <c r="AD410" t="s">
        <v>2317</v>
      </c>
      <c r="AE410" t="s">
        <v>2643</v>
      </c>
      <c r="AF410">
        <v>20</v>
      </c>
      <c r="AG410">
        <v>0</v>
      </c>
      <c r="AJ410">
        <v>0</v>
      </c>
      <c r="AL410">
        <v>1</v>
      </c>
      <c r="AM410" s="14">
        <v>0</v>
      </c>
      <c r="AN410" t="s">
        <v>2644</v>
      </c>
      <c r="AO410" s="12">
        <v>46082</v>
      </c>
      <c r="AP410">
        <v>2026</v>
      </c>
      <c r="AQ410">
        <v>3</v>
      </c>
      <c r="AR410" t="s">
        <v>2650</v>
      </c>
    </row>
    <row r="411" spans="1:44">
      <c r="A411" t="s">
        <v>1454</v>
      </c>
      <c r="B411" s="12">
        <v>46086</v>
      </c>
      <c r="C411" s="12">
        <v>46041</v>
      </c>
      <c r="D411" t="s">
        <v>418</v>
      </c>
      <c r="E411" t="s">
        <v>281</v>
      </c>
      <c r="F411" t="s">
        <v>297</v>
      </c>
      <c r="G411" t="s">
        <v>368</v>
      </c>
      <c r="H411" t="s">
        <v>122</v>
      </c>
      <c r="I411" t="s">
        <v>299</v>
      </c>
      <c r="J411" s="13">
        <v>0.39583333333333331</v>
      </c>
      <c r="K411" s="13"/>
      <c r="L411" s="13"/>
      <c r="M411">
        <v>0</v>
      </c>
      <c r="N411" s="14">
        <v>65</v>
      </c>
      <c r="O411" t="s">
        <v>169</v>
      </c>
      <c r="Q411" t="s">
        <v>262</v>
      </c>
      <c r="R411" t="s">
        <v>1273</v>
      </c>
      <c r="S411">
        <v>0</v>
      </c>
      <c r="T411">
        <v>0</v>
      </c>
      <c r="U411" t="s">
        <v>2290</v>
      </c>
      <c r="V411" t="s">
        <v>2291</v>
      </c>
      <c r="W411" t="s">
        <v>2292</v>
      </c>
      <c r="X411" t="s">
        <v>2288</v>
      </c>
      <c r="Y411" t="s">
        <v>2293</v>
      </c>
      <c r="Z411" t="s">
        <v>2306</v>
      </c>
      <c r="AA411">
        <v>7</v>
      </c>
      <c r="AB411" s="14">
        <v>65</v>
      </c>
      <c r="AC411" t="s">
        <v>2307</v>
      </c>
      <c r="AD411" t="s">
        <v>2308</v>
      </c>
      <c r="AE411" t="s">
        <v>2643</v>
      </c>
      <c r="AF411">
        <v>45</v>
      </c>
      <c r="AG411">
        <v>0</v>
      </c>
      <c r="AJ411">
        <v>1</v>
      </c>
      <c r="AK411">
        <v>1</v>
      </c>
      <c r="AL411">
        <v>1</v>
      </c>
      <c r="AM411" s="14">
        <v>0</v>
      </c>
      <c r="AN411" t="s">
        <v>2644</v>
      </c>
      <c r="AO411" s="12">
        <v>46082</v>
      </c>
      <c r="AP411">
        <v>2026</v>
      </c>
      <c r="AQ411">
        <v>3</v>
      </c>
      <c r="AR411" t="s">
        <v>2650</v>
      </c>
    </row>
    <row r="412" spans="1:44">
      <c r="A412" t="s">
        <v>1455</v>
      </c>
      <c r="B412" s="12">
        <v>46092</v>
      </c>
      <c r="C412" s="12">
        <v>46075</v>
      </c>
      <c r="D412" t="s">
        <v>1036</v>
      </c>
      <c r="E412" t="s">
        <v>268</v>
      </c>
      <c r="F412" t="s">
        <v>256</v>
      </c>
      <c r="G412" t="s">
        <v>886</v>
      </c>
      <c r="H412" t="s">
        <v>122</v>
      </c>
      <c r="I412" t="s">
        <v>258</v>
      </c>
      <c r="J412" s="13">
        <v>0.66666666666666663</v>
      </c>
      <c r="K412" s="13">
        <v>0.66111111111111109</v>
      </c>
      <c r="L412" s="13">
        <v>0.68472222222222223</v>
      </c>
      <c r="M412">
        <v>30</v>
      </c>
      <c r="N412" s="14">
        <v>95</v>
      </c>
      <c r="O412" t="s">
        <v>195</v>
      </c>
      <c r="P412">
        <v>5</v>
      </c>
      <c r="Q412" t="s">
        <v>318</v>
      </c>
      <c r="R412" t="s">
        <v>1273</v>
      </c>
      <c r="S412">
        <v>0</v>
      </c>
      <c r="T412">
        <v>0</v>
      </c>
      <c r="U412" t="s">
        <v>2285</v>
      </c>
      <c r="V412" t="s">
        <v>2286</v>
      </c>
      <c r="W412" t="s">
        <v>2287</v>
      </c>
      <c r="X412" t="s">
        <v>2288</v>
      </c>
      <c r="Y412" t="s">
        <v>2289</v>
      </c>
      <c r="Z412" t="s">
        <v>2312</v>
      </c>
      <c r="AA412">
        <v>21</v>
      </c>
      <c r="AB412" s="14">
        <v>95</v>
      </c>
      <c r="AC412" t="s">
        <v>2313</v>
      </c>
      <c r="AD412" t="s">
        <v>2314</v>
      </c>
      <c r="AE412" t="s">
        <v>2643</v>
      </c>
      <c r="AF412">
        <v>17</v>
      </c>
      <c r="AG412">
        <v>1</v>
      </c>
      <c r="AJ412">
        <v>1</v>
      </c>
      <c r="AK412">
        <v>1</v>
      </c>
      <c r="AL412">
        <v>1</v>
      </c>
      <c r="AM412" s="14">
        <v>0</v>
      </c>
      <c r="AN412" t="s">
        <v>2644</v>
      </c>
      <c r="AO412" s="12">
        <v>46082</v>
      </c>
      <c r="AP412">
        <v>2026</v>
      </c>
      <c r="AQ412">
        <v>3</v>
      </c>
      <c r="AR412" t="s">
        <v>2650</v>
      </c>
    </row>
    <row r="413" spans="1:44">
      <c r="A413" t="s">
        <v>1458</v>
      </c>
      <c r="B413" s="12">
        <v>46090</v>
      </c>
      <c r="C413" s="12">
        <v>46081</v>
      </c>
      <c r="D413" t="s">
        <v>1179</v>
      </c>
      <c r="E413" t="s">
        <v>255</v>
      </c>
      <c r="F413" t="s">
        <v>282</v>
      </c>
      <c r="G413" t="s">
        <v>424</v>
      </c>
      <c r="H413" t="s">
        <v>115</v>
      </c>
      <c r="I413" t="s">
        <v>258</v>
      </c>
      <c r="J413" s="13">
        <v>0.47916666666666669</v>
      </c>
      <c r="K413" s="13">
        <v>0.48888888888888887</v>
      </c>
      <c r="L413" s="13">
        <v>0.49791666666666667</v>
      </c>
      <c r="M413">
        <v>45</v>
      </c>
      <c r="N413" s="14">
        <v>120</v>
      </c>
      <c r="O413" t="s">
        <v>169</v>
      </c>
      <c r="P413">
        <v>4</v>
      </c>
      <c r="Q413" t="s">
        <v>326</v>
      </c>
      <c r="R413" t="s">
        <v>1273</v>
      </c>
      <c r="S413">
        <v>0</v>
      </c>
      <c r="T413">
        <v>0</v>
      </c>
      <c r="U413" t="s">
        <v>2299</v>
      </c>
      <c r="V413" t="s">
        <v>2295</v>
      </c>
      <c r="W413" t="s">
        <v>2300</v>
      </c>
      <c r="X413" t="s">
        <v>2288</v>
      </c>
      <c r="Y413" t="s">
        <v>2301</v>
      </c>
      <c r="Z413" t="s">
        <v>2309</v>
      </c>
      <c r="AA413">
        <v>14</v>
      </c>
      <c r="AB413" s="14">
        <v>120</v>
      </c>
      <c r="AC413" t="s">
        <v>2310</v>
      </c>
      <c r="AD413" t="s">
        <v>2311</v>
      </c>
      <c r="AE413" t="s">
        <v>2643</v>
      </c>
      <c r="AF413">
        <v>9</v>
      </c>
      <c r="AG413">
        <v>1</v>
      </c>
      <c r="AH413">
        <v>13</v>
      </c>
      <c r="AI413">
        <v>1</v>
      </c>
      <c r="AJ413">
        <v>1</v>
      </c>
      <c r="AK413">
        <v>0</v>
      </c>
      <c r="AL413">
        <v>1</v>
      </c>
      <c r="AM413" s="14">
        <v>0</v>
      </c>
      <c r="AN413" t="s">
        <v>2644</v>
      </c>
      <c r="AO413" s="12">
        <v>46082</v>
      </c>
      <c r="AP413">
        <v>2026</v>
      </c>
      <c r="AQ413">
        <v>3</v>
      </c>
      <c r="AR413" t="s">
        <v>2650</v>
      </c>
    </row>
    <row r="414" spans="1:44">
      <c r="A414" t="s">
        <v>1461</v>
      </c>
      <c r="B414" s="12">
        <v>46098</v>
      </c>
      <c r="C414" s="12">
        <v>46087</v>
      </c>
      <c r="D414" t="s">
        <v>1077</v>
      </c>
      <c r="E414" t="s">
        <v>281</v>
      </c>
      <c r="F414" t="s">
        <v>256</v>
      </c>
      <c r="G414" t="s">
        <v>429</v>
      </c>
      <c r="H414" t="s">
        <v>115</v>
      </c>
      <c r="I414" t="s">
        <v>271</v>
      </c>
      <c r="J414" s="13">
        <v>0.33333333333333331</v>
      </c>
      <c r="K414" s="13">
        <v>0.33819444444444446</v>
      </c>
      <c r="L414" s="13">
        <v>0.33958333333333335</v>
      </c>
      <c r="M414">
        <v>45</v>
      </c>
      <c r="N414" s="14">
        <v>95</v>
      </c>
      <c r="O414" t="s">
        <v>169</v>
      </c>
      <c r="P414">
        <v>4</v>
      </c>
      <c r="Q414" t="s">
        <v>262</v>
      </c>
      <c r="R414" t="s">
        <v>1273</v>
      </c>
      <c r="S414">
        <v>0</v>
      </c>
      <c r="T414">
        <v>0</v>
      </c>
      <c r="U414" t="s">
        <v>2290</v>
      </c>
      <c r="V414" t="s">
        <v>2291</v>
      </c>
      <c r="W414" t="s">
        <v>2292</v>
      </c>
      <c r="X414" t="s">
        <v>2288</v>
      </c>
      <c r="Y414" t="s">
        <v>2293</v>
      </c>
      <c r="Z414" t="s">
        <v>2312</v>
      </c>
      <c r="AA414">
        <v>21</v>
      </c>
      <c r="AB414" s="14">
        <v>95</v>
      </c>
      <c r="AC414" t="s">
        <v>2313</v>
      </c>
      <c r="AD414" t="s">
        <v>2314</v>
      </c>
      <c r="AE414" t="s">
        <v>2643</v>
      </c>
      <c r="AF414">
        <v>11</v>
      </c>
      <c r="AG414">
        <v>1</v>
      </c>
      <c r="AH414">
        <v>2</v>
      </c>
      <c r="AI414">
        <v>1</v>
      </c>
      <c r="AJ414">
        <v>1</v>
      </c>
      <c r="AK414">
        <v>0</v>
      </c>
      <c r="AL414">
        <v>1</v>
      </c>
      <c r="AM414" s="14">
        <v>0</v>
      </c>
      <c r="AN414" t="s">
        <v>2644</v>
      </c>
      <c r="AO414" s="12">
        <v>46082</v>
      </c>
      <c r="AP414">
        <v>2026</v>
      </c>
      <c r="AQ414">
        <v>3</v>
      </c>
      <c r="AR414" t="s">
        <v>2650</v>
      </c>
    </row>
    <row r="415" spans="1:44">
      <c r="A415" t="s">
        <v>1463</v>
      </c>
      <c r="B415" s="12">
        <v>46109</v>
      </c>
      <c r="C415" s="12">
        <v>46086</v>
      </c>
      <c r="D415" t="s">
        <v>999</v>
      </c>
      <c r="E415" t="s">
        <v>255</v>
      </c>
      <c r="F415" t="s">
        <v>297</v>
      </c>
      <c r="G415" t="s">
        <v>639</v>
      </c>
      <c r="H415" t="s">
        <v>115</v>
      </c>
      <c r="I415" t="s">
        <v>258</v>
      </c>
      <c r="J415" s="13">
        <v>0.66666666666666663</v>
      </c>
      <c r="K415" s="13">
        <v>0.67222222222222228</v>
      </c>
      <c r="L415" s="13">
        <v>0.66666666666666663</v>
      </c>
      <c r="M415">
        <v>20</v>
      </c>
      <c r="N415" s="14">
        <v>65</v>
      </c>
      <c r="O415" t="s">
        <v>169</v>
      </c>
      <c r="P415">
        <v>5</v>
      </c>
      <c r="Q415" t="s">
        <v>305</v>
      </c>
      <c r="R415" t="s">
        <v>1273</v>
      </c>
      <c r="S415">
        <v>0</v>
      </c>
      <c r="T415">
        <v>0</v>
      </c>
      <c r="U415" t="s">
        <v>2299</v>
      </c>
      <c r="V415" t="s">
        <v>2295</v>
      </c>
      <c r="W415" t="s">
        <v>2300</v>
      </c>
      <c r="X415" t="s">
        <v>2288</v>
      </c>
      <c r="Y415" t="s">
        <v>2301</v>
      </c>
      <c r="Z415" t="s">
        <v>2306</v>
      </c>
      <c r="AA415">
        <v>7</v>
      </c>
      <c r="AB415" s="14">
        <v>65</v>
      </c>
      <c r="AC415" t="s">
        <v>2307</v>
      </c>
      <c r="AD415" t="s">
        <v>2308</v>
      </c>
      <c r="AE415" t="s">
        <v>2643</v>
      </c>
      <c r="AF415">
        <v>23</v>
      </c>
      <c r="AG415">
        <v>0</v>
      </c>
      <c r="AJ415">
        <v>1</v>
      </c>
      <c r="AK415">
        <v>0</v>
      </c>
      <c r="AL415">
        <v>1</v>
      </c>
      <c r="AM415" s="14">
        <v>0</v>
      </c>
      <c r="AN415" t="s">
        <v>2644</v>
      </c>
      <c r="AO415" s="12">
        <v>46082</v>
      </c>
      <c r="AP415">
        <v>2026</v>
      </c>
      <c r="AQ415">
        <v>3</v>
      </c>
      <c r="AR415" t="s">
        <v>2650</v>
      </c>
    </row>
    <row r="416" spans="1:44">
      <c r="A416" t="s">
        <v>1464</v>
      </c>
      <c r="B416" s="12"/>
      <c r="C416" s="12">
        <v>46088</v>
      </c>
      <c r="D416" t="s">
        <v>1246</v>
      </c>
      <c r="E416" t="s">
        <v>268</v>
      </c>
      <c r="F416" t="s">
        <v>269</v>
      </c>
      <c r="G416" t="s">
        <v>435</v>
      </c>
      <c r="H416" t="s">
        <v>122</v>
      </c>
      <c r="I416" t="s">
        <v>299</v>
      </c>
      <c r="J416" s="13">
        <v>0.39583333333333331</v>
      </c>
      <c r="K416" s="13"/>
      <c r="L416" s="13"/>
      <c r="M416">
        <v>0</v>
      </c>
      <c r="N416" s="14">
        <v>80</v>
      </c>
      <c r="O416" t="s">
        <v>195</v>
      </c>
      <c r="Q416" t="s">
        <v>318</v>
      </c>
      <c r="R416" t="s">
        <v>1273</v>
      </c>
      <c r="S416">
        <v>0</v>
      </c>
      <c r="T416">
        <v>0</v>
      </c>
      <c r="U416" t="s">
        <v>2285</v>
      </c>
      <c r="V416" t="s">
        <v>2286</v>
      </c>
      <c r="W416" t="s">
        <v>2287</v>
      </c>
      <c r="X416" t="s">
        <v>2288</v>
      </c>
      <c r="Y416" t="s">
        <v>2289</v>
      </c>
      <c r="Z416" t="s">
        <v>2315</v>
      </c>
      <c r="AA416">
        <v>10</v>
      </c>
      <c r="AB416" s="14">
        <v>80</v>
      </c>
      <c r="AC416" t="s">
        <v>2316</v>
      </c>
      <c r="AD416" t="s">
        <v>2317</v>
      </c>
      <c r="AE416" t="s">
        <v>2643</v>
      </c>
      <c r="AJ416">
        <v>1</v>
      </c>
      <c r="AK416">
        <v>1</v>
      </c>
      <c r="AL416">
        <v>1</v>
      </c>
      <c r="AM416" s="14">
        <v>0</v>
      </c>
      <c r="AN416" t="s">
        <v>2644</v>
      </c>
      <c r="AO416" s="12"/>
    </row>
    <row r="417" spans="1:44">
      <c r="A417" t="s">
        <v>1465</v>
      </c>
      <c r="B417" s="12">
        <v>46090</v>
      </c>
      <c r="C417" s="12">
        <v>46073</v>
      </c>
      <c r="D417" t="s">
        <v>1466</v>
      </c>
      <c r="E417" t="s">
        <v>339</v>
      </c>
      <c r="F417" t="s">
        <v>297</v>
      </c>
      <c r="G417" t="s">
        <v>780</v>
      </c>
      <c r="H417" t="s">
        <v>122</v>
      </c>
      <c r="I417" t="s">
        <v>299</v>
      </c>
      <c r="J417" s="13">
        <v>0.52083333333333337</v>
      </c>
      <c r="K417" s="13"/>
      <c r="L417" s="13"/>
      <c r="M417">
        <v>0</v>
      </c>
      <c r="N417" s="14">
        <v>65</v>
      </c>
      <c r="O417" t="s">
        <v>195</v>
      </c>
      <c r="Q417" t="s">
        <v>326</v>
      </c>
      <c r="R417" t="s">
        <v>1273</v>
      </c>
      <c r="S417">
        <v>0</v>
      </c>
      <c r="T417">
        <v>0</v>
      </c>
      <c r="U417" t="s">
        <v>2294</v>
      </c>
      <c r="V417" t="s">
        <v>2295</v>
      </c>
      <c r="W417" t="s">
        <v>2296</v>
      </c>
      <c r="X417" t="s">
        <v>2297</v>
      </c>
      <c r="Y417" t="s">
        <v>2298</v>
      </c>
      <c r="Z417" t="s">
        <v>2306</v>
      </c>
      <c r="AA417">
        <v>7</v>
      </c>
      <c r="AB417" s="14">
        <v>65</v>
      </c>
      <c r="AC417" t="s">
        <v>2307</v>
      </c>
      <c r="AD417" t="s">
        <v>2308</v>
      </c>
      <c r="AE417" t="s">
        <v>2643</v>
      </c>
      <c r="AF417">
        <v>17</v>
      </c>
      <c r="AG417">
        <v>0</v>
      </c>
      <c r="AJ417">
        <v>1</v>
      </c>
      <c r="AK417">
        <v>1</v>
      </c>
      <c r="AL417">
        <v>1</v>
      </c>
      <c r="AM417" s="14">
        <v>0</v>
      </c>
      <c r="AN417" t="s">
        <v>2644</v>
      </c>
      <c r="AO417" s="12">
        <v>46082</v>
      </c>
      <c r="AP417">
        <v>2026</v>
      </c>
      <c r="AQ417">
        <v>3</v>
      </c>
      <c r="AR417" t="s">
        <v>2650</v>
      </c>
    </row>
    <row r="418" spans="1:44">
      <c r="A418" t="s">
        <v>1467</v>
      </c>
      <c r="B418" s="12">
        <v>46089</v>
      </c>
      <c r="C418" s="12">
        <v>46057</v>
      </c>
      <c r="D418" t="s">
        <v>1189</v>
      </c>
      <c r="E418" t="s">
        <v>255</v>
      </c>
      <c r="F418" t="s">
        <v>297</v>
      </c>
      <c r="G418" t="s">
        <v>639</v>
      </c>
      <c r="H418" t="s">
        <v>466</v>
      </c>
      <c r="I418" t="s">
        <v>299</v>
      </c>
      <c r="J418" s="13">
        <v>0.35416666666666669</v>
      </c>
      <c r="K418" s="13"/>
      <c r="L418" s="13"/>
      <c r="M418">
        <v>0</v>
      </c>
      <c r="N418" s="14">
        <v>65</v>
      </c>
      <c r="O418" t="s">
        <v>195</v>
      </c>
      <c r="Q418" t="s">
        <v>305</v>
      </c>
      <c r="R418" t="s">
        <v>1273</v>
      </c>
      <c r="S418">
        <v>0</v>
      </c>
      <c r="T418">
        <v>0</v>
      </c>
      <c r="U418" t="s">
        <v>2299</v>
      </c>
      <c r="V418" t="s">
        <v>2295</v>
      </c>
      <c r="W418" t="s">
        <v>2300</v>
      </c>
      <c r="X418" t="s">
        <v>2288</v>
      </c>
      <c r="Y418" t="s">
        <v>2301</v>
      </c>
      <c r="Z418" t="s">
        <v>2306</v>
      </c>
      <c r="AA418">
        <v>7</v>
      </c>
      <c r="AB418" s="14">
        <v>65</v>
      </c>
      <c r="AC418" t="s">
        <v>2307</v>
      </c>
      <c r="AD418" t="s">
        <v>2308</v>
      </c>
      <c r="AE418" t="s">
        <v>2643</v>
      </c>
      <c r="AF418">
        <v>32</v>
      </c>
      <c r="AG418">
        <v>0</v>
      </c>
      <c r="AJ418">
        <v>0</v>
      </c>
      <c r="AL418">
        <v>1</v>
      </c>
      <c r="AM418" s="14">
        <v>0</v>
      </c>
      <c r="AN418" t="s">
        <v>2644</v>
      </c>
      <c r="AO418" s="12">
        <v>46082</v>
      </c>
      <c r="AP418">
        <v>2026</v>
      </c>
      <c r="AQ418">
        <v>3</v>
      </c>
      <c r="AR418" t="s">
        <v>2650</v>
      </c>
    </row>
    <row r="419" spans="1:44">
      <c r="A419" t="s">
        <v>1468</v>
      </c>
      <c r="B419" s="12">
        <v>46105</v>
      </c>
      <c r="C419" s="12">
        <v>46088</v>
      </c>
      <c r="D419" t="s">
        <v>1239</v>
      </c>
      <c r="E419" t="s">
        <v>339</v>
      </c>
      <c r="F419" t="s">
        <v>282</v>
      </c>
      <c r="G419" t="s">
        <v>461</v>
      </c>
      <c r="H419" t="s">
        <v>115</v>
      </c>
      <c r="I419" t="s">
        <v>299</v>
      </c>
      <c r="J419" s="13">
        <v>0.35416666666666669</v>
      </c>
      <c r="K419" s="13">
        <v>0.35416666666666669</v>
      </c>
      <c r="L419" s="13">
        <v>0.38055555555555554</v>
      </c>
      <c r="M419">
        <v>45</v>
      </c>
      <c r="N419" s="14">
        <v>120</v>
      </c>
      <c r="O419" t="s">
        <v>195</v>
      </c>
      <c r="P419">
        <v>5</v>
      </c>
      <c r="Q419" t="s">
        <v>305</v>
      </c>
      <c r="R419" t="s">
        <v>1273</v>
      </c>
      <c r="S419">
        <v>0</v>
      </c>
      <c r="T419">
        <v>0</v>
      </c>
      <c r="U419" t="s">
        <v>2294</v>
      </c>
      <c r="V419" t="s">
        <v>2295</v>
      </c>
      <c r="W419" t="s">
        <v>2296</v>
      </c>
      <c r="X419" t="s">
        <v>2297</v>
      </c>
      <c r="Y419" t="s">
        <v>2298</v>
      </c>
      <c r="Z419" t="s">
        <v>2309</v>
      </c>
      <c r="AA419">
        <v>14</v>
      </c>
      <c r="AB419" s="14">
        <v>120</v>
      </c>
      <c r="AC419" t="s">
        <v>2310</v>
      </c>
      <c r="AD419" t="s">
        <v>2311</v>
      </c>
      <c r="AE419" t="s">
        <v>2643</v>
      </c>
      <c r="AF419">
        <v>17</v>
      </c>
      <c r="AG419">
        <v>0</v>
      </c>
      <c r="AH419">
        <v>38</v>
      </c>
      <c r="AI419">
        <v>0</v>
      </c>
      <c r="AJ419">
        <v>1</v>
      </c>
      <c r="AK419">
        <v>0</v>
      </c>
      <c r="AL419">
        <v>1</v>
      </c>
      <c r="AM419" s="14">
        <v>0</v>
      </c>
      <c r="AN419" t="s">
        <v>2644</v>
      </c>
      <c r="AO419" s="12">
        <v>46082</v>
      </c>
      <c r="AP419">
        <v>2026</v>
      </c>
      <c r="AQ419">
        <v>3</v>
      </c>
      <c r="AR419" t="s">
        <v>2650</v>
      </c>
    </row>
    <row r="420" spans="1:44">
      <c r="A420" t="s">
        <v>1469</v>
      </c>
      <c r="B420" s="12">
        <v>46099</v>
      </c>
      <c r="C420" s="12">
        <v>46081</v>
      </c>
      <c r="D420" t="s">
        <v>845</v>
      </c>
      <c r="E420" t="s">
        <v>255</v>
      </c>
      <c r="F420" t="s">
        <v>256</v>
      </c>
      <c r="G420" t="s">
        <v>725</v>
      </c>
      <c r="H420" t="s">
        <v>115</v>
      </c>
      <c r="I420" t="s">
        <v>258</v>
      </c>
      <c r="J420" s="13">
        <v>0.45833333333333331</v>
      </c>
      <c r="K420" s="13">
        <v>0.45763888888888887</v>
      </c>
      <c r="L420" s="13">
        <v>0.46944444444444444</v>
      </c>
      <c r="M420">
        <v>30</v>
      </c>
      <c r="N420" s="14">
        <v>95</v>
      </c>
      <c r="O420" t="s">
        <v>195</v>
      </c>
      <c r="P420">
        <v>4</v>
      </c>
      <c r="Q420" t="s">
        <v>305</v>
      </c>
      <c r="R420" t="s">
        <v>1273</v>
      </c>
      <c r="S420">
        <v>0</v>
      </c>
      <c r="T420">
        <v>0</v>
      </c>
      <c r="U420" t="s">
        <v>2299</v>
      </c>
      <c r="V420" t="s">
        <v>2295</v>
      </c>
      <c r="W420" t="s">
        <v>2300</v>
      </c>
      <c r="X420" t="s">
        <v>2288</v>
      </c>
      <c r="Y420" t="s">
        <v>2301</v>
      </c>
      <c r="Z420" t="s">
        <v>2312</v>
      </c>
      <c r="AA420">
        <v>21</v>
      </c>
      <c r="AB420" s="14">
        <v>95</v>
      </c>
      <c r="AC420" t="s">
        <v>2313</v>
      </c>
      <c r="AD420" t="s">
        <v>2314</v>
      </c>
      <c r="AE420" t="s">
        <v>2643</v>
      </c>
      <c r="AF420">
        <v>18</v>
      </c>
      <c r="AG420">
        <v>1</v>
      </c>
      <c r="AH420">
        <v>17</v>
      </c>
      <c r="AI420">
        <v>1</v>
      </c>
      <c r="AJ420">
        <v>1</v>
      </c>
      <c r="AK420">
        <v>0</v>
      </c>
      <c r="AL420">
        <v>1</v>
      </c>
      <c r="AM420" s="14">
        <v>0</v>
      </c>
      <c r="AN420" t="s">
        <v>2644</v>
      </c>
      <c r="AO420" s="12">
        <v>46082</v>
      </c>
      <c r="AP420">
        <v>2026</v>
      </c>
      <c r="AQ420">
        <v>3</v>
      </c>
      <c r="AR420" t="s">
        <v>2650</v>
      </c>
    </row>
    <row r="421" spans="1:44">
      <c r="A421" t="s">
        <v>1471</v>
      </c>
      <c r="B421" s="12">
        <v>46089</v>
      </c>
      <c r="C421" s="12">
        <v>46058</v>
      </c>
      <c r="D421" t="s">
        <v>1472</v>
      </c>
      <c r="E421" t="s">
        <v>268</v>
      </c>
      <c r="F421" t="s">
        <v>297</v>
      </c>
      <c r="G421" t="s">
        <v>628</v>
      </c>
      <c r="H421" t="s">
        <v>122</v>
      </c>
      <c r="I421" t="s">
        <v>316</v>
      </c>
      <c r="J421" s="13">
        <v>0.625</v>
      </c>
      <c r="K421" s="13"/>
      <c r="L421" s="13"/>
      <c r="M421">
        <v>0</v>
      </c>
      <c r="N421" s="14">
        <v>65</v>
      </c>
      <c r="O421" t="s">
        <v>195</v>
      </c>
      <c r="Q421" t="s">
        <v>318</v>
      </c>
      <c r="R421" t="s">
        <v>1273</v>
      </c>
      <c r="S421">
        <v>0</v>
      </c>
      <c r="T421">
        <v>0</v>
      </c>
      <c r="U421" t="s">
        <v>2285</v>
      </c>
      <c r="V421" t="s">
        <v>2286</v>
      </c>
      <c r="W421" t="s">
        <v>2287</v>
      </c>
      <c r="X421" t="s">
        <v>2288</v>
      </c>
      <c r="Y421" t="s">
        <v>2289</v>
      </c>
      <c r="Z421" t="s">
        <v>2306</v>
      </c>
      <c r="AA421">
        <v>7</v>
      </c>
      <c r="AB421" s="14">
        <v>65</v>
      </c>
      <c r="AC421" t="s">
        <v>2307</v>
      </c>
      <c r="AD421" t="s">
        <v>2308</v>
      </c>
      <c r="AE421" t="s">
        <v>2643</v>
      </c>
      <c r="AF421">
        <v>31</v>
      </c>
      <c r="AG421">
        <v>0</v>
      </c>
      <c r="AJ421">
        <v>1</v>
      </c>
      <c r="AK421">
        <v>1</v>
      </c>
      <c r="AL421">
        <v>1</v>
      </c>
      <c r="AM421" s="14">
        <v>0</v>
      </c>
      <c r="AN421" t="s">
        <v>2644</v>
      </c>
      <c r="AO421" s="12">
        <v>46082</v>
      </c>
      <c r="AP421">
        <v>2026</v>
      </c>
      <c r="AQ421">
        <v>3</v>
      </c>
      <c r="AR421" t="s">
        <v>2650</v>
      </c>
    </row>
    <row r="422" spans="1:44">
      <c r="A422" t="s">
        <v>1473</v>
      </c>
      <c r="B422" s="12">
        <v>46094</v>
      </c>
      <c r="C422" s="12">
        <v>46068</v>
      </c>
      <c r="D422" t="s">
        <v>615</v>
      </c>
      <c r="E422" t="s">
        <v>281</v>
      </c>
      <c r="F422" t="s">
        <v>282</v>
      </c>
      <c r="G422" t="s">
        <v>283</v>
      </c>
      <c r="H422" t="s">
        <v>127</v>
      </c>
      <c r="I422" t="s">
        <v>316</v>
      </c>
      <c r="J422" s="13">
        <v>0.35416666666666669</v>
      </c>
      <c r="K422" s="13"/>
      <c r="L422" s="13"/>
      <c r="M422">
        <v>0</v>
      </c>
      <c r="N422" s="14">
        <v>120</v>
      </c>
      <c r="O422" t="s">
        <v>169</v>
      </c>
      <c r="Q422" t="s">
        <v>326</v>
      </c>
      <c r="R422" t="s">
        <v>1273</v>
      </c>
      <c r="S422">
        <v>0</v>
      </c>
      <c r="T422">
        <v>0</v>
      </c>
      <c r="U422" t="s">
        <v>2290</v>
      </c>
      <c r="V422" t="s">
        <v>2291</v>
      </c>
      <c r="W422" t="s">
        <v>2292</v>
      </c>
      <c r="X422" t="s">
        <v>2288</v>
      </c>
      <c r="Y422" t="s">
        <v>2293</v>
      </c>
      <c r="Z422" t="s">
        <v>2309</v>
      </c>
      <c r="AA422">
        <v>14</v>
      </c>
      <c r="AB422" s="14">
        <v>120</v>
      </c>
      <c r="AC422" t="s">
        <v>2310</v>
      </c>
      <c r="AD422" t="s">
        <v>2311</v>
      </c>
      <c r="AE422" t="s">
        <v>2643</v>
      </c>
      <c r="AF422">
        <v>26</v>
      </c>
      <c r="AG422">
        <v>0</v>
      </c>
      <c r="AJ422">
        <v>0</v>
      </c>
      <c r="AL422">
        <v>1</v>
      </c>
      <c r="AM422" s="14">
        <v>0</v>
      </c>
      <c r="AN422" t="s">
        <v>2644</v>
      </c>
      <c r="AO422" s="12">
        <v>46082</v>
      </c>
      <c r="AP422">
        <v>2026</v>
      </c>
      <c r="AQ422">
        <v>3</v>
      </c>
      <c r="AR422" t="s">
        <v>2650</v>
      </c>
    </row>
    <row r="423" spans="1:44">
      <c r="A423" t="s">
        <v>1474</v>
      </c>
      <c r="B423" s="12">
        <v>46087</v>
      </c>
      <c r="C423" s="12">
        <v>46035</v>
      </c>
      <c r="D423" t="s">
        <v>1475</v>
      </c>
      <c r="E423" t="s">
        <v>281</v>
      </c>
      <c r="F423" t="s">
        <v>282</v>
      </c>
      <c r="G423" t="s">
        <v>446</v>
      </c>
      <c r="H423" t="s">
        <v>115</v>
      </c>
      <c r="I423" t="s">
        <v>316</v>
      </c>
      <c r="J423" s="13">
        <v>0.4375</v>
      </c>
      <c r="K423" s="13">
        <v>0.44166666666666665</v>
      </c>
      <c r="L423" s="13">
        <v>0.45902777777777776</v>
      </c>
      <c r="M423">
        <v>30</v>
      </c>
      <c r="N423" s="14">
        <v>120</v>
      </c>
      <c r="O423" t="s">
        <v>195</v>
      </c>
      <c r="P423">
        <v>2</v>
      </c>
      <c r="Q423" t="s">
        <v>318</v>
      </c>
      <c r="R423" t="s">
        <v>1273</v>
      </c>
      <c r="S423">
        <v>0</v>
      </c>
      <c r="T423">
        <v>0</v>
      </c>
      <c r="U423" t="s">
        <v>2290</v>
      </c>
      <c r="V423" t="s">
        <v>2291</v>
      </c>
      <c r="W423" t="s">
        <v>2292</v>
      </c>
      <c r="X423" t="s">
        <v>2288</v>
      </c>
      <c r="Y423" t="s">
        <v>2293</v>
      </c>
      <c r="Z423" t="s">
        <v>2309</v>
      </c>
      <c r="AA423">
        <v>14</v>
      </c>
      <c r="AB423" s="14">
        <v>120</v>
      </c>
      <c r="AC423" t="s">
        <v>2310</v>
      </c>
      <c r="AD423" t="s">
        <v>2311</v>
      </c>
      <c r="AE423" t="s">
        <v>2643</v>
      </c>
      <c r="AF423">
        <v>52</v>
      </c>
      <c r="AG423">
        <v>0</v>
      </c>
      <c r="AH423">
        <v>25</v>
      </c>
      <c r="AI423">
        <v>1</v>
      </c>
      <c r="AJ423">
        <v>1</v>
      </c>
      <c r="AK423">
        <v>0</v>
      </c>
      <c r="AL423">
        <v>1</v>
      </c>
      <c r="AM423" s="14">
        <v>0</v>
      </c>
      <c r="AN423" t="s">
        <v>2644</v>
      </c>
      <c r="AO423" s="12">
        <v>46082</v>
      </c>
      <c r="AP423">
        <v>2026</v>
      </c>
      <c r="AQ423">
        <v>3</v>
      </c>
      <c r="AR423" t="s">
        <v>2650</v>
      </c>
    </row>
    <row r="424" spans="1:44">
      <c r="A424" t="s">
        <v>1476</v>
      </c>
      <c r="B424" s="12">
        <v>46092</v>
      </c>
      <c r="C424" s="12">
        <v>46059</v>
      </c>
      <c r="D424" t="s">
        <v>691</v>
      </c>
      <c r="E424" t="s">
        <v>339</v>
      </c>
      <c r="F424" t="s">
        <v>256</v>
      </c>
      <c r="G424" t="s">
        <v>403</v>
      </c>
      <c r="H424" t="s">
        <v>466</v>
      </c>
      <c r="I424" t="s">
        <v>316</v>
      </c>
      <c r="J424" s="13">
        <v>0.64583333333333337</v>
      </c>
      <c r="K424" s="13"/>
      <c r="L424" s="13"/>
      <c r="M424">
        <v>0</v>
      </c>
      <c r="N424" s="14">
        <v>95</v>
      </c>
      <c r="O424" t="s">
        <v>169</v>
      </c>
      <c r="Q424" t="s">
        <v>285</v>
      </c>
      <c r="R424" t="s">
        <v>1273</v>
      </c>
      <c r="S424">
        <v>0</v>
      </c>
      <c r="T424">
        <v>0</v>
      </c>
      <c r="U424" t="s">
        <v>2294</v>
      </c>
      <c r="V424" t="s">
        <v>2295</v>
      </c>
      <c r="W424" t="s">
        <v>2296</v>
      </c>
      <c r="X424" t="s">
        <v>2297</v>
      </c>
      <c r="Y424" t="s">
        <v>2298</v>
      </c>
      <c r="Z424" t="s">
        <v>2312</v>
      </c>
      <c r="AA424">
        <v>21</v>
      </c>
      <c r="AB424" s="14">
        <v>95</v>
      </c>
      <c r="AC424" t="s">
        <v>2313</v>
      </c>
      <c r="AD424" t="s">
        <v>2314</v>
      </c>
      <c r="AE424" t="s">
        <v>2643</v>
      </c>
      <c r="AF424">
        <v>33</v>
      </c>
      <c r="AG424">
        <v>0</v>
      </c>
      <c r="AJ424">
        <v>0</v>
      </c>
      <c r="AL424">
        <v>1</v>
      </c>
      <c r="AM424" s="14">
        <v>0</v>
      </c>
      <c r="AN424" t="s">
        <v>2644</v>
      </c>
      <c r="AO424" s="12">
        <v>46082</v>
      </c>
      <c r="AP424">
        <v>2026</v>
      </c>
      <c r="AQ424">
        <v>3</v>
      </c>
      <c r="AR424" t="s">
        <v>2650</v>
      </c>
    </row>
    <row r="425" spans="1:44">
      <c r="A425" t="s">
        <v>1477</v>
      </c>
      <c r="B425" s="12">
        <v>46083</v>
      </c>
      <c r="C425" s="12">
        <v>46082</v>
      </c>
      <c r="D425" t="s">
        <v>1478</v>
      </c>
      <c r="E425" t="s">
        <v>255</v>
      </c>
      <c r="F425" t="s">
        <v>297</v>
      </c>
      <c r="G425" t="s">
        <v>331</v>
      </c>
      <c r="H425" t="s">
        <v>115</v>
      </c>
      <c r="I425" t="s">
        <v>271</v>
      </c>
      <c r="J425" s="13">
        <v>0.54166666666666663</v>
      </c>
      <c r="K425" s="13">
        <v>0.54652777777777772</v>
      </c>
      <c r="L425" s="13">
        <v>0.54374999999999996</v>
      </c>
      <c r="M425">
        <v>30</v>
      </c>
      <c r="N425" s="14">
        <v>65</v>
      </c>
      <c r="O425" t="s">
        <v>195</v>
      </c>
      <c r="P425">
        <v>5</v>
      </c>
      <c r="Q425" t="s">
        <v>285</v>
      </c>
      <c r="R425" t="s">
        <v>1273</v>
      </c>
      <c r="S425">
        <v>0</v>
      </c>
      <c r="T425">
        <v>0</v>
      </c>
      <c r="U425" t="s">
        <v>2299</v>
      </c>
      <c r="V425" t="s">
        <v>2295</v>
      </c>
      <c r="W425" t="s">
        <v>2300</v>
      </c>
      <c r="X425" t="s">
        <v>2288</v>
      </c>
      <c r="Y425" t="s">
        <v>2301</v>
      </c>
      <c r="Z425" t="s">
        <v>2306</v>
      </c>
      <c r="AA425">
        <v>7</v>
      </c>
      <c r="AB425" s="14">
        <v>65</v>
      </c>
      <c r="AC425" t="s">
        <v>2307</v>
      </c>
      <c r="AD425" t="s">
        <v>2308</v>
      </c>
      <c r="AE425" t="s">
        <v>2643</v>
      </c>
      <c r="AF425">
        <v>1</v>
      </c>
      <c r="AG425">
        <v>1</v>
      </c>
      <c r="AJ425">
        <v>1</v>
      </c>
      <c r="AK425">
        <v>0</v>
      </c>
      <c r="AL425">
        <v>1</v>
      </c>
      <c r="AM425" s="14">
        <v>0</v>
      </c>
      <c r="AN425" t="s">
        <v>2644</v>
      </c>
      <c r="AO425" s="12">
        <v>46082</v>
      </c>
      <c r="AP425">
        <v>2026</v>
      </c>
      <c r="AQ425">
        <v>3</v>
      </c>
      <c r="AR425" t="s">
        <v>2650</v>
      </c>
    </row>
    <row r="426" spans="1:44">
      <c r="A426" t="s">
        <v>1480</v>
      </c>
      <c r="B426" s="12">
        <v>46092</v>
      </c>
      <c r="C426" s="12">
        <v>46081</v>
      </c>
      <c r="D426" t="s">
        <v>280</v>
      </c>
      <c r="E426" t="s">
        <v>339</v>
      </c>
      <c r="F426" t="s">
        <v>282</v>
      </c>
      <c r="G426" t="s">
        <v>461</v>
      </c>
      <c r="H426" t="s">
        <v>115</v>
      </c>
      <c r="I426" t="s">
        <v>271</v>
      </c>
      <c r="J426" s="13">
        <v>0.35416666666666669</v>
      </c>
      <c r="K426" s="13">
        <v>0.35347222222222224</v>
      </c>
      <c r="L426" s="13">
        <v>0.36319444444444443</v>
      </c>
      <c r="M426">
        <v>20</v>
      </c>
      <c r="O426" t="s">
        <v>169</v>
      </c>
      <c r="P426">
        <v>3</v>
      </c>
      <c r="Q426" t="s">
        <v>318</v>
      </c>
      <c r="R426" t="s">
        <v>1273</v>
      </c>
      <c r="S426">
        <v>0</v>
      </c>
      <c r="T426">
        <v>0</v>
      </c>
      <c r="U426" t="s">
        <v>2294</v>
      </c>
      <c r="V426" t="s">
        <v>2295</v>
      </c>
      <c r="W426" t="s">
        <v>2296</v>
      </c>
      <c r="X426" t="s">
        <v>2297</v>
      </c>
      <c r="Y426" t="s">
        <v>2298</v>
      </c>
      <c r="Z426" t="s">
        <v>2309</v>
      </c>
      <c r="AA426">
        <v>14</v>
      </c>
      <c r="AB426" s="14">
        <v>120</v>
      </c>
      <c r="AC426" t="s">
        <v>2310</v>
      </c>
      <c r="AD426" t="s">
        <v>2311</v>
      </c>
      <c r="AE426" t="s">
        <v>2643</v>
      </c>
      <c r="AF426">
        <v>11</v>
      </c>
      <c r="AG426">
        <v>1</v>
      </c>
      <c r="AH426">
        <v>14</v>
      </c>
      <c r="AI426">
        <v>1</v>
      </c>
      <c r="AJ426">
        <v>1</v>
      </c>
      <c r="AK426">
        <v>0</v>
      </c>
      <c r="AL426">
        <v>0</v>
      </c>
      <c r="AN426" t="s">
        <v>2648</v>
      </c>
      <c r="AO426" s="12">
        <v>46082</v>
      </c>
      <c r="AP426">
        <v>2026</v>
      </c>
      <c r="AQ426">
        <v>3</v>
      </c>
      <c r="AR426" t="s">
        <v>2650</v>
      </c>
    </row>
    <row r="427" spans="1:44">
      <c r="A427" t="s">
        <v>1481</v>
      </c>
      <c r="B427" s="12">
        <v>46112</v>
      </c>
      <c r="C427" s="12">
        <v>46061</v>
      </c>
      <c r="D427" t="s">
        <v>934</v>
      </c>
      <c r="E427" t="s">
        <v>339</v>
      </c>
      <c r="F427" t="s">
        <v>297</v>
      </c>
      <c r="G427" t="s">
        <v>780</v>
      </c>
      <c r="H427" t="s">
        <v>115</v>
      </c>
      <c r="I427" t="s">
        <v>271</v>
      </c>
      <c r="J427" s="13">
        <v>0.47916666666666669</v>
      </c>
      <c r="K427" s="13">
        <v>0.47361111111111109</v>
      </c>
      <c r="L427" s="13">
        <v>0.48055555555555557</v>
      </c>
      <c r="M427">
        <v>30</v>
      </c>
      <c r="N427" s="14">
        <v>65</v>
      </c>
      <c r="O427" t="s">
        <v>195</v>
      </c>
      <c r="P427">
        <v>5</v>
      </c>
      <c r="Q427" t="s">
        <v>305</v>
      </c>
      <c r="R427" t="s">
        <v>1273</v>
      </c>
      <c r="S427">
        <v>0</v>
      </c>
      <c r="T427">
        <v>0</v>
      </c>
      <c r="U427" t="s">
        <v>2294</v>
      </c>
      <c r="V427" t="s">
        <v>2295</v>
      </c>
      <c r="W427" t="s">
        <v>2296</v>
      </c>
      <c r="X427" t="s">
        <v>2297</v>
      </c>
      <c r="Y427" t="s">
        <v>2298</v>
      </c>
      <c r="Z427" t="s">
        <v>2306</v>
      </c>
      <c r="AA427">
        <v>7</v>
      </c>
      <c r="AB427" s="14">
        <v>65</v>
      </c>
      <c r="AC427" t="s">
        <v>2307</v>
      </c>
      <c r="AD427" t="s">
        <v>2308</v>
      </c>
      <c r="AE427" t="s">
        <v>2643</v>
      </c>
      <c r="AF427">
        <v>51</v>
      </c>
      <c r="AG427">
        <v>0</v>
      </c>
      <c r="AH427">
        <v>10</v>
      </c>
      <c r="AI427">
        <v>1</v>
      </c>
      <c r="AJ427">
        <v>1</v>
      </c>
      <c r="AK427">
        <v>0</v>
      </c>
      <c r="AL427">
        <v>1</v>
      </c>
      <c r="AM427" s="14">
        <v>0</v>
      </c>
      <c r="AN427" t="s">
        <v>2644</v>
      </c>
      <c r="AO427" s="12">
        <v>46082</v>
      </c>
      <c r="AP427">
        <v>2026</v>
      </c>
      <c r="AQ427">
        <v>3</v>
      </c>
      <c r="AR427" t="s">
        <v>2650</v>
      </c>
    </row>
    <row r="428" spans="1:44">
      <c r="A428" t="s">
        <v>1483</v>
      </c>
      <c r="B428" s="12">
        <v>46087</v>
      </c>
      <c r="C428" s="12">
        <v>46084</v>
      </c>
      <c r="E428" t="s">
        <v>339</v>
      </c>
      <c r="F428" t="s">
        <v>297</v>
      </c>
      <c r="G428" t="s">
        <v>569</v>
      </c>
      <c r="H428" t="s">
        <v>115</v>
      </c>
      <c r="I428" t="s">
        <v>316</v>
      </c>
      <c r="J428" s="13">
        <v>0.35416666666666669</v>
      </c>
      <c r="K428" s="13">
        <v>0.35833333333333334</v>
      </c>
      <c r="L428" s="13">
        <v>0.36944444444444446</v>
      </c>
      <c r="M428">
        <v>45</v>
      </c>
      <c r="N428" s="14">
        <v>65</v>
      </c>
      <c r="O428" t="s">
        <v>169</v>
      </c>
      <c r="P428">
        <v>2</v>
      </c>
      <c r="Q428" t="s">
        <v>285</v>
      </c>
      <c r="R428" t="s">
        <v>1273</v>
      </c>
      <c r="S428">
        <v>1</v>
      </c>
      <c r="T428">
        <v>0</v>
      </c>
      <c r="U428" t="s">
        <v>2294</v>
      </c>
      <c r="V428" t="s">
        <v>2295</v>
      </c>
      <c r="W428" t="s">
        <v>2296</v>
      </c>
      <c r="X428" t="s">
        <v>2297</v>
      </c>
      <c r="Y428" t="s">
        <v>2298</v>
      </c>
      <c r="Z428" t="s">
        <v>2306</v>
      </c>
      <c r="AA428">
        <v>7</v>
      </c>
      <c r="AB428" s="14">
        <v>65</v>
      </c>
      <c r="AC428" t="s">
        <v>2307</v>
      </c>
      <c r="AD428" t="s">
        <v>2308</v>
      </c>
      <c r="AE428" t="s">
        <v>2643</v>
      </c>
      <c r="AF428">
        <v>3</v>
      </c>
      <c r="AG428">
        <v>1</v>
      </c>
      <c r="AH428">
        <v>16</v>
      </c>
      <c r="AI428">
        <v>1</v>
      </c>
      <c r="AJ428">
        <v>1</v>
      </c>
      <c r="AK428">
        <v>0</v>
      </c>
      <c r="AL428">
        <v>1</v>
      </c>
      <c r="AM428" s="14">
        <v>0</v>
      </c>
      <c r="AN428" t="s">
        <v>2644</v>
      </c>
      <c r="AO428" s="12">
        <v>46082</v>
      </c>
      <c r="AP428">
        <v>2026</v>
      </c>
      <c r="AQ428">
        <v>3</v>
      </c>
      <c r="AR428" t="s">
        <v>2650</v>
      </c>
    </row>
    <row r="429" spans="1:44">
      <c r="A429" t="s">
        <v>1485</v>
      </c>
      <c r="B429" s="12">
        <v>46083</v>
      </c>
      <c r="C429" s="12">
        <v>46032</v>
      </c>
      <c r="D429" t="s">
        <v>594</v>
      </c>
      <c r="E429" t="s">
        <v>281</v>
      </c>
      <c r="F429" t="s">
        <v>256</v>
      </c>
      <c r="G429" t="s">
        <v>796</v>
      </c>
      <c r="H429" t="s">
        <v>115</v>
      </c>
      <c r="I429" t="s">
        <v>258</v>
      </c>
      <c r="J429" s="13">
        <v>0.52083333333333337</v>
      </c>
      <c r="K429" s="13">
        <v>0.51597222222222228</v>
      </c>
      <c r="L429" s="13">
        <v>0.52916666666666667</v>
      </c>
      <c r="M429">
        <v>30</v>
      </c>
      <c r="N429" s="14">
        <v>95</v>
      </c>
      <c r="O429" t="s">
        <v>195</v>
      </c>
      <c r="P429">
        <v>3</v>
      </c>
      <c r="Q429" t="s">
        <v>305</v>
      </c>
      <c r="R429" t="s">
        <v>1273</v>
      </c>
      <c r="S429">
        <v>0</v>
      </c>
      <c r="T429">
        <v>0</v>
      </c>
      <c r="U429" t="s">
        <v>2290</v>
      </c>
      <c r="V429" t="s">
        <v>2291</v>
      </c>
      <c r="W429" t="s">
        <v>2292</v>
      </c>
      <c r="X429" t="s">
        <v>2288</v>
      </c>
      <c r="Y429" t="s">
        <v>2293</v>
      </c>
      <c r="Z429" t="s">
        <v>2312</v>
      </c>
      <c r="AA429">
        <v>21</v>
      </c>
      <c r="AB429" s="14">
        <v>95</v>
      </c>
      <c r="AC429" t="s">
        <v>2313</v>
      </c>
      <c r="AD429" t="s">
        <v>2314</v>
      </c>
      <c r="AE429" t="s">
        <v>2643</v>
      </c>
      <c r="AF429">
        <v>51</v>
      </c>
      <c r="AG429">
        <v>0</v>
      </c>
      <c r="AH429">
        <v>19</v>
      </c>
      <c r="AI429">
        <v>1</v>
      </c>
      <c r="AJ429">
        <v>1</v>
      </c>
      <c r="AK429">
        <v>0</v>
      </c>
      <c r="AL429">
        <v>1</v>
      </c>
      <c r="AM429" s="14">
        <v>0</v>
      </c>
      <c r="AN429" t="s">
        <v>2644</v>
      </c>
      <c r="AO429" s="12">
        <v>46082</v>
      </c>
      <c r="AP429">
        <v>2026</v>
      </c>
      <c r="AQ429">
        <v>3</v>
      </c>
      <c r="AR429" t="s">
        <v>2650</v>
      </c>
    </row>
    <row r="430" spans="1:44">
      <c r="A430" t="s">
        <v>1488</v>
      </c>
      <c r="B430" s="12">
        <v>46093</v>
      </c>
      <c r="C430" s="12">
        <v>46079</v>
      </c>
      <c r="D430" t="s">
        <v>1416</v>
      </c>
      <c r="E430" t="s">
        <v>255</v>
      </c>
      <c r="F430" t="s">
        <v>409</v>
      </c>
      <c r="G430" t="s">
        <v>648</v>
      </c>
      <c r="H430" t="s">
        <v>115</v>
      </c>
      <c r="I430" t="s">
        <v>299</v>
      </c>
      <c r="J430" s="13">
        <v>0.5</v>
      </c>
      <c r="K430" s="13">
        <v>0.50972222222222219</v>
      </c>
      <c r="L430" s="13">
        <v>0.5131944444444444</v>
      </c>
      <c r="M430">
        <v>45</v>
      </c>
      <c r="N430" s="14">
        <v>150</v>
      </c>
      <c r="O430" t="s">
        <v>169</v>
      </c>
      <c r="P430">
        <v>4</v>
      </c>
      <c r="Q430" t="s">
        <v>305</v>
      </c>
      <c r="R430" t="s">
        <v>1273</v>
      </c>
      <c r="S430">
        <v>0</v>
      </c>
      <c r="T430">
        <v>0</v>
      </c>
      <c r="U430" t="s">
        <v>2299</v>
      </c>
      <c r="V430" t="s">
        <v>2295</v>
      </c>
      <c r="W430" t="s">
        <v>2300</v>
      </c>
      <c r="X430" t="s">
        <v>2288</v>
      </c>
      <c r="Y430" t="s">
        <v>2301</v>
      </c>
      <c r="Z430" t="s">
        <v>2318</v>
      </c>
      <c r="AA430">
        <v>28</v>
      </c>
      <c r="AB430" s="14">
        <v>150</v>
      </c>
      <c r="AC430" t="s">
        <v>2319</v>
      </c>
      <c r="AD430" t="s">
        <v>2320</v>
      </c>
      <c r="AE430" t="s">
        <v>2643</v>
      </c>
      <c r="AF430">
        <v>14</v>
      </c>
      <c r="AG430">
        <v>1</v>
      </c>
      <c r="AH430">
        <v>5</v>
      </c>
      <c r="AI430">
        <v>1</v>
      </c>
      <c r="AJ430">
        <v>1</v>
      </c>
      <c r="AK430">
        <v>0</v>
      </c>
      <c r="AL430">
        <v>1</v>
      </c>
      <c r="AM430" s="14">
        <v>0</v>
      </c>
      <c r="AN430" t="s">
        <v>2644</v>
      </c>
      <c r="AO430" s="12">
        <v>46082</v>
      </c>
      <c r="AP430">
        <v>2026</v>
      </c>
      <c r="AQ430">
        <v>3</v>
      </c>
      <c r="AR430" t="s">
        <v>2650</v>
      </c>
    </row>
    <row r="431" spans="1:44">
      <c r="A431" t="s">
        <v>1491</v>
      </c>
      <c r="B431" s="12">
        <v>46085</v>
      </c>
      <c r="C431" s="12">
        <v>46075</v>
      </c>
      <c r="D431" t="s">
        <v>1126</v>
      </c>
      <c r="E431" t="s">
        <v>255</v>
      </c>
      <c r="F431" t="s">
        <v>297</v>
      </c>
      <c r="G431" t="s">
        <v>639</v>
      </c>
      <c r="H431" t="s">
        <v>122</v>
      </c>
      <c r="I431" t="s">
        <v>271</v>
      </c>
      <c r="J431" s="13">
        <v>0.60416666666666663</v>
      </c>
      <c r="K431" s="13"/>
      <c r="L431" s="13"/>
      <c r="M431">
        <v>0</v>
      </c>
      <c r="N431" s="14">
        <v>65</v>
      </c>
      <c r="O431" t="s">
        <v>195</v>
      </c>
      <c r="Q431" t="s">
        <v>305</v>
      </c>
      <c r="R431" t="s">
        <v>1273</v>
      </c>
      <c r="S431">
        <v>0</v>
      </c>
      <c r="T431">
        <v>0</v>
      </c>
      <c r="U431" t="s">
        <v>2299</v>
      </c>
      <c r="V431" t="s">
        <v>2295</v>
      </c>
      <c r="W431" t="s">
        <v>2300</v>
      </c>
      <c r="X431" t="s">
        <v>2288</v>
      </c>
      <c r="Y431" t="s">
        <v>2301</v>
      </c>
      <c r="Z431" t="s">
        <v>2306</v>
      </c>
      <c r="AA431">
        <v>7</v>
      </c>
      <c r="AB431" s="14">
        <v>65</v>
      </c>
      <c r="AC431" t="s">
        <v>2307</v>
      </c>
      <c r="AD431" t="s">
        <v>2308</v>
      </c>
      <c r="AE431" t="s">
        <v>2643</v>
      </c>
      <c r="AF431">
        <v>10</v>
      </c>
      <c r="AG431">
        <v>0</v>
      </c>
      <c r="AJ431">
        <v>1</v>
      </c>
      <c r="AK431">
        <v>1</v>
      </c>
      <c r="AL431">
        <v>1</v>
      </c>
      <c r="AM431" s="14">
        <v>0</v>
      </c>
      <c r="AN431" t="s">
        <v>2644</v>
      </c>
      <c r="AO431" s="12">
        <v>46082</v>
      </c>
      <c r="AP431">
        <v>2026</v>
      </c>
      <c r="AQ431">
        <v>3</v>
      </c>
      <c r="AR431" t="s">
        <v>2650</v>
      </c>
    </row>
    <row r="432" spans="1:44">
      <c r="A432" t="s">
        <v>1492</v>
      </c>
      <c r="B432" s="12">
        <v>46087</v>
      </c>
      <c r="C432" s="12"/>
      <c r="D432" t="s">
        <v>1181</v>
      </c>
      <c r="E432" t="s">
        <v>268</v>
      </c>
      <c r="F432" t="s">
        <v>256</v>
      </c>
      <c r="G432" t="s">
        <v>886</v>
      </c>
      <c r="H432" t="s">
        <v>127</v>
      </c>
      <c r="I432" t="s">
        <v>258</v>
      </c>
      <c r="J432" s="13">
        <v>0.45833333333333331</v>
      </c>
      <c r="K432" s="13"/>
      <c r="L432" s="13"/>
      <c r="M432">
        <v>0</v>
      </c>
      <c r="N432" s="14">
        <v>95</v>
      </c>
      <c r="O432" t="s">
        <v>195</v>
      </c>
      <c r="Q432" t="s">
        <v>285</v>
      </c>
      <c r="R432" t="s">
        <v>1273</v>
      </c>
      <c r="S432">
        <v>0</v>
      </c>
      <c r="T432">
        <v>0</v>
      </c>
      <c r="U432" t="s">
        <v>2285</v>
      </c>
      <c r="V432" t="s">
        <v>2286</v>
      </c>
      <c r="W432" t="s">
        <v>2287</v>
      </c>
      <c r="X432" t="s">
        <v>2288</v>
      </c>
      <c r="Y432" t="s">
        <v>2289</v>
      </c>
      <c r="Z432" t="s">
        <v>2312</v>
      </c>
      <c r="AA432">
        <v>21</v>
      </c>
      <c r="AB432" s="14">
        <v>95</v>
      </c>
      <c r="AC432" t="s">
        <v>2313</v>
      </c>
      <c r="AD432" t="s">
        <v>2314</v>
      </c>
      <c r="AE432" t="s">
        <v>2643</v>
      </c>
      <c r="AJ432">
        <v>0</v>
      </c>
      <c r="AL432">
        <v>1</v>
      </c>
      <c r="AM432" s="14">
        <v>0</v>
      </c>
      <c r="AN432" t="s">
        <v>2644</v>
      </c>
      <c r="AO432" s="12">
        <v>46082</v>
      </c>
      <c r="AP432">
        <v>2026</v>
      </c>
      <c r="AQ432">
        <v>3</v>
      </c>
      <c r="AR432" t="s">
        <v>2650</v>
      </c>
    </row>
    <row r="433" spans="1:44">
      <c r="A433" t="s">
        <v>1493</v>
      </c>
      <c r="B433" s="12">
        <v>46104</v>
      </c>
      <c r="C433" s="12">
        <v>46060</v>
      </c>
      <c r="D433" t="s">
        <v>1494</v>
      </c>
      <c r="E433" t="s">
        <v>255</v>
      </c>
      <c r="F433" t="s">
        <v>409</v>
      </c>
      <c r="G433" t="s">
        <v>410</v>
      </c>
      <c r="H433" t="s">
        <v>115</v>
      </c>
      <c r="I433" t="s">
        <v>316</v>
      </c>
      <c r="J433" s="13">
        <v>0.625</v>
      </c>
      <c r="K433" s="13">
        <v>0.61805555555555558</v>
      </c>
      <c r="L433" s="13">
        <v>0.62777777777777777</v>
      </c>
      <c r="M433">
        <v>30</v>
      </c>
      <c r="N433" s="14">
        <v>150</v>
      </c>
      <c r="O433" t="s">
        <v>169</v>
      </c>
      <c r="P433">
        <v>5</v>
      </c>
      <c r="Q433" t="s">
        <v>305</v>
      </c>
      <c r="R433" t="s">
        <v>1273</v>
      </c>
      <c r="S433">
        <v>0</v>
      </c>
      <c r="T433">
        <v>0</v>
      </c>
      <c r="U433" t="s">
        <v>2299</v>
      </c>
      <c r="V433" t="s">
        <v>2295</v>
      </c>
      <c r="W433" t="s">
        <v>2300</v>
      </c>
      <c r="X433" t="s">
        <v>2288</v>
      </c>
      <c r="Y433" t="s">
        <v>2301</v>
      </c>
      <c r="Z433" t="s">
        <v>2318</v>
      </c>
      <c r="AA433">
        <v>28</v>
      </c>
      <c r="AB433" s="14">
        <v>150</v>
      </c>
      <c r="AC433" t="s">
        <v>2319</v>
      </c>
      <c r="AD433" t="s">
        <v>2320</v>
      </c>
      <c r="AE433" t="s">
        <v>2643</v>
      </c>
      <c r="AF433">
        <v>44</v>
      </c>
      <c r="AG433">
        <v>0</v>
      </c>
      <c r="AH433">
        <v>14</v>
      </c>
      <c r="AI433">
        <v>1</v>
      </c>
      <c r="AJ433">
        <v>1</v>
      </c>
      <c r="AK433">
        <v>0</v>
      </c>
      <c r="AL433">
        <v>1</v>
      </c>
      <c r="AM433" s="14">
        <v>0</v>
      </c>
      <c r="AN433" t="s">
        <v>2644</v>
      </c>
      <c r="AO433" s="12">
        <v>46082</v>
      </c>
      <c r="AP433">
        <v>2026</v>
      </c>
      <c r="AQ433">
        <v>3</v>
      </c>
      <c r="AR433" t="s">
        <v>2650</v>
      </c>
    </row>
    <row r="434" spans="1:44">
      <c r="A434" t="s">
        <v>1496</v>
      </c>
      <c r="B434" s="12">
        <v>46083</v>
      </c>
      <c r="C434" s="12">
        <v>46078</v>
      </c>
      <c r="D434" t="s">
        <v>1239</v>
      </c>
      <c r="E434" t="s">
        <v>281</v>
      </c>
      <c r="F434" t="s">
        <v>269</v>
      </c>
      <c r="G434" t="s">
        <v>363</v>
      </c>
      <c r="H434" t="s">
        <v>122</v>
      </c>
      <c r="I434" t="s">
        <v>299</v>
      </c>
      <c r="J434" s="13">
        <v>0.5625</v>
      </c>
      <c r="K434" s="13"/>
      <c r="L434" s="13"/>
      <c r="M434">
        <v>0</v>
      </c>
      <c r="N434" s="14">
        <v>80</v>
      </c>
      <c r="O434" t="s">
        <v>195</v>
      </c>
      <c r="Q434" t="s">
        <v>326</v>
      </c>
      <c r="R434" t="s">
        <v>1273</v>
      </c>
      <c r="S434">
        <v>0</v>
      </c>
      <c r="T434">
        <v>0</v>
      </c>
      <c r="U434" t="s">
        <v>2290</v>
      </c>
      <c r="V434" t="s">
        <v>2291</v>
      </c>
      <c r="W434" t="s">
        <v>2292</v>
      </c>
      <c r="X434" t="s">
        <v>2288</v>
      </c>
      <c r="Y434" t="s">
        <v>2293</v>
      </c>
      <c r="Z434" t="s">
        <v>2315</v>
      </c>
      <c r="AA434">
        <v>10</v>
      </c>
      <c r="AB434" s="14">
        <v>80</v>
      </c>
      <c r="AC434" t="s">
        <v>2316</v>
      </c>
      <c r="AD434" t="s">
        <v>2317</v>
      </c>
      <c r="AE434" t="s">
        <v>2643</v>
      </c>
      <c r="AF434">
        <v>5</v>
      </c>
      <c r="AG434">
        <v>1</v>
      </c>
      <c r="AJ434">
        <v>1</v>
      </c>
      <c r="AK434">
        <v>1</v>
      </c>
      <c r="AL434">
        <v>1</v>
      </c>
      <c r="AM434" s="14">
        <v>0</v>
      </c>
      <c r="AN434" t="s">
        <v>2644</v>
      </c>
      <c r="AO434" s="12">
        <v>46082</v>
      </c>
      <c r="AP434">
        <v>2026</v>
      </c>
      <c r="AQ434">
        <v>3</v>
      </c>
      <c r="AR434" t="s">
        <v>2650</v>
      </c>
    </row>
    <row r="435" spans="1:44">
      <c r="A435" t="s">
        <v>1497</v>
      </c>
      <c r="B435" s="12">
        <v>46092</v>
      </c>
      <c r="C435" s="12">
        <v>46057</v>
      </c>
      <c r="D435" t="s">
        <v>655</v>
      </c>
      <c r="E435" t="s">
        <v>339</v>
      </c>
      <c r="F435" t="s">
        <v>256</v>
      </c>
      <c r="G435" t="s">
        <v>403</v>
      </c>
      <c r="H435" t="s">
        <v>115</v>
      </c>
      <c r="I435" t="s">
        <v>299</v>
      </c>
      <c r="J435" s="13">
        <v>0.5625</v>
      </c>
      <c r="K435" s="13">
        <v>0.56597222222222221</v>
      </c>
      <c r="L435" s="13">
        <v>0.56944444444444442</v>
      </c>
      <c r="M435">
        <v>30</v>
      </c>
      <c r="N435" s="14">
        <v>95</v>
      </c>
      <c r="O435" t="s">
        <v>195</v>
      </c>
      <c r="P435">
        <v>5</v>
      </c>
      <c r="Q435" t="s">
        <v>318</v>
      </c>
      <c r="R435" t="s">
        <v>1273</v>
      </c>
      <c r="S435">
        <v>0</v>
      </c>
      <c r="T435">
        <v>0</v>
      </c>
      <c r="U435" t="s">
        <v>2294</v>
      </c>
      <c r="V435" t="s">
        <v>2295</v>
      </c>
      <c r="W435" t="s">
        <v>2296</v>
      </c>
      <c r="X435" t="s">
        <v>2297</v>
      </c>
      <c r="Y435" t="s">
        <v>2298</v>
      </c>
      <c r="Z435" t="s">
        <v>2312</v>
      </c>
      <c r="AA435">
        <v>21</v>
      </c>
      <c r="AB435" s="14">
        <v>95</v>
      </c>
      <c r="AC435" t="s">
        <v>2313</v>
      </c>
      <c r="AD435" t="s">
        <v>2314</v>
      </c>
      <c r="AE435" t="s">
        <v>2643</v>
      </c>
      <c r="AF435">
        <v>35</v>
      </c>
      <c r="AG435">
        <v>0</v>
      </c>
      <c r="AH435">
        <v>5</v>
      </c>
      <c r="AI435">
        <v>1</v>
      </c>
      <c r="AJ435">
        <v>1</v>
      </c>
      <c r="AK435">
        <v>0</v>
      </c>
      <c r="AL435">
        <v>1</v>
      </c>
      <c r="AM435" s="14">
        <v>0</v>
      </c>
      <c r="AN435" t="s">
        <v>2644</v>
      </c>
      <c r="AO435" s="12">
        <v>46082</v>
      </c>
      <c r="AP435">
        <v>2026</v>
      </c>
      <c r="AQ435">
        <v>3</v>
      </c>
      <c r="AR435" t="s">
        <v>2650</v>
      </c>
    </row>
    <row r="436" spans="1:44">
      <c r="A436" t="s">
        <v>1498</v>
      </c>
      <c r="B436" s="12">
        <v>46098</v>
      </c>
      <c r="C436" s="12">
        <v>46060</v>
      </c>
      <c r="D436" t="s">
        <v>875</v>
      </c>
      <c r="E436" t="s">
        <v>255</v>
      </c>
      <c r="F436" t="s">
        <v>256</v>
      </c>
      <c r="G436" t="s">
        <v>257</v>
      </c>
      <c r="H436" t="s">
        <v>115</v>
      </c>
      <c r="I436" t="s">
        <v>271</v>
      </c>
      <c r="J436" s="13">
        <v>0.4375</v>
      </c>
      <c r="K436" s="13">
        <v>0.44513888888888886</v>
      </c>
      <c r="L436" s="13">
        <v>0.4375</v>
      </c>
      <c r="M436">
        <v>30</v>
      </c>
      <c r="N436" s="14">
        <v>95</v>
      </c>
      <c r="O436" t="s">
        <v>195</v>
      </c>
      <c r="P436">
        <v>5</v>
      </c>
      <c r="Q436" t="s">
        <v>318</v>
      </c>
      <c r="R436" t="s">
        <v>1273</v>
      </c>
      <c r="S436">
        <v>0</v>
      </c>
      <c r="T436">
        <v>0</v>
      </c>
      <c r="U436" t="s">
        <v>2299</v>
      </c>
      <c r="V436" t="s">
        <v>2295</v>
      </c>
      <c r="W436" t="s">
        <v>2300</v>
      </c>
      <c r="X436" t="s">
        <v>2288</v>
      </c>
      <c r="Y436" t="s">
        <v>2301</v>
      </c>
      <c r="Z436" t="s">
        <v>2312</v>
      </c>
      <c r="AA436">
        <v>21</v>
      </c>
      <c r="AB436" s="14">
        <v>95</v>
      </c>
      <c r="AC436" t="s">
        <v>2313</v>
      </c>
      <c r="AD436" t="s">
        <v>2314</v>
      </c>
      <c r="AE436" t="s">
        <v>2643</v>
      </c>
      <c r="AF436">
        <v>38</v>
      </c>
      <c r="AG436">
        <v>0</v>
      </c>
      <c r="AJ436">
        <v>1</v>
      </c>
      <c r="AK436">
        <v>0</v>
      </c>
      <c r="AL436">
        <v>1</v>
      </c>
      <c r="AM436" s="14">
        <v>0</v>
      </c>
      <c r="AN436" t="s">
        <v>2644</v>
      </c>
      <c r="AO436" s="12">
        <v>46082</v>
      </c>
      <c r="AP436">
        <v>2026</v>
      </c>
      <c r="AQ436">
        <v>3</v>
      </c>
      <c r="AR436" t="s">
        <v>2650</v>
      </c>
    </row>
    <row r="437" spans="1:44">
      <c r="A437" t="s">
        <v>1499</v>
      </c>
      <c r="B437" s="12">
        <v>46102</v>
      </c>
      <c r="C437" s="12">
        <v>46098</v>
      </c>
      <c r="D437" t="s">
        <v>1302</v>
      </c>
      <c r="E437" t="s">
        <v>255</v>
      </c>
      <c r="F437" t="s">
        <v>297</v>
      </c>
      <c r="G437" t="s">
        <v>639</v>
      </c>
      <c r="H437" t="s">
        <v>122</v>
      </c>
      <c r="I437" t="s">
        <v>299</v>
      </c>
      <c r="J437" s="13">
        <v>0.35416666666666669</v>
      </c>
      <c r="K437" s="13"/>
      <c r="L437" s="13"/>
      <c r="M437">
        <v>0</v>
      </c>
      <c r="N437" s="14">
        <v>65</v>
      </c>
      <c r="O437" t="s">
        <v>195</v>
      </c>
      <c r="Q437" t="s">
        <v>305</v>
      </c>
      <c r="R437" t="s">
        <v>1273</v>
      </c>
      <c r="S437">
        <v>0</v>
      </c>
      <c r="T437">
        <v>0</v>
      </c>
      <c r="U437" t="s">
        <v>2299</v>
      </c>
      <c r="V437" t="s">
        <v>2295</v>
      </c>
      <c r="W437" t="s">
        <v>2300</v>
      </c>
      <c r="X437" t="s">
        <v>2288</v>
      </c>
      <c r="Y437" t="s">
        <v>2301</v>
      </c>
      <c r="Z437" t="s">
        <v>2306</v>
      </c>
      <c r="AA437">
        <v>7</v>
      </c>
      <c r="AB437" s="14">
        <v>65</v>
      </c>
      <c r="AC437" t="s">
        <v>2307</v>
      </c>
      <c r="AD437" t="s">
        <v>2308</v>
      </c>
      <c r="AE437" t="s">
        <v>2643</v>
      </c>
      <c r="AF437">
        <v>4</v>
      </c>
      <c r="AG437">
        <v>1</v>
      </c>
      <c r="AJ437">
        <v>1</v>
      </c>
      <c r="AK437">
        <v>1</v>
      </c>
      <c r="AL437">
        <v>1</v>
      </c>
      <c r="AM437" s="14">
        <v>0</v>
      </c>
      <c r="AN437" t="s">
        <v>2644</v>
      </c>
      <c r="AO437" s="12">
        <v>46082</v>
      </c>
      <c r="AP437">
        <v>2026</v>
      </c>
      <c r="AQ437">
        <v>3</v>
      </c>
      <c r="AR437" t="s">
        <v>2650</v>
      </c>
    </row>
    <row r="438" spans="1:44">
      <c r="A438" t="s">
        <v>1501</v>
      </c>
      <c r="B438" s="12">
        <v>46098</v>
      </c>
      <c r="C438" s="12">
        <v>46073</v>
      </c>
      <c r="D438" t="s">
        <v>638</v>
      </c>
      <c r="E438" t="s">
        <v>281</v>
      </c>
      <c r="F438" t="s">
        <v>409</v>
      </c>
      <c r="G438" t="s">
        <v>496</v>
      </c>
      <c r="H438" t="s">
        <v>115</v>
      </c>
      <c r="I438" t="s">
        <v>316</v>
      </c>
      <c r="J438" s="13">
        <v>0.58333333333333337</v>
      </c>
      <c r="K438" s="13">
        <v>0.58750000000000002</v>
      </c>
      <c r="L438" s="13">
        <v>0.5854166666666667</v>
      </c>
      <c r="M438">
        <v>30</v>
      </c>
      <c r="N438" s="14">
        <v>150</v>
      </c>
      <c r="O438" t="s">
        <v>169</v>
      </c>
      <c r="P438">
        <v>4</v>
      </c>
      <c r="Q438" t="s">
        <v>262</v>
      </c>
      <c r="R438" t="s">
        <v>1273</v>
      </c>
      <c r="S438">
        <v>0</v>
      </c>
      <c r="T438">
        <v>0</v>
      </c>
      <c r="U438" t="s">
        <v>2290</v>
      </c>
      <c r="V438" t="s">
        <v>2291</v>
      </c>
      <c r="W438" t="s">
        <v>2292</v>
      </c>
      <c r="X438" t="s">
        <v>2288</v>
      </c>
      <c r="Y438" t="s">
        <v>2293</v>
      </c>
      <c r="Z438" t="s">
        <v>2318</v>
      </c>
      <c r="AA438">
        <v>28</v>
      </c>
      <c r="AB438" s="14">
        <v>150</v>
      </c>
      <c r="AC438" t="s">
        <v>2319</v>
      </c>
      <c r="AD438" t="s">
        <v>2320</v>
      </c>
      <c r="AE438" t="s">
        <v>2643</v>
      </c>
      <c r="AF438">
        <v>25</v>
      </c>
      <c r="AG438">
        <v>1</v>
      </c>
      <c r="AJ438">
        <v>1</v>
      </c>
      <c r="AK438">
        <v>0</v>
      </c>
      <c r="AL438">
        <v>1</v>
      </c>
      <c r="AM438" s="14">
        <v>0</v>
      </c>
      <c r="AN438" t="s">
        <v>2644</v>
      </c>
      <c r="AO438" s="12">
        <v>46082</v>
      </c>
      <c r="AP438">
        <v>2026</v>
      </c>
      <c r="AQ438">
        <v>3</v>
      </c>
      <c r="AR438" t="s">
        <v>2650</v>
      </c>
    </row>
    <row r="439" spans="1:44">
      <c r="A439" t="s">
        <v>1502</v>
      </c>
      <c r="B439" s="12">
        <v>46089</v>
      </c>
      <c r="C439" s="12">
        <v>46044</v>
      </c>
      <c r="D439" t="s">
        <v>1503</v>
      </c>
      <c r="E439" t="s">
        <v>255</v>
      </c>
      <c r="F439" t="s">
        <v>256</v>
      </c>
      <c r="G439" t="s">
        <v>398</v>
      </c>
      <c r="H439" t="s">
        <v>115</v>
      </c>
      <c r="I439" t="s">
        <v>258</v>
      </c>
      <c r="J439" s="13">
        <v>0.64583333333333337</v>
      </c>
      <c r="K439" s="13">
        <v>0.6479166666666667</v>
      </c>
      <c r="L439" s="13">
        <v>0.66805555555555551</v>
      </c>
      <c r="M439">
        <v>30</v>
      </c>
      <c r="N439" s="14">
        <v>95</v>
      </c>
      <c r="O439" t="s">
        <v>195</v>
      </c>
      <c r="P439">
        <v>4</v>
      </c>
      <c r="Q439" t="s">
        <v>262</v>
      </c>
      <c r="R439" t="s">
        <v>1273</v>
      </c>
      <c r="S439">
        <v>0</v>
      </c>
      <c r="T439">
        <v>0</v>
      </c>
      <c r="U439" t="s">
        <v>2299</v>
      </c>
      <c r="V439" t="s">
        <v>2295</v>
      </c>
      <c r="W439" t="s">
        <v>2300</v>
      </c>
      <c r="X439" t="s">
        <v>2288</v>
      </c>
      <c r="Y439" t="s">
        <v>2301</v>
      </c>
      <c r="Z439" t="s">
        <v>2312</v>
      </c>
      <c r="AA439">
        <v>21</v>
      </c>
      <c r="AB439" s="14">
        <v>95</v>
      </c>
      <c r="AC439" t="s">
        <v>2313</v>
      </c>
      <c r="AD439" t="s">
        <v>2314</v>
      </c>
      <c r="AE439" t="s">
        <v>2643</v>
      </c>
      <c r="AF439">
        <v>45</v>
      </c>
      <c r="AG439">
        <v>0</v>
      </c>
      <c r="AH439">
        <v>29</v>
      </c>
      <c r="AI439">
        <v>1</v>
      </c>
      <c r="AJ439">
        <v>1</v>
      </c>
      <c r="AK439">
        <v>0</v>
      </c>
      <c r="AL439">
        <v>1</v>
      </c>
      <c r="AM439" s="14">
        <v>0</v>
      </c>
      <c r="AN439" t="s">
        <v>2644</v>
      </c>
      <c r="AO439" s="12">
        <v>46082</v>
      </c>
      <c r="AP439">
        <v>2026</v>
      </c>
      <c r="AQ439">
        <v>3</v>
      </c>
      <c r="AR439" t="s">
        <v>2650</v>
      </c>
    </row>
    <row r="440" spans="1:44">
      <c r="A440" t="s">
        <v>1504</v>
      </c>
      <c r="B440" s="12">
        <v>46100</v>
      </c>
      <c r="C440" s="12">
        <v>46080</v>
      </c>
      <c r="D440" t="s">
        <v>1505</v>
      </c>
      <c r="E440" t="s">
        <v>339</v>
      </c>
      <c r="F440" t="s">
        <v>282</v>
      </c>
      <c r="G440" t="s">
        <v>461</v>
      </c>
      <c r="H440" t="s">
        <v>115</v>
      </c>
      <c r="I440" t="s">
        <v>258</v>
      </c>
      <c r="J440" s="13">
        <v>0.52083333333333337</v>
      </c>
      <c r="K440" s="13">
        <v>0.52500000000000002</v>
      </c>
      <c r="L440" s="13">
        <v>0.54374999999999996</v>
      </c>
      <c r="M440">
        <v>45</v>
      </c>
      <c r="N440" s="14">
        <v>120</v>
      </c>
      <c r="O440" t="s">
        <v>195</v>
      </c>
      <c r="P440">
        <v>3</v>
      </c>
      <c r="Q440" t="s">
        <v>262</v>
      </c>
      <c r="R440" t="s">
        <v>1273</v>
      </c>
      <c r="S440">
        <v>0</v>
      </c>
      <c r="T440">
        <v>0</v>
      </c>
      <c r="U440" t="s">
        <v>2294</v>
      </c>
      <c r="V440" t="s">
        <v>2295</v>
      </c>
      <c r="W440" t="s">
        <v>2296</v>
      </c>
      <c r="X440" t="s">
        <v>2297</v>
      </c>
      <c r="Y440" t="s">
        <v>2298</v>
      </c>
      <c r="Z440" t="s">
        <v>2309</v>
      </c>
      <c r="AA440">
        <v>14</v>
      </c>
      <c r="AB440" s="14">
        <v>120</v>
      </c>
      <c r="AC440" t="s">
        <v>2310</v>
      </c>
      <c r="AD440" t="s">
        <v>2311</v>
      </c>
      <c r="AE440" t="s">
        <v>2643</v>
      </c>
      <c r="AF440">
        <v>20</v>
      </c>
      <c r="AG440">
        <v>0</v>
      </c>
      <c r="AH440">
        <v>27</v>
      </c>
      <c r="AI440">
        <v>1</v>
      </c>
      <c r="AJ440">
        <v>1</v>
      </c>
      <c r="AK440">
        <v>0</v>
      </c>
      <c r="AL440">
        <v>1</v>
      </c>
      <c r="AM440" s="14">
        <v>0</v>
      </c>
      <c r="AN440" t="s">
        <v>2644</v>
      </c>
      <c r="AO440" s="12">
        <v>46082</v>
      </c>
      <c r="AP440">
        <v>2026</v>
      </c>
      <c r="AQ440">
        <v>3</v>
      </c>
      <c r="AR440" t="s">
        <v>2650</v>
      </c>
    </row>
    <row r="441" spans="1:44">
      <c r="A441" t="s">
        <v>1506</v>
      </c>
      <c r="B441" s="12">
        <v>46097</v>
      </c>
      <c r="C441" s="12">
        <v>46046</v>
      </c>
      <c r="D441" t="s">
        <v>592</v>
      </c>
      <c r="E441" t="s">
        <v>268</v>
      </c>
      <c r="F441" t="s">
        <v>297</v>
      </c>
      <c r="G441" t="s">
        <v>583</v>
      </c>
      <c r="H441" t="s">
        <v>122</v>
      </c>
      <c r="I441" t="s">
        <v>271</v>
      </c>
      <c r="J441" s="13">
        <v>0.5</v>
      </c>
      <c r="K441" s="13"/>
      <c r="L441" s="13"/>
      <c r="M441">
        <v>0</v>
      </c>
      <c r="N441" s="14">
        <v>65</v>
      </c>
      <c r="O441" t="s">
        <v>195</v>
      </c>
      <c r="Q441" t="s">
        <v>285</v>
      </c>
      <c r="R441" t="s">
        <v>1273</v>
      </c>
      <c r="S441">
        <v>0</v>
      </c>
      <c r="T441">
        <v>0</v>
      </c>
      <c r="U441" t="s">
        <v>2285</v>
      </c>
      <c r="V441" t="s">
        <v>2286</v>
      </c>
      <c r="W441" t="s">
        <v>2287</v>
      </c>
      <c r="X441" t="s">
        <v>2288</v>
      </c>
      <c r="Y441" t="s">
        <v>2289</v>
      </c>
      <c r="Z441" t="s">
        <v>2306</v>
      </c>
      <c r="AA441">
        <v>7</v>
      </c>
      <c r="AB441" s="14">
        <v>65</v>
      </c>
      <c r="AC441" t="s">
        <v>2307</v>
      </c>
      <c r="AD441" t="s">
        <v>2308</v>
      </c>
      <c r="AE441" t="s">
        <v>2643</v>
      </c>
      <c r="AF441">
        <v>51</v>
      </c>
      <c r="AG441">
        <v>0</v>
      </c>
      <c r="AJ441">
        <v>1</v>
      </c>
      <c r="AK441">
        <v>1</v>
      </c>
      <c r="AL441">
        <v>1</v>
      </c>
      <c r="AM441" s="14">
        <v>0</v>
      </c>
      <c r="AN441" t="s">
        <v>2644</v>
      </c>
      <c r="AO441" s="12">
        <v>46082</v>
      </c>
      <c r="AP441">
        <v>2026</v>
      </c>
      <c r="AQ441">
        <v>3</v>
      </c>
      <c r="AR441" t="s">
        <v>2650</v>
      </c>
    </row>
    <row r="442" spans="1:44">
      <c r="A442" t="s">
        <v>1507</v>
      </c>
      <c r="B442" s="12">
        <v>46109</v>
      </c>
      <c r="C442" s="12">
        <v>46084</v>
      </c>
      <c r="D442" t="s">
        <v>1508</v>
      </c>
      <c r="E442" t="s">
        <v>268</v>
      </c>
      <c r="F442" t="s">
        <v>409</v>
      </c>
      <c r="G442" t="s">
        <v>552</v>
      </c>
      <c r="H442" t="s">
        <v>127</v>
      </c>
      <c r="I442" t="s">
        <v>271</v>
      </c>
      <c r="J442" s="13">
        <v>0.58333333333333337</v>
      </c>
      <c r="K442" s="13"/>
      <c r="L442" s="13"/>
      <c r="M442">
        <v>0</v>
      </c>
      <c r="N442" s="14">
        <v>150</v>
      </c>
      <c r="O442" t="s">
        <v>195</v>
      </c>
      <c r="Q442" t="s">
        <v>326</v>
      </c>
      <c r="R442" t="s">
        <v>1273</v>
      </c>
      <c r="S442">
        <v>0</v>
      </c>
      <c r="T442">
        <v>0</v>
      </c>
      <c r="U442" t="s">
        <v>2285</v>
      </c>
      <c r="V442" t="s">
        <v>2286</v>
      </c>
      <c r="W442" t="s">
        <v>2287</v>
      </c>
      <c r="X442" t="s">
        <v>2288</v>
      </c>
      <c r="Y442" t="s">
        <v>2289</v>
      </c>
      <c r="Z442" t="s">
        <v>2318</v>
      </c>
      <c r="AA442">
        <v>28</v>
      </c>
      <c r="AB442" s="14">
        <v>150</v>
      </c>
      <c r="AC442" t="s">
        <v>2319</v>
      </c>
      <c r="AD442" t="s">
        <v>2320</v>
      </c>
      <c r="AE442" t="s">
        <v>2643</v>
      </c>
      <c r="AF442">
        <v>25</v>
      </c>
      <c r="AG442">
        <v>1</v>
      </c>
      <c r="AJ442">
        <v>0</v>
      </c>
      <c r="AL442">
        <v>1</v>
      </c>
      <c r="AM442" s="14">
        <v>0</v>
      </c>
      <c r="AN442" t="s">
        <v>2644</v>
      </c>
      <c r="AO442" s="12">
        <v>46082</v>
      </c>
      <c r="AP442">
        <v>2026</v>
      </c>
      <c r="AQ442">
        <v>3</v>
      </c>
      <c r="AR442" t="s">
        <v>2650</v>
      </c>
    </row>
    <row r="443" spans="1:44">
      <c r="A443" t="s">
        <v>1509</v>
      </c>
      <c r="B443" s="12">
        <v>46097</v>
      </c>
      <c r="C443" s="12">
        <v>46082</v>
      </c>
      <c r="D443" t="s">
        <v>577</v>
      </c>
      <c r="E443" t="s">
        <v>268</v>
      </c>
      <c r="F443" t="s">
        <v>282</v>
      </c>
      <c r="G443" t="s">
        <v>505</v>
      </c>
      <c r="H443" t="s">
        <v>466</v>
      </c>
      <c r="I443" t="s">
        <v>271</v>
      </c>
      <c r="J443" s="13">
        <v>0.41666666666666669</v>
      </c>
      <c r="K443" s="13">
        <v>0.41388888888888886</v>
      </c>
      <c r="L443" s="13">
        <v>0.43819444444444444</v>
      </c>
      <c r="M443">
        <v>20</v>
      </c>
      <c r="N443" s="14">
        <v>120</v>
      </c>
      <c r="O443" t="s">
        <v>195</v>
      </c>
      <c r="P443">
        <v>5</v>
      </c>
      <c r="Q443" t="s">
        <v>305</v>
      </c>
      <c r="R443" t="s">
        <v>1273</v>
      </c>
      <c r="S443">
        <v>0</v>
      </c>
      <c r="T443">
        <v>0</v>
      </c>
      <c r="U443" t="s">
        <v>2285</v>
      </c>
      <c r="V443" t="s">
        <v>2286</v>
      </c>
      <c r="W443" t="s">
        <v>2287</v>
      </c>
      <c r="X443" t="s">
        <v>2288</v>
      </c>
      <c r="Y443" t="s">
        <v>2289</v>
      </c>
      <c r="Z443" t="s">
        <v>2309</v>
      </c>
      <c r="AA443">
        <v>14</v>
      </c>
      <c r="AB443" s="14">
        <v>120</v>
      </c>
      <c r="AC443" t="s">
        <v>2310</v>
      </c>
      <c r="AD443" t="s">
        <v>2311</v>
      </c>
      <c r="AE443" t="s">
        <v>2643</v>
      </c>
      <c r="AF443">
        <v>15</v>
      </c>
      <c r="AG443">
        <v>0</v>
      </c>
      <c r="AJ443">
        <v>0</v>
      </c>
      <c r="AL443">
        <v>1</v>
      </c>
      <c r="AM443" s="14">
        <v>0</v>
      </c>
      <c r="AN443" t="s">
        <v>2644</v>
      </c>
      <c r="AO443" s="12">
        <v>46082</v>
      </c>
      <c r="AP443">
        <v>2026</v>
      </c>
      <c r="AQ443">
        <v>3</v>
      </c>
      <c r="AR443" t="s">
        <v>2650</v>
      </c>
    </row>
    <row r="444" spans="1:44">
      <c r="A444" t="s">
        <v>1511</v>
      </c>
      <c r="B444" s="12">
        <v>46083</v>
      </c>
      <c r="C444" s="12">
        <v>46047</v>
      </c>
      <c r="D444" t="s">
        <v>514</v>
      </c>
      <c r="E444" t="s">
        <v>255</v>
      </c>
      <c r="F444" t="s">
        <v>256</v>
      </c>
      <c r="G444" t="s">
        <v>257</v>
      </c>
      <c r="H444" t="s">
        <v>115</v>
      </c>
      <c r="I444" t="s">
        <v>316</v>
      </c>
      <c r="J444" s="13">
        <v>0.33333333333333331</v>
      </c>
      <c r="K444" s="13">
        <v>0.33333333333333331</v>
      </c>
      <c r="L444" s="13">
        <v>0.35833333333333334</v>
      </c>
      <c r="M444">
        <v>30</v>
      </c>
      <c r="N444" s="14">
        <v>95</v>
      </c>
      <c r="O444" t="s">
        <v>169</v>
      </c>
      <c r="P444">
        <v>3</v>
      </c>
      <c r="Q444" t="s">
        <v>262</v>
      </c>
      <c r="R444" t="s">
        <v>1273</v>
      </c>
      <c r="S444">
        <v>0</v>
      </c>
      <c r="T444">
        <v>0</v>
      </c>
      <c r="U444" t="s">
        <v>2299</v>
      </c>
      <c r="V444" t="s">
        <v>2295</v>
      </c>
      <c r="W444" t="s">
        <v>2300</v>
      </c>
      <c r="X444" t="s">
        <v>2288</v>
      </c>
      <c r="Y444" t="s">
        <v>2301</v>
      </c>
      <c r="Z444" t="s">
        <v>2312</v>
      </c>
      <c r="AA444">
        <v>21</v>
      </c>
      <c r="AB444" s="14">
        <v>95</v>
      </c>
      <c r="AC444" t="s">
        <v>2313</v>
      </c>
      <c r="AD444" t="s">
        <v>2314</v>
      </c>
      <c r="AE444" t="s">
        <v>2643</v>
      </c>
      <c r="AF444">
        <v>36</v>
      </c>
      <c r="AG444">
        <v>0</v>
      </c>
      <c r="AH444">
        <v>36</v>
      </c>
      <c r="AI444">
        <v>0</v>
      </c>
      <c r="AJ444">
        <v>1</v>
      </c>
      <c r="AK444">
        <v>0</v>
      </c>
      <c r="AL444">
        <v>1</v>
      </c>
      <c r="AM444" s="14">
        <v>0</v>
      </c>
      <c r="AN444" t="s">
        <v>2644</v>
      </c>
      <c r="AO444" s="12">
        <v>46082</v>
      </c>
      <c r="AP444">
        <v>2026</v>
      </c>
      <c r="AQ444">
        <v>3</v>
      </c>
      <c r="AR444" t="s">
        <v>2650</v>
      </c>
    </row>
    <row r="445" spans="1:44">
      <c r="A445" t="s">
        <v>1512</v>
      </c>
      <c r="B445" s="12">
        <v>46104</v>
      </c>
      <c r="C445" s="12">
        <v>46075</v>
      </c>
      <c r="D445" t="s">
        <v>1494</v>
      </c>
      <c r="E445" t="s">
        <v>255</v>
      </c>
      <c r="F445" t="s">
        <v>409</v>
      </c>
      <c r="G445" t="s">
        <v>410</v>
      </c>
      <c r="H445" t="s">
        <v>115</v>
      </c>
      <c r="I445" t="s">
        <v>316</v>
      </c>
      <c r="J445" s="13">
        <v>0.47916666666666669</v>
      </c>
      <c r="K445" s="13">
        <v>0.4861111111111111</v>
      </c>
      <c r="L445" s="13">
        <v>0.48680555555555555</v>
      </c>
      <c r="M445">
        <v>20</v>
      </c>
      <c r="N445" s="14">
        <v>150</v>
      </c>
      <c r="O445" t="s">
        <v>195</v>
      </c>
      <c r="P445">
        <v>4</v>
      </c>
      <c r="Q445" t="s">
        <v>285</v>
      </c>
      <c r="R445" t="s">
        <v>1273</v>
      </c>
      <c r="S445">
        <v>0</v>
      </c>
      <c r="T445">
        <v>0</v>
      </c>
      <c r="U445" t="s">
        <v>2299</v>
      </c>
      <c r="V445" t="s">
        <v>2295</v>
      </c>
      <c r="W445" t="s">
        <v>2300</v>
      </c>
      <c r="X445" t="s">
        <v>2288</v>
      </c>
      <c r="Y445" t="s">
        <v>2301</v>
      </c>
      <c r="Z445" t="s">
        <v>2318</v>
      </c>
      <c r="AA445">
        <v>28</v>
      </c>
      <c r="AB445" s="14">
        <v>150</v>
      </c>
      <c r="AC445" t="s">
        <v>2319</v>
      </c>
      <c r="AD445" t="s">
        <v>2320</v>
      </c>
      <c r="AE445" t="s">
        <v>2643</v>
      </c>
      <c r="AF445">
        <v>29</v>
      </c>
      <c r="AG445">
        <v>0</v>
      </c>
      <c r="AH445">
        <v>1</v>
      </c>
      <c r="AI445">
        <v>1</v>
      </c>
      <c r="AJ445">
        <v>1</v>
      </c>
      <c r="AK445">
        <v>0</v>
      </c>
      <c r="AL445">
        <v>1</v>
      </c>
      <c r="AM445" s="14">
        <v>0</v>
      </c>
      <c r="AN445" t="s">
        <v>2644</v>
      </c>
      <c r="AO445" s="12">
        <v>46082</v>
      </c>
      <c r="AP445">
        <v>2026</v>
      </c>
      <c r="AQ445">
        <v>3</v>
      </c>
      <c r="AR445" t="s">
        <v>2650</v>
      </c>
    </row>
    <row r="446" spans="1:44">
      <c r="A446" t="s">
        <v>1513</v>
      </c>
      <c r="B446" s="12">
        <v>46083</v>
      </c>
      <c r="C446" s="12">
        <v>46029</v>
      </c>
      <c r="D446" t="s">
        <v>575</v>
      </c>
      <c r="E446" t="s">
        <v>339</v>
      </c>
      <c r="F446" t="s">
        <v>282</v>
      </c>
      <c r="G446" t="s">
        <v>461</v>
      </c>
      <c r="H446" t="s">
        <v>122</v>
      </c>
      <c r="I446" t="s">
        <v>258</v>
      </c>
      <c r="J446" s="13">
        <v>0.4375</v>
      </c>
      <c r="K446" s="13"/>
      <c r="L446" s="13"/>
      <c r="M446">
        <v>0</v>
      </c>
      <c r="N446" s="14">
        <v>120</v>
      </c>
      <c r="O446" t="s">
        <v>195</v>
      </c>
      <c r="Q446" t="s">
        <v>262</v>
      </c>
      <c r="R446" t="s">
        <v>1273</v>
      </c>
      <c r="S446">
        <v>0</v>
      </c>
      <c r="T446">
        <v>0</v>
      </c>
      <c r="U446" t="s">
        <v>2294</v>
      </c>
      <c r="V446" t="s">
        <v>2295</v>
      </c>
      <c r="W446" t="s">
        <v>2296</v>
      </c>
      <c r="X446" t="s">
        <v>2297</v>
      </c>
      <c r="Y446" t="s">
        <v>2298</v>
      </c>
      <c r="Z446" t="s">
        <v>2309</v>
      </c>
      <c r="AA446">
        <v>14</v>
      </c>
      <c r="AB446" s="14">
        <v>120</v>
      </c>
      <c r="AC446" t="s">
        <v>2310</v>
      </c>
      <c r="AD446" t="s">
        <v>2311</v>
      </c>
      <c r="AE446" t="s">
        <v>2643</v>
      </c>
      <c r="AF446">
        <v>54</v>
      </c>
      <c r="AG446">
        <v>0</v>
      </c>
      <c r="AJ446">
        <v>1</v>
      </c>
      <c r="AK446">
        <v>1</v>
      </c>
      <c r="AL446">
        <v>1</v>
      </c>
      <c r="AM446" s="14">
        <v>0</v>
      </c>
      <c r="AN446" t="s">
        <v>2644</v>
      </c>
      <c r="AO446" s="12">
        <v>46082</v>
      </c>
      <c r="AP446">
        <v>2026</v>
      </c>
      <c r="AQ446">
        <v>3</v>
      </c>
      <c r="AR446" t="s">
        <v>2650</v>
      </c>
    </row>
    <row r="447" spans="1:44">
      <c r="A447" t="s">
        <v>1514</v>
      </c>
      <c r="B447" s="12">
        <v>46106</v>
      </c>
      <c r="C447" s="12">
        <v>46060</v>
      </c>
      <c r="D447" t="s">
        <v>577</v>
      </c>
      <c r="E447" t="s">
        <v>268</v>
      </c>
      <c r="F447" t="s">
        <v>269</v>
      </c>
      <c r="G447" t="s">
        <v>435</v>
      </c>
      <c r="H447" t="s">
        <v>127</v>
      </c>
      <c r="I447" t="s">
        <v>299</v>
      </c>
      <c r="J447" s="13">
        <v>0.66666666666666663</v>
      </c>
      <c r="K447" s="13"/>
      <c r="L447" s="13"/>
      <c r="M447">
        <v>0</v>
      </c>
      <c r="N447" s="14">
        <v>80</v>
      </c>
      <c r="O447" t="s">
        <v>195</v>
      </c>
      <c r="Q447" t="s">
        <v>318</v>
      </c>
      <c r="R447" t="s">
        <v>1273</v>
      </c>
      <c r="S447">
        <v>0</v>
      </c>
      <c r="T447">
        <v>0</v>
      </c>
      <c r="U447" t="s">
        <v>2285</v>
      </c>
      <c r="V447" t="s">
        <v>2286</v>
      </c>
      <c r="W447" t="s">
        <v>2287</v>
      </c>
      <c r="X447" t="s">
        <v>2288</v>
      </c>
      <c r="Y447" t="s">
        <v>2289</v>
      </c>
      <c r="Z447" t="s">
        <v>2315</v>
      </c>
      <c r="AA447">
        <v>10</v>
      </c>
      <c r="AB447" s="14">
        <v>80</v>
      </c>
      <c r="AC447" t="s">
        <v>2316</v>
      </c>
      <c r="AD447" t="s">
        <v>2317</v>
      </c>
      <c r="AE447" t="s">
        <v>2643</v>
      </c>
      <c r="AF447">
        <v>46</v>
      </c>
      <c r="AG447">
        <v>0</v>
      </c>
      <c r="AJ447">
        <v>0</v>
      </c>
      <c r="AL447">
        <v>1</v>
      </c>
      <c r="AM447" s="14">
        <v>0</v>
      </c>
      <c r="AN447" t="s">
        <v>2644</v>
      </c>
      <c r="AO447" s="12">
        <v>46082</v>
      </c>
      <c r="AP447">
        <v>2026</v>
      </c>
      <c r="AQ447">
        <v>3</v>
      </c>
      <c r="AR447" t="s">
        <v>2650</v>
      </c>
    </row>
    <row r="448" spans="1:44">
      <c r="A448" t="s">
        <v>1515</v>
      </c>
      <c r="B448" s="12">
        <v>46082</v>
      </c>
      <c r="C448" s="12">
        <v>46070</v>
      </c>
      <c r="D448" t="s">
        <v>414</v>
      </c>
      <c r="E448" t="s">
        <v>268</v>
      </c>
      <c r="F448" t="s">
        <v>256</v>
      </c>
      <c r="G448" t="s">
        <v>886</v>
      </c>
      <c r="H448" t="s">
        <v>115</v>
      </c>
      <c r="I448" t="s">
        <v>299</v>
      </c>
      <c r="J448" s="13">
        <v>0.52083333333333337</v>
      </c>
      <c r="K448" s="13">
        <v>0.52500000000000002</v>
      </c>
      <c r="L448" s="13">
        <v>0.53125</v>
      </c>
      <c r="M448">
        <v>20</v>
      </c>
      <c r="N448" s="14">
        <v>95</v>
      </c>
      <c r="O448" t="s">
        <v>169</v>
      </c>
      <c r="P448">
        <v>4</v>
      </c>
      <c r="Q448" t="s">
        <v>285</v>
      </c>
      <c r="R448" t="s">
        <v>1273</v>
      </c>
      <c r="S448">
        <v>0</v>
      </c>
      <c r="T448">
        <v>0</v>
      </c>
      <c r="U448" t="s">
        <v>2285</v>
      </c>
      <c r="V448" t="s">
        <v>2286</v>
      </c>
      <c r="W448" t="s">
        <v>2287</v>
      </c>
      <c r="X448" t="s">
        <v>2288</v>
      </c>
      <c r="Y448" t="s">
        <v>2289</v>
      </c>
      <c r="Z448" t="s">
        <v>2312</v>
      </c>
      <c r="AA448">
        <v>21</v>
      </c>
      <c r="AB448" s="14">
        <v>95</v>
      </c>
      <c r="AC448" t="s">
        <v>2313</v>
      </c>
      <c r="AD448" t="s">
        <v>2314</v>
      </c>
      <c r="AE448" t="s">
        <v>2643</v>
      </c>
      <c r="AF448">
        <v>12</v>
      </c>
      <c r="AG448">
        <v>1</v>
      </c>
      <c r="AH448">
        <v>9</v>
      </c>
      <c r="AI448">
        <v>1</v>
      </c>
      <c r="AJ448">
        <v>1</v>
      </c>
      <c r="AK448">
        <v>0</v>
      </c>
      <c r="AL448">
        <v>1</v>
      </c>
      <c r="AM448" s="14">
        <v>0</v>
      </c>
      <c r="AN448" t="s">
        <v>2644</v>
      </c>
      <c r="AO448" s="12">
        <v>46082</v>
      </c>
      <c r="AP448">
        <v>2026</v>
      </c>
      <c r="AQ448">
        <v>3</v>
      </c>
      <c r="AR448" t="s">
        <v>2650</v>
      </c>
    </row>
    <row r="449" spans="1:44">
      <c r="A449" t="s">
        <v>1516</v>
      </c>
      <c r="B449" s="12">
        <v>46091</v>
      </c>
      <c r="C449" s="12">
        <v>46062</v>
      </c>
      <c r="D449" t="s">
        <v>1162</v>
      </c>
      <c r="E449" t="s">
        <v>281</v>
      </c>
      <c r="F449" t="s">
        <v>282</v>
      </c>
      <c r="G449" t="s">
        <v>283</v>
      </c>
      <c r="H449" t="s">
        <v>122</v>
      </c>
      <c r="I449" t="s">
        <v>271</v>
      </c>
      <c r="J449" s="13">
        <v>0.4375</v>
      </c>
      <c r="K449" s="13"/>
      <c r="L449" s="13"/>
      <c r="M449">
        <v>0</v>
      </c>
      <c r="N449" s="14">
        <v>120</v>
      </c>
      <c r="O449" t="s">
        <v>195</v>
      </c>
      <c r="Q449" t="s">
        <v>262</v>
      </c>
      <c r="R449" t="s">
        <v>1273</v>
      </c>
      <c r="S449">
        <v>0</v>
      </c>
      <c r="T449">
        <v>0</v>
      </c>
      <c r="U449" t="s">
        <v>2290</v>
      </c>
      <c r="V449" t="s">
        <v>2291</v>
      </c>
      <c r="W449" t="s">
        <v>2292</v>
      </c>
      <c r="X449" t="s">
        <v>2288</v>
      </c>
      <c r="Y449" t="s">
        <v>2293</v>
      </c>
      <c r="Z449" t="s">
        <v>2309</v>
      </c>
      <c r="AA449">
        <v>14</v>
      </c>
      <c r="AB449" s="14">
        <v>120</v>
      </c>
      <c r="AC449" t="s">
        <v>2310</v>
      </c>
      <c r="AD449" t="s">
        <v>2311</v>
      </c>
      <c r="AE449" t="s">
        <v>2643</v>
      </c>
      <c r="AF449">
        <v>29</v>
      </c>
      <c r="AG449">
        <v>0</v>
      </c>
      <c r="AJ449">
        <v>1</v>
      </c>
      <c r="AK449">
        <v>1</v>
      </c>
      <c r="AL449">
        <v>1</v>
      </c>
      <c r="AM449" s="14">
        <v>0</v>
      </c>
      <c r="AN449" t="s">
        <v>2644</v>
      </c>
      <c r="AO449" s="12">
        <v>46082</v>
      </c>
      <c r="AP449">
        <v>2026</v>
      </c>
      <c r="AQ449">
        <v>3</v>
      </c>
      <c r="AR449" t="s">
        <v>2650</v>
      </c>
    </row>
    <row r="450" spans="1:44">
      <c r="A450" t="s">
        <v>1517</v>
      </c>
      <c r="B450" s="12">
        <v>46088</v>
      </c>
      <c r="C450" s="12">
        <v>46071</v>
      </c>
      <c r="D450" t="s">
        <v>813</v>
      </c>
      <c r="E450" t="s">
        <v>339</v>
      </c>
      <c r="F450" t="s">
        <v>297</v>
      </c>
      <c r="G450" t="s">
        <v>569</v>
      </c>
      <c r="H450" t="s">
        <v>115</v>
      </c>
      <c r="I450" t="s">
        <v>271</v>
      </c>
      <c r="J450" s="13">
        <v>0.60416666666666663</v>
      </c>
      <c r="K450" s="13">
        <v>0.60347222222222219</v>
      </c>
      <c r="L450" s="13">
        <v>0.61597222222222225</v>
      </c>
      <c r="M450">
        <v>30</v>
      </c>
      <c r="N450" s="14">
        <v>65</v>
      </c>
      <c r="O450" t="s">
        <v>169</v>
      </c>
      <c r="P450">
        <v>5</v>
      </c>
      <c r="Q450" t="s">
        <v>305</v>
      </c>
      <c r="R450" t="s">
        <v>1273</v>
      </c>
      <c r="S450">
        <v>0</v>
      </c>
      <c r="T450">
        <v>0</v>
      </c>
      <c r="U450" t="s">
        <v>2294</v>
      </c>
      <c r="V450" t="s">
        <v>2295</v>
      </c>
      <c r="W450" t="s">
        <v>2296</v>
      </c>
      <c r="X450" t="s">
        <v>2297</v>
      </c>
      <c r="Y450" t="s">
        <v>2298</v>
      </c>
      <c r="Z450" t="s">
        <v>2306</v>
      </c>
      <c r="AA450">
        <v>7</v>
      </c>
      <c r="AB450" s="14">
        <v>65</v>
      </c>
      <c r="AC450" t="s">
        <v>2307</v>
      </c>
      <c r="AD450" t="s">
        <v>2308</v>
      </c>
      <c r="AE450" t="s">
        <v>2643</v>
      </c>
      <c r="AF450">
        <v>17</v>
      </c>
      <c r="AG450">
        <v>0</v>
      </c>
      <c r="AH450">
        <v>18</v>
      </c>
      <c r="AI450">
        <v>1</v>
      </c>
      <c r="AJ450">
        <v>1</v>
      </c>
      <c r="AK450">
        <v>0</v>
      </c>
      <c r="AL450">
        <v>1</v>
      </c>
      <c r="AM450" s="14">
        <v>0</v>
      </c>
      <c r="AN450" t="s">
        <v>2644</v>
      </c>
      <c r="AO450" s="12">
        <v>46082</v>
      </c>
      <c r="AP450">
        <v>2026</v>
      </c>
      <c r="AQ450">
        <v>3</v>
      </c>
      <c r="AR450" t="s">
        <v>2650</v>
      </c>
    </row>
    <row r="451" spans="1:44">
      <c r="A451" t="s">
        <v>1519</v>
      </c>
      <c r="B451" s="12">
        <v>46084</v>
      </c>
      <c r="C451" s="12">
        <v>46070</v>
      </c>
      <c r="D451" t="s">
        <v>480</v>
      </c>
      <c r="E451" t="s">
        <v>339</v>
      </c>
      <c r="F451" t="s">
        <v>269</v>
      </c>
      <c r="G451" t="s">
        <v>340</v>
      </c>
      <c r="H451" t="s">
        <v>115</v>
      </c>
      <c r="I451" t="s">
        <v>258</v>
      </c>
      <c r="J451" s="13">
        <v>0.60416666666666663</v>
      </c>
      <c r="K451" s="13">
        <v>0.60069444444444442</v>
      </c>
      <c r="L451" s="13">
        <v>0.62777777777777777</v>
      </c>
      <c r="M451">
        <v>45</v>
      </c>
      <c r="N451" s="14">
        <v>80</v>
      </c>
      <c r="O451" t="s">
        <v>195</v>
      </c>
      <c r="P451">
        <v>3</v>
      </c>
      <c r="Q451" t="s">
        <v>305</v>
      </c>
      <c r="R451" t="s">
        <v>1273</v>
      </c>
      <c r="S451">
        <v>0</v>
      </c>
      <c r="T451">
        <v>0</v>
      </c>
      <c r="U451" t="s">
        <v>2294</v>
      </c>
      <c r="V451" t="s">
        <v>2295</v>
      </c>
      <c r="W451" t="s">
        <v>2296</v>
      </c>
      <c r="X451" t="s">
        <v>2297</v>
      </c>
      <c r="Y451" t="s">
        <v>2298</v>
      </c>
      <c r="Z451" t="s">
        <v>2315</v>
      </c>
      <c r="AA451">
        <v>10</v>
      </c>
      <c r="AB451" s="14">
        <v>80</v>
      </c>
      <c r="AC451" t="s">
        <v>2316</v>
      </c>
      <c r="AD451" t="s">
        <v>2317</v>
      </c>
      <c r="AE451" t="s">
        <v>2643</v>
      </c>
      <c r="AF451">
        <v>14</v>
      </c>
      <c r="AG451">
        <v>0</v>
      </c>
      <c r="AH451">
        <v>39</v>
      </c>
      <c r="AI451">
        <v>0</v>
      </c>
      <c r="AJ451">
        <v>1</v>
      </c>
      <c r="AK451">
        <v>0</v>
      </c>
      <c r="AL451">
        <v>1</v>
      </c>
      <c r="AM451" s="14">
        <v>0</v>
      </c>
      <c r="AN451" t="s">
        <v>2644</v>
      </c>
      <c r="AO451" s="12">
        <v>46082</v>
      </c>
      <c r="AP451">
        <v>2026</v>
      </c>
      <c r="AQ451">
        <v>3</v>
      </c>
      <c r="AR451" t="s">
        <v>2650</v>
      </c>
    </row>
    <row r="452" spans="1:44">
      <c r="A452" t="s">
        <v>1520</v>
      </c>
      <c r="B452" s="12">
        <v>46089</v>
      </c>
      <c r="C452" s="12">
        <v>46084</v>
      </c>
      <c r="D452" t="s">
        <v>895</v>
      </c>
      <c r="E452" t="s">
        <v>339</v>
      </c>
      <c r="F452" t="s">
        <v>282</v>
      </c>
      <c r="G452" t="s">
        <v>461</v>
      </c>
      <c r="H452" t="s">
        <v>115</v>
      </c>
      <c r="I452" t="s">
        <v>271</v>
      </c>
      <c r="J452" s="13">
        <v>0.52083333333333337</v>
      </c>
      <c r="K452" s="13">
        <v>0.52986111111111112</v>
      </c>
      <c r="L452" s="13">
        <v>0.52986111111111112</v>
      </c>
      <c r="M452">
        <v>30</v>
      </c>
      <c r="N452" s="14">
        <v>120</v>
      </c>
      <c r="O452" t="s">
        <v>195</v>
      </c>
      <c r="P452">
        <v>5</v>
      </c>
      <c r="Q452" t="s">
        <v>326</v>
      </c>
      <c r="R452" t="s">
        <v>1273</v>
      </c>
      <c r="S452">
        <v>0</v>
      </c>
      <c r="T452">
        <v>0</v>
      </c>
      <c r="U452" t="s">
        <v>2294</v>
      </c>
      <c r="V452" t="s">
        <v>2295</v>
      </c>
      <c r="W452" t="s">
        <v>2296</v>
      </c>
      <c r="X452" t="s">
        <v>2297</v>
      </c>
      <c r="Y452" t="s">
        <v>2298</v>
      </c>
      <c r="Z452" t="s">
        <v>2309</v>
      </c>
      <c r="AA452">
        <v>14</v>
      </c>
      <c r="AB452" s="14">
        <v>120</v>
      </c>
      <c r="AC452" t="s">
        <v>2310</v>
      </c>
      <c r="AD452" t="s">
        <v>2311</v>
      </c>
      <c r="AE452" t="s">
        <v>2643</v>
      </c>
      <c r="AF452">
        <v>5</v>
      </c>
      <c r="AG452">
        <v>1</v>
      </c>
      <c r="AH452">
        <v>0</v>
      </c>
      <c r="AI452">
        <v>1</v>
      </c>
      <c r="AJ452">
        <v>1</v>
      </c>
      <c r="AK452">
        <v>0</v>
      </c>
      <c r="AL452">
        <v>1</v>
      </c>
      <c r="AM452" s="14">
        <v>0</v>
      </c>
      <c r="AN452" t="s">
        <v>2644</v>
      </c>
      <c r="AO452" s="12">
        <v>46082</v>
      </c>
      <c r="AP452">
        <v>2026</v>
      </c>
      <c r="AQ452">
        <v>3</v>
      </c>
      <c r="AR452" t="s">
        <v>2650</v>
      </c>
    </row>
    <row r="453" spans="1:44">
      <c r="A453" t="s">
        <v>1521</v>
      </c>
      <c r="B453" s="12">
        <v>46092</v>
      </c>
      <c r="C453" s="12">
        <v>46070</v>
      </c>
      <c r="D453" t="s">
        <v>823</v>
      </c>
      <c r="E453" t="s">
        <v>339</v>
      </c>
      <c r="F453" t="s">
        <v>256</v>
      </c>
      <c r="G453" t="s">
        <v>345</v>
      </c>
      <c r="H453" t="s">
        <v>115</v>
      </c>
      <c r="I453" t="s">
        <v>299</v>
      </c>
      <c r="J453" s="13">
        <v>0.625</v>
      </c>
      <c r="K453" s="13">
        <v>0.62152777777777779</v>
      </c>
      <c r="L453" s="13">
        <v>0.64375000000000004</v>
      </c>
      <c r="M453">
        <v>45</v>
      </c>
      <c r="N453" s="14">
        <v>95</v>
      </c>
      <c r="O453" t="s">
        <v>169</v>
      </c>
      <c r="P453">
        <v>5</v>
      </c>
      <c r="Q453" t="s">
        <v>318</v>
      </c>
      <c r="R453" t="s">
        <v>1273</v>
      </c>
      <c r="S453">
        <v>0</v>
      </c>
      <c r="T453">
        <v>0</v>
      </c>
      <c r="U453" t="s">
        <v>2294</v>
      </c>
      <c r="V453" t="s">
        <v>2295</v>
      </c>
      <c r="W453" t="s">
        <v>2296</v>
      </c>
      <c r="X453" t="s">
        <v>2297</v>
      </c>
      <c r="Y453" t="s">
        <v>2298</v>
      </c>
      <c r="Z453" t="s">
        <v>2312</v>
      </c>
      <c r="AA453">
        <v>21</v>
      </c>
      <c r="AB453" s="14">
        <v>95</v>
      </c>
      <c r="AC453" t="s">
        <v>2313</v>
      </c>
      <c r="AD453" t="s">
        <v>2314</v>
      </c>
      <c r="AE453" t="s">
        <v>2643</v>
      </c>
      <c r="AF453">
        <v>22</v>
      </c>
      <c r="AG453">
        <v>0</v>
      </c>
      <c r="AH453">
        <v>32</v>
      </c>
      <c r="AI453">
        <v>0</v>
      </c>
      <c r="AJ453">
        <v>1</v>
      </c>
      <c r="AK453">
        <v>0</v>
      </c>
      <c r="AL453">
        <v>1</v>
      </c>
      <c r="AM453" s="14">
        <v>0</v>
      </c>
      <c r="AN453" t="s">
        <v>2644</v>
      </c>
      <c r="AO453" s="12">
        <v>46082</v>
      </c>
      <c r="AP453">
        <v>2026</v>
      </c>
      <c r="AQ453">
        <v>3</v>
      </c>
      <c r="AR453" t="s">
        <v>2650</v>
      </c>
    </row>
    <row r="454" spans="1:44">
      <c r="A454" t="s">
        <v>1523</v>
      </c>
      <c r="B454" s="12">
        <v>46094</v>
      </c>
      <c r="C454" s="12">
        <v>46093</v>
      </c>
      <c r="D454" t="s">
        <v>1083</v>
      </c>
      <c r="E454" t="s">
        <v>255</v>
      </c>
      <c r="F454" t="s">
        <v>269</v>
      </c>
      <c r="G454" t="s">
        <v>391</v>
      </c>
      <c r="H454" t="s">
        <v>115</v>
      </c>
      <c r="I454" t="s">
        <v>258</v>
      </c>
      <c r="J454" s="13">
        <v>0.33333333333333331</v>
      </c>
      <c r="K454" s="13">
        <v>0.3263888888888889</v>
      </c>
      <c r="L454" s="13">
        <v>0.36041666666666666</v>
      </c>
      <c r="M454">
        <v>45</v>
      </c>
      <c r="N454" s="14">
        <v>80</v>
      </c>
      <c r="O454" t="s">
        <v>195</v>
      </c>
      <c r="P454">
        <v>5</v>
      </c>
      <c r="Q454" t="s">
        <v>318</v>
      </c>
      <c r="R454" t="s">
        <v>1273</v>
      </c>
      <c r="S454">
        <v>0</v>
      </c>
      <c r="T454">
        <v>0</v>
      </c>
      <c r="U454" t="s">
        <v>2299</v>
      </c>
      <c r="V454" t="s">
        <v>2295</v>
      </c>
      <c r="W454" t="s">
        <v>2300</v>
      </c>
      <c r="X454" t="s">
        <v>2288</v>
      </c>
      <c r="Y454" t="s">
        <v>2301</v>
      </c>
      <c r="Z454" t="s">
        <v>2315</v>
      </c>
      <c r="AA454">
        <v>10</v>
      </c>
      <c r="AB454" s="14">
        <v>80</v>
      </c>
      <c r="AC454" t="s">
        <v>2316</v>
      </c>
      <c r="AD454" t="s">
        <v>2317</v>
      </c>
      <c r="AE454" t="s">
        <v>2643</v>
      </c>
      <c r="AF454">
        <v>1</v>
      </c>
      <c r="AG454">
        <v>1</v>
      </c>
      <c r="AH454">
        <v>49</v>
      </c>
      <c r="AI454">
        <v>0</v>
      </c>
      <c r="AJ454">
        <v>1</v>
      </c>
      <c r="AK454">
        <v>0</v>
      </c>
      <c r="AL454">
        <v>1</v>
      </c>
      <c r="AM454" s="14">
        <v>0</v>
      </c>
      <c r="AN454" t="s">
        <v>2644</v>
      </c>
      <c r="AO454" s="12">
        <v>46082</v>
      </c>
      <c r="AP454">
        <v>2026</v>
      </c>
      <c r="AQ454">
        <v>3</v>
      </c>
      <c r="AR454" t="s">
        <v>2650</v>
      </c>
    </row>
    <row r="455" spans="1:44">
      <c r="A455" t="s">
        <v>1524</v>
      </c>
      <c r="B455" s="12">
        <v>46088</v>
      </c>
      <c r="C455" s="12">
        <v>46045</v>
      </c>
      <c r="D455" t="s">
        <v>1525</v>
      </c>
      <c r="E455" t="s">
        <v>281</v>
      </c>
      <c r="F455" t="s">
        <v>409</v>
      </c>
      <c r="G455" t="s">
        <v>496</v>
      </c>
      <c r="H455" t="s">
        <v>115</v>
      </c>
      <c r="I455" t="s">
        <v>271</v>
      </c>
      <c r="J455" s="13">
        <v>0.45833333333333331</v>
      </c>
      <c r="K455" s="13">
        <v>0.45416666666666666</v>
      </c>
      <c r="L455" s="13">
        <v>0.47291666666666665</v>
      </c>
      <c r="M455">
        <v>30</v>
      </c>
      <c r="N455" s="14">
        <v>150</v>
      </c>
      <c r="O455" t="s">
        <v>195</v>
      </c>
      <c r="P455">
        <v>3</v>
      </c>
      <c r="Q455" t="s">
        <v>326</v>
      </c>
      <c r="R455" t="s">
        <v>1273</v>
      </c>
      <c r="S455">
        <v>0</v>
      </c>
      <c r="T455">
        <v>0</v>
      </c>
      <c r="U455" t="s">
        <v>2290</v>
      </c>
      <c r="V455" t="s">
        <v>2291</v>
      </c>
      <c r="W455" t="s">
        <v>2292</v>
      </c>
      <c r="X455" t="s">
        <v>2288</v>
      </c>
      <c r="Y455" t="s">
        <v>2293</v>
      </c>
      <c r="Z455" t="s">
        <v>2318</v>
      </c>
      <c r="AA455">
        <v>28</v>
      </c>
      <c r="AB455" s="14">
        <v>150</v>
      </c>
      <c r="AC455" t="s">
        <v>2319</v>
      </c>
      <c r="AD455" t="s">
        <v>2320</v>
      </c>
      <c r="AE455" t="s">
        <v>2643</v>
      </c>
      <c r="AF455">
        <v>43</v>
      </c>
      <c r="AG455">
        <v>0</v>
      </c>
      <c r="AH455">
        <v>27</v>
      </c>
      <c r="AI455">
        <v>1</v>
      </c>
      <c r="AJ455">
        <v>1</v>
      </c>
      <c r="AK455">
        <v>0</v>
      </c>
      <c r="AL455">
        <v>1</v>
      </c>
      <c r="AM455" s="14">
        <v>0</v>
      </c>
      <c r="AN455" t="s">
        <v>2644</v>
      </c>
      <c r="AO455" s="12">
        <v>46082</v>
      </c>
      <c r="AP455">
        <v>2026</v>
      </c>
      <c r="AQ455">
        <v>3</v>
      </c>
      <c r="AR455" t="s">
        <v>2650</v>
      </c>
    </row>
    <row r="456" spans="1:44">
      <c r="A456" t="s">
        <v>1528</v>
      </c>
      <c r="B456" s="12">
        <v>46106</v>
      </c>
      <c r="C456" s="12">
        <v>46056</v>
      </c>
      <c r="D456" t="s">
        <v>1157</v>
      </c>
      <c r="E456" t="s">
        <v>339</v>
      </c>
      <c r="F456" t="s">
        <v>282</v>
      </c>
      <c r="G456" t="s">
        <v>461</v>
      </c>
      <c r="H456" t="s">
        <v>127</v>
      </c>
      <c r="I456" t="s">
        <v>316</v>
      </c>
      <c r="J456" s="13">
        <v>0.47916666666666669</v>
      </c>
      <c r="K456" s="13"/>
      <c r="L456" s="13"/>
      <c r="N456" s="14">
        <v>120</v>
      </c>
      <c r="O456" t="s">
        <v>169</v>
      </c>
      <c r="Q456" t="s">
        <v>318</v>
      </c>
      <c r="R456" t="s">
        <v>1273</v>
      </c>
      <c r="S456">
        <v>0</v>
      </c>
      <c r="T456">
        <v>0</v>
      </c>
      <c r="U456" t="s">
        <v>2294</v>
      </c>
      <c r="V456" t="s">
        <v>2295</v>
      </c>
      <c r="W456" t="s">
        <v>2296</v>
      </c>
      <c r="X456" t="s">
        <v>2297</v>
      </c>
      <c r="Y456" t="s">
        <v>2298</v>
      </c>
      <c r="Z456" t="s">
        <v>2309</v>
      </c>
      <c r="AA456">
        <v>14</v>
      </c>
      <c r="AB456" s="14">
        <v>120</v>
      </c>
      <c r="AC456" t="s">
        <v>2310</v>
      </c>
      <c r="AD456" t="s">
        <v>2311</v>
      </c>
      <c r="AE456" t="s">
        <v>2643</v>
      </c>
      <c r="AF456">
        <v>50</v>
      </c>
      <c r="AG456">
        <v>0</v>
      </c>
      <c r="AJ456">
        <v>0</v>
      </c>
      <c r="AL456">
        <v>1</v>
      </c>
      <c r="AM456" s="14">
        <v>0</v>
      </c>
      <c r="AN456" t="s">
        <v>2644</v>
      </c>
      <c r="AO456" s="12">
        <v>46082</v>
      </c>
      <c r="AP456">
        <v>2026</v>
      </c>
      <c r="AQ456">
        <v>3</v>
      </c>
      <c r="AR456" t="s">
        <v>2650</v>
      </c>
    </row>
    <row r="457" spans="1:44">
      <c r="A457" t="s">
        <v>1529</v>
      </c>
      <c r="B457" s="12">
        <v>46082</v>
      </c>
      <c r="C457" s="12">
        <v>46049</v>
      </c>
      <c r="D457" t="s">
        <v>820</v>
      </c>
      <c r="E457" t="s">
        <v>281</v>
      </c>
      <c r="F457" t="s">
        <v>256</v>
      </c>
      <c r="G457" t="s">
        <v>796</v>
      </c>
      <c r="H457" t="s">
        <v>115</v>
      </c>
      <c r="I457" t="s">
        <v>316</v>
      </c>
      <c r="J457" s="13">
        <v>0.52083333333333337</v>
      </c>
      <c r="K457" s="13">
        <v>0.52708333333333335</v>
      </c>
      <c r="L457" s="13">
        <v>0.53888888888888886</v>
      </c>
      <c r="M457">
        <v>30</v>
      </c>
      <c r="N457" s="14">
        <v>95</v>
      </c>
      <c r="O457" t="s">
        <v>195</v>
      </c>
      <c r="P457">
        <v>2</v>
      </c>
      <c r="Q457" t="s">
        <v>326</v>
      </c>
      <c r="R457" t="s">
        <v>1273</v>
      </c>
      <c r="S457">
        <v>0</v>
      </c>
      <c r="T457">
        <v>0</v>
      </c>
      <c r="U457" t="s">
        <v>2290</v>
      </c>
      <c r="V457" t="s">
        <v>2291</v>
      </c>
      <c r="W457" t="s">
        <v>2292</v>
      </c>
      <c r="X457" t="s">
        <v>2288</v>
      </c>
      <c r="Y457" t="s">
        <v>2293</v>
      </c>
      <c r="Z457" t="s">
        <v>2312</v>
      </c>
      <c r="AA457">
        <v>21</v>
      </c>
      <c r="AB457" s="14">
        <v>95</v>
      </c>
      <c r="AC457" t="s">
        <v>2313</v>
      </c>
      <c r="AD457" t="s">
        <v>2314</v>
      </c>
      <c r="AE457" t="s">
        <v>2643</v>
      </c>
      <c r="AF457">
        <v>33</v>
      </c>
      <c r="AG457">
        <v>0</v>
      </c>
      <c r="AH457">
        <v>17</v>
      </c>
      <c r="AI457">
        <v>1</v>
      </c>
      <c r="AJ457">
        <v>1</v>
      </c>
      <c r="AK457">
        <v>0</v>
      </c>
      <c r="AL457">
        <v>1</v>
      </c>
      <c r="AM457" s="14">
        <v>0</v>
      </c>
      <c r="AN457" t="s">
        <v>2644</v>
      </c>
      <c r="AO457" s="12">
        <v>46082</v>
      </c>
      <c r="AP457">
        <v>2026</v>
      </c>
      <c r="AQ457">
        <v>3</v>
      </c>
      <c r="AR457" t="s">
        <v>2650</v>
      </c>
    </row>
    <row r="458" spans="1:44">
      <c r="A458" t="s">
        <v>1533</v>
      </c>
      <c r="B458" s="12">
        <v>46100</v>
      </c>
      <c r="C458" s="12">
        <v>46068</v>
      </c>
      <c r="D458" t="s">
        <v>800</v>
      </c>
      <c r="E458" t="s">
        <v>268</v>
      </c>
      <c r="F458" t="s">
        <v>256</v>
      </c>
      <c r="G458" t="s">
        <v>419</v>
      </c>
      <c r="H458" t="s">
        <v>115</v>
      </c>
      <c r="I458" t="s">
        <v>299</v>
      </c>
      <c r="J458" s="13">
        <v>0.35416666666666669</v>
      </c>
      <c r="K458" s="13">
        <v>0.35625000000000001</v>
      </c>
      <c r="L458" s="13">
        <v>0.36180555555555555</v>
      </c>
      <c r="M458">
        <v>30</v>
      </c>
      <c r="N458" s="14">
        <v>95</v>
      </c>
      <c r="O458" t="s">
        <v>195</v>
      </c>
      <c r="P458">
        <v>3</v>
      </c>
      <c r="Q458" t="s">
        <v>285</v>
      </c>
      <c r="R458" t="s">
        <v>1273</v>
      </c>
      <c r="S458">
        <v>0</v>
      </c>
      <c r="T458">
        <v>0</v>
      </c>
      <c r="U458" t="s">
        <v>2285</v>
      </c>
      <c r="V458" t="s">
        <v>2286</v>
      </c>
      <c r="W458" t="s">
        <v>2287</v>
      </c>
      <c r="X458" t="s">
        <v>2288</v>
      </c>
      <c r="Y458" t="s">
        <v>2289</v>
      </c>
      <c r="Z458" t="s">
        <v>2312</v>
      </c>
      <c r="AA458">
        <v>21</v>
      </c>
      <c r="AB458" s="14">
        <v>95</v>
      </c>
      <c r="AC458" t="s">
        <v>2313</v>
      </c>
      <c r="AD458" t="s">
        <v>2314</v>
      </c>
      <c r="AE458" t="s">
        <v>2643</v>
      </c>
      <c r="AF458">
        <v>32</v>
      </c>
      <c r="AG458">
        <v>0</v>
      </c>
      <c r="AH458">
        <v>8</v>
      </c>
      <c r="AI458">
        <v>1</v>
      </c>
      <c r="AJ458">
        <v>1</v>
      </c>
      <c r="AK458">
        <v>0</v>
      </c>
      <c r="AL458">
        <v>1</v>
      </c>
      <c r="AM458" s="14">
        <v>0</v>
      </c>
      <c r="AN458" t="s">
        <v>2644</v>
      </c>
      <c r="AO458" s="12">
        <v>46082</v>
      </c>
      <c r="AP458">
        <v>2026</v>
      </c>
      <c r="AQ458">
        <v>3</v>
      </c>
      <c r="AR458" t="s">
        <v>2650</v>
      </c>
    </row>
    <row r="459" spans="1:44">
      <c r="A459" t="s">
        <v>1535</v>
      </c>
      <c r="B459" s="12">
        <v>46092</v>
      </c>
      <c r="C459" s="12">
        <v>46051</v>
      </c>
      <c r="D459" t="s">
        <v>769</v>
      </c>
      <c r="E459" t="s">
        <v>255</v>
      </c>
      <c r="F459" t="s">
        <v>409</v>
      </c>
      <c r="G459" t="s">
        <v>410</v>
      </c>
      <c r="H459" t="s">
        <v>127</v>
      </c>
      <c r="I459" t="s">
        <v>271</v>
      </c>
      <c r="J459" s="13">
        <v>0.45833333333333331</v>
      </c>
      <c r="K459" s="13"/>
      <c r="L459" s="13"/>
      <c r="M459">
        <v>0</v>
      </c>
      <c r="N459" s="14">
        <v>150</v>
      </c>
      <c r="O459" t="s">
        <v>195</v>
      </c>
      <c r="Q459" t="s">
        <v>326</v>
      </c>
      <c r="R459" t="s">
        <v>1273</v>
      </c>
      <c r="S459">
        <v>0</v>
      </c>
      <c r="T459">
        <v>0</v>
      </c>
      <c r="U459" t="s">
        <v>2299</v>
      </c>
      <c r="V459" t="s">
        <v>2295</v>
      </c>
      <c r="W459" t="s">
        <v>2300</v>
      </c>
      <c r="X459" t="s">
        <v>2288</v>
      </c>
      <c r="Y459" t="s">
        <v>2301</v>
      </c>
      <c r="Z459" t="s">
        <v>2318</v>
      </c>
      <c r="AA459">
        <v>28</v>
      </c>
      <c r="AB459" s="14">
        <v>150</v>
      </c>
      <c r="AC459" t="s">
        <v>2319</v>
      </c>
      <c r="AD459" t="s">
        <v>2320</v>
      </c>
      <c r="AE459" t="s">
        <v>2643</v>
      </c>
      <c r="AF459">
        <v>41</v>
      </c>
      <c r="AG459">
        <v>0</v>
      </c>
      <c r="AJ459">
        <v>0</v>
      </c>
      <c r="AL459">
        <v>1</v>
      </c>
      <c r="AM459" s="14">
        <v>0</v>
      </c>
      <c r="AN459" t="s">
        <v>2644</v>
      </c>
      <c r="AO459" s="12">
        <v>46082</v>
      </c>
      <c r="AP459">
        <v>2026</v>
      </c>
      <c r="AQ459">
        <v>3</v>
      </c>
      <c r="AR459" t="s">
        <v>2650</v>
      </c>
    </row>
    <row r="460" spans="1:44">
      <c r="A460" t="s">
        <v>1536</v>
      </c>
      <c r="B460" s="12">
        <v>46082</v>
      </c>
      <c r="C460" s="12">
        <v>46044</v>
      </c>
      <c r="D460" t="s">
        <v>1537</v>
      </c>
      <c r="E460" t="s">
        <v>255</v>
      </c>
      <c r="F460" t="s">
        <v>282</v>
      </c>
      <c r="G460" t="s">
        <v>290</v>
      </c>
      <c r="H460" t="s">
        <v>122</v>
      </c>
      <c r="I460" t="s">
        <v>316</v>
      </c>
      <c r="J460" s="13">
        <v>0.64583333333333337</v>
      </c>
      <c r="K460" s="13"/>
      <c r="L460" s="13"/>
      <c r="M460">
        <v>0</v>
      </c>
      <c r="N460" s="14">
        <v>120</v>
      </c>
      <c r="O460" t="s">
        <v>195</v>
      </c>
      <c r="Q460" t="s">
        <v>285</v>
      </c>
      <c r="R460" t="s">
        <v>1273</v>
      </c>
      <c r="S460">
        <v>0</v>
      </c>
      <c r="T460">
        <v>0</v>
      </c>
      <c r="U460" t="s">
        <v>2299</v>
      </c>
      <c r="V460" t="s">
        <v>2295</v>
      </c>
      <c r="W460" t="s">
        <v>2300</v>
      </c>
      <c r="X460" t="s">
        <v>2288</v>
      </c>
      <c r="Y460" t="s">
        <v>2301</v>
      </c>
      <c r="Z460" t="s">
        <v>2309</v>
      </c>
      <c r="AA460">
        <v>14</v>
      </c>
      <c r="AB460" s="14">
        <v>120</v>
      </c>
      <c r="AC460" t="s">
        <v>2310</v>
      </c>
      <c r="AD460" t="s">
        <v>2311</v>
      </c>
      <c r="AE460" t="s">
        <v>2643</v>
      </c>
      <c r="AF460">
        <v>38</v>
      </c>
      <c r="AG460">
        <v>0</v>
      </c>
      <c r="AJ460">
        <v>1</v>
      </c>
      <c r="AK460">
        <v>1</v>
      </c>
      <c r="AL460">
        <v>1</v>
      </c>
      <c r="AM460" s="14">
        <v>0</v>
      </c>
      <c r="AN460" t="s">
        <v>2644</v>
      </c>
      <c r="AO460" s="12">
        <v>46082</v>
      </c>
      <c r="AP460">
        <v>2026</v>
      </c>
      <c r="AQ460">
        <v>3</v>
      </c>
      <c r="AR460" t="s">
        <v>2650</v>
      </c>
    </row>
    <row r="461" spans="1:44">
      <c r="A461" t="s">
        <v>1538</v>
      </c>
      <c r="B461" s="12">
        <v>46092</v>
      </c>
      <c r="C461" s="12">
        <v>46056</v>
      </c>
      <c r="D461" t="s">
        <v>468</v>
      </c>
      <c r="E461" t="s">
        <v>339</v>
      </c>
      <c r="F461" t="s">
        <v>297</v>
      </c>
      <c r="G461" t="s">
        <v>780</v>
      </c>
      <c r="H461" t="s">
        <v>115</v>
      </c>
      <c r="I461" t="s">
        <v>258</v>
      </c>
      <c r="J461" s="13">
        <v>0.375</v>
      </c>
      <c r="K461" s="13">
        <v>0.37083333333333335</v>
      </c>
      <c r="L461" s="13">
        <v>0.38333333333333336</v>
      </c>
      <c r="M461">
        <v>20</v>
      </c>
      <c r="N461" s="14">
        <v>65</v>
      </c>
      <c r="O461" t="s">
        <v>195</v>
      </c>
      <c r="P461">
        <v>4</v>
      </c>
      <c r="Q461" t="s">
        <v>285</v>
      </c>
      <c r="R461" t="s">
        <v>1273</v>
      </c>
      <c r="S461">
        <v>0</v>
      </c>
      <c r="T461">
        <v>0</v>
      </c>
      <c r="U461" t="s">
        <v>2294</v>
      </c>
      <c r="V461" t="s">
        <v>2295</v>
      </c>
      <c r="W461" t="s">
        <v>2296</v>
      </c>
      <c r="X461" t="s">
        <v>2297</v>
      </c>
      <c r="Y461" t="s">
        <v>2298</v>
      </c>
      <c r="Z461" t="s">
        <v>2306</v>
      </c>
      <c r="AA461">
        <v>7</v>
      </c>
      <c r="AB461" s="14">
        <v>65</v>
      </c>
      <c r="AC461" t="s">
        <v>2307</v>
      </c>
      <c r="AD461" t="s">
        <v>2308</v>
      </c>
      <c r="AE461" t="s">
        <v>2643</v>
      </c>
      <c r="AF461">
        <v>36</v>
      </c>
      <c r="AG461">
        <v>0</v>
      </c>
      <c r="AH461">
        <v>18</v>
      </c>
      <c r="AI461">
        <v>1</v>
      </c>
      <c r="AJ461">
        <v>1</v>
      </c>
      <c r="AK461">
        <v>0</v>
      </c>
      <c r="AL461">
        <v>1</v>
      </c>
      <c r="AM461" s="14">
        <v>0</v>
      </c>
      <c r="AN461" t="s">
        <v>2644</v>
      </c>
      <c r="AO461" s="12">
        <v>46082</v>
      </c>
      <c r="AP461">
        <v>2026</v>
      </c>
      <c r="AQ461">
        <v>3</v>
      </c>
      <c r="AR461" t="s">
        <v>2650</v>
      </c>
    </row>
    <row r="462" spans="1:44">
      <c r="A462" t="s">
        <v>1539</v>
      </c>
      <c r="B462" s="12">
        <v>46101</v>
      </c>
      <c r="C462" s="12">
        <v>46051</v>
      </c>
      <c r="D462" t="s">
        <v>970</v>
      </c>
      <c r="E462" t="s">
        <v>339</v>
      </c>
      <c r="F462" t="s">
        <v>297</v>
      </c>
      <c r="G462" t="s">
        <v>780</v>
      </c>
      <c r="H462" t="s">
        <v>115</v>
      </c>
      <c r="I462" t="s">
        <v>299</v>
      </c>
      <c r="J462" s="13">
        <v>0.66666666666666663</v>
      </c>
      <c r="K462" s="13">
        <v>0.66805555555555551</v>
      </c>
      <c r="L462" s="13">
        <v>0.69374999999999998</v>
      </c>
      <c r="M462">
        <v>20</v>
      </c>
      <c r="N462" s="14">
        <v>65</v>
      </c>
      <c r="O462" t="s">
        <v>195</v>
      </c>
      <c r="P462">
        <v>2</v>
      </c>
      <c r="Q462" t="s">
        <v>305</v>
      </c>
      <c r="R462" t="s">
        <v>1273</v>
      </c>
      <c r="S462">
        <v>0</v>
      </c>
      <c r="T462">
        <v>0</v>
      </c>
      <c r="U462" t="s">
        <v>2294</v>
      </c>
      <c r="V462" t="s">
        <v>2295</v>
      </c>
      <c r="W462" t="s">
        <v>2296</v>
      </c>
      <c r="X462" t="s">
        <v>2297</v>
      </c>
      <c r="Y462" t="s">
        <v>2298</v>
      </c>
      <c r="Z462" t="s">
        <v>2306</v>
      </c>
      <c r="AA462">
        <v>7</v>
      </c>
      <c r="AB462" s="14">
        <v>65</v>
      </c>
      <c r="AC462" t="s">
        <v>2307</v>
      </c>
      <c r="AD462" t="s">
        <v>2308</v>
      </c>
      <c r="AE462" t="s">
        <v>2643</v>
      </c>
      <c r="AF462">
        <v>50</v>
      </c>
      <c r="AG462">
        <v>0</v>
      </c>
      <c r="AH462">
        <v>37</v>
      </c>
      <c r="AI462">
        <v>0</v>
      </c>
      <c r="AJ462">
        <v>1</v>
      </c>
      <c r="AK462">
        <v>0</v>
      </c>
      <c r="AL462">
        <v>1</v>
      </c>
      <c r="AM462" s="14">
        <v>0</v>
      </c>
      <c r="AN462" t="s">
        <v>2644</v>
      </c>
      <c r="AO462" s="12">
        <v>46082</v>
      </c>
      <c r="AP462">
        <v>2026</v>
      </c>
      <c r="AQ462">
        <v>3</v>
      </c>
      <c r="AR462" t="s">
        <v>2650</v>
      </c>
    </row>
    <row r="463" spans="1:44">
      <c r="A463" t="s">
        <v>1540</v>
      </c>
      <c r="B463" s="12">
        <v>46104</v>
      </c>
      <c r="C463" s="12">
        <v>46075</v>
      </c>
      <c r="D463" t="s">
        <v>1541</v>
      </c>
      <c r="E463" t="s">
        <v>255</v>
      </c>
      <c r="F463" t="s">
        <v>297</v>
      </c>
      <c r="G463" t="s">
        <v>331</v>
      </c>
      <c r="H463" t="s">
        <v>115</v>
      </c>
      <c r="I463" t="s">
        <v>299</v>
      </c>
      <c r="J463" s="13">
        <v>0.39583333333333331</v>
      </c>
      <c r="K463" s="13">
        <v>0.40416666666666667</v>
      </c>
      <c r="L463" s="13">
        <v>0.42222222222222222</v>
      </c>
      <c r="M463">
        <v>30</v>
      </c>
      <c r="N463" s="14">
        <v>65</v>
      </c>
      <c r="O463" t="s">
        <v>195</v>
      </c>
      <c r="P463">
        <v>2</v>
      </c>
      <c r="Q463" t="s">
        <v>326</v>
      </c>
      <c r="R463" t="s">
        <v>1273</v>
      </c>
      <c r="S463">
        <v>0</v>
      </c>
      <c r="T463">
        <v>0</v>
      </c>
      <c r="U463" t="s">
        <v>2299</v>
      </c>
      <c r="V463" t="s">
        <v>2295</v>
      </c>
      <c r="W463" t="s">
        <v>2300</v>
      </c>
      <c r="X463" t="s">
        <v>2288</v>
      </c>
      <c r="Y463" t="s">
        <v>2301</v>
      </c>
      <c r="Z463" t="s">
        <v>2306</v>
      </c>
      <c r="AA463">
        <v>7</v>
      </c>
      <c r="AB463" s="14">
        <v>65</v>
      </c>
      <c r="AC463" t="s">
        <v>2307</v>
      </c>
      <c r="AD463" t="s">
        <v>2308</v>
      </c>
      <c r="AE463" t="s">
        <v>2643</v>
      </c>
      <c r="AF463">
        <v>29</v>
      </c>
      <c r="AG463">
        <v>0</v>
      </c>
      <c r="AH463">
        <v>26</v>
      </c>
      <c r="AI463">
        <v>1</v>
      </c>
      <c r="AJ463">
        <v>1</v>
      </c>
      <c r="AK463">
        <v>0</v>
      </c>
      <c r="AL463">
        <v>1</v>
      </c>
      <c r="AM463" s="14">
        <v>0</v>
      </c>
      <c r="AN463" t="s">
        <v>2644</v>
      </c>
      <c r="AO463" s="12">
        <v>46082</v>
      </c>
      <c r="AP463">
        <v>2026</v>
      </c>
      <c r="AQ463">
        <v>3</v>
      </c>
      <c r="AR463" t="s">
        <v>2650</v>
      </c>
    </row>
    <row r="464" spans="1:44">
      <c r="A464" t="s">
        <v>1542</v>
      </c>
      <c r="B464" s="12">
        <v>46112</v>
      </c>
      <c r="C464" s="12">
        <v>46111</v>
      </c>
      <c r="D464" t="s">
        <v>694</v>
      </c>
      <c r="E464" t="s">
        <v>339</v>
      </c>
      <c r="F464" t="s">
        <v>409</v>
      </c>
      <c r="G464" t="s">
        <v>476</v>
      </c>
      <c r="H464" t="s">
        <v>115</v>
      </c>
      <c r="I464" t="s">
        <v>271</v>
      </c>
      <c r="J464" s="13">
        <v>0.5625</v>
      </c>
      <c r="K464" s="13">
        <v>0.57222222222222219</v>
      </c>
      <c r="L464" s="13">
        <v>0.56597222222222221</v>
      </c>
      <c r="M464">
        <v>20</v>
      </c>
      <c r="N464" s="14">
        <v>150</v>
      </c>
      <c r="O464" t="s">
        <v>169</v>
      </c>
      <c r="P464">
        <v>4</v>
      </c>
      <c r="Q464" t="s">
        <v>318</v>
      </c>
      <c r="R464" t="s">
        <v>1273</v>
      </c>
      <c r="S464">
        <v>0</v>
      </c>
      <c r="T464">
        <v>0</v>
      </c>
      <c r="U464" t="s">
        <v>2294</v>
      </c>
      <c r="V464" t="s">
        <v>2295</v>
      </c>
      <c r="W464" t="s">
        <v>2296</v>
      </c>
      <c r="X464" t="s">
        <v>2297</v>
      </c>
      <c r="Y464" t="s">
        <v>2298</v>
      </c>
      <c r="Z464" t="s">
        <v>2318</v>
      </c>
      <c r="AA464">
        <v>28</v>
      </c>
      <c r="AB464" s="14">
        <v>150</v>
      </c>
      <c r="AC464" t="s">
        <v>2319</v>
      </c>
      <c r="AD464" t="s">
        <v>2320</v>
      </c>
      <c r="AE464" t="s">
        <v>2643</v>
      </c>
      <c r="AF464">
        <v>1</v>
      </c>
      <c r="AG464">
        <v>1</v>
      </c>
      <c r="AJ464">
        <v>1</v>
      </c>
      <c r="AK464">
        <v>0</v>
      </c>
      <c r="AL464">
        <v>1</v>
      </c>
      <c r="AM464" s="14">
        <v>0</v>
      </c>
      <c r="AN464" t="s">
        <v>2644</v>
      </c>
      <c r="AO464" s="12">
        <v>46082</v>
      </c>
      <c r="AP464">
        <v>2026</v>
      </c>
      <c r="AQ464">
        <v>3</v>
      </c>
      <c r="AR464" t="s">
        <v>2650</v>
      </c>
    </row>
    <row r="465" spans="1:44">
      <c r="A465" t="s">
        <v>1544</v>
      </c>
      <c r="B465" s="12">
        <v>46082</v>
      </c>
      <c r="C465" s="12">
        <v>46048</v>
      </c>
      <c r="D465" t="s">
        <v>673</v>
      </c>
      <c r="E465" t="s">
        <v>255</v>
      </c>
      <c r="F465" t="s">
        <v>282</v>
      </c>
      <c r="G465" t="s">
        <v>290</v>
      </c>
      <c r="H465" t="s">
        <v>115</v>
      </c>
      <c r="I465" t="s">
        <v>316</v>
      </c>
      <c r="J465" s="13">
        <v>0.35416666666666669</v>
      </c>
      <c r="K465" s="13">
        <v>0.36249999999999999</v>
      </c>
      <c r="L465" s="13">
        <v>0.3659722222222222</v>
      </c>
      <c r="M465">
        <v>30</v>
      </c>
      <c r="N465" s="14">
        <v>120</v>
      </c>
      <c r="O465" t="s">
        <v>169</v>
      </c>
      <c r="P465">
        <v>5</v>
      </c>
      <c r="Q465" t="s">
        <v>305</v>
      </c>
      <c r="R465" t="s">
        <v>1273</v>
      </c>
      <c r="S465">
        <v>0</v>
      </c>
      <c r="T465">
        <v>0</v>
      </c>
      <c r="U465" t="s">
        <v>2299</v>
      </c>
      <c r="V465" t="s">
        <v>2295</v>
      </c>
      <c r="W465" t="s">
        <v>2300</v>
      </c>
      <c r="X465" t="s">
        <v>2288</v>
      </c>
      <c r="Y465" t="s">
        <v>2301</v>
      </c>
      <c r="Z465" t="s">
        <v>2309</v>
      </c>
      <c r="AA465">
        <v>14</v>
      </c>
      <c r="AB465" s="14">
        <v>120</v>
      </c>
      <c r="AC465" t="s">
        <v>2310</v>
      </c>
      <c r="AD465" t="s">
        <v>2311</v>
      </c>
      <c r="AE465" t="s">
        <v>2643</v>
      </c>
      <c r="AF465">
        <v>34</v>
      </c>
      <c r="AG465">
        <v>0</v>
      </c>
      <c r="AH465">
        <v>5</v>
      </c>
      <c r="AI465">
        <v>1</v>
      </c>
      <c r="AJ465">
        <v>1</v>
      </c>
      <c r="AK465">
        <v>0</v>
      </c>
      <c r="AL465">
        <v>1</v>
      </c>
      <c r="AM465" s="14">
        <v>0</v>
      </c>
      <c r="AN465" t="s">
        <v>2644</v>
      </c>
      <c r="AO465" s="12">
        <v>46082</v>
      </c>
      <c r="AP465">
        <v>2026</v>
      </c>
      <c r="AQ465">
        <v>3</v>
      </c>
      <c r="AR465" t="s">
        <v>2650</v>
      </c>
    </row>
    <row r="466" spans="1:44">
      <c r="A466" t="s">
        <v>1546</v>
      </c>
      <c r="B466" s="12">
        <v>46108</v>
      </c>
      <c r="C466" s="12">
        <v>46091</v>
      </c>
      <c r="D466" t="s">
        <v>514</v>
      </c>
      <c r="E466" t="s">
        <v>281</v>
      </c>
      <c r="F466" t="s">
        <v>269</v>
      </c>
      <c r="G466" t="s">
        <v>363</v>
      </c>
      <c r="H466" t="s">
        <v>115</v>
      </c>
      <c r="I466" t="s">
        <v>299</v>
      </c>
      <c r="J466" s="13">
        <v>0.33333333333333331</v>
      </c>
      <c r="K466" s="13">
        <v>0.33194444444444443</v>
      </c>
      <c r="L466" s="13">
        <v>0.3576388888888889</v>
      </c>
      <c r="M466">
        <v>45</v>
      </c>
      <c r="N466" s="14">
        <v>80</v>
      </c>
      <c r="O466" t="s">
        <v>169</v>
      </c>
      <c r="P466">
        <v>3</v>
      </c>
      <c r="Q466" t="s">
        <v>285</v>
      </c>
      <c r="R466" t="s">
        <v>1273</v>
      </c>
      <c r="S466">
        <v>0</v>
      </c>
      <c r="T466">
        <v>0</v>
      </c>
      <c r="U466" t="s">
        <v>2290</v>
      </c>
      <c r="V466" t="s">
        <v>2291</v>
      </c>
      <c r="W466" t="s">
        <v>2292</v>
      </c>
      <c r="X466" t="s">
        <v>2288</v>
      </c>
      <c r="Y466" t="s">
        <v>2293</v>
      </c>
      <c r="Z466" t="s">
        <v>2315</v>
      </c>
      <c r="AA466">
        <v>10</v>
      </c>
      <c r="AB466" s="14">
        <v>80</v>
      </c>
      <c r="AC466" t="s">
        <v>2316</v>
      </c>
      <c r="AD466" t="s">
        <v>2317</v>
      </c>
      <c r="AE466" t="s">
        <v>2643</v>
      </c>
      <c r="AF466">
        <v>17</v>
      </c>
      <c r="AG466">
        <v>0</v>
      </c>
      <c r="AH466">
        <v>37</v>
      </c>
      <c r="AI466">
        <v>0</v>
      </c>
      <c r="AJ466">
        <v>1</v>
      </c>
      <c r="AK466">
        <v>0</v>
      </c>
      <c r="AL466">
        <v>1</v>
      </c>
      <c r="AM466" s="14">
        <v>0</v>
      </c>
      <c r="AN466" t="s">
        <v>2644</v>
      </c>
      <c r="AO466" s="12">
        <v>46082</v>
      </c>
      <c r="AP466">
        <v>2026</v>
      </c>
      <c r="AQ466">
        <v>3</v>
      </c>
      <c r="AR466" t="s">
        <v>2650</v>
      </c>
    </row>
    <row r="467" spans="1:44">
      <c r="A467" t="s">
        <v>1547</v>
      </c>
      <c r="B467" s="12">
        <v>46084</v>
      </c>
      <c r="C467" s="12">
        <v>46071</v>
      </c>
      <c r="D467" t="s">
        <v>1179</v>
      </c>
      <c r="E467" t="s">
        <v>255</v>
      </c>
      <c r="F467" t="s">
        <v>409</v>
      </c>
      <c r="G467" t="s">
        <v>648</v>
      </c>
      <c r="H467" t="s">
        <v>115</v>
      </c>
      <c r="I467" t="s">
        <v>271</v>
      </c>
      <c r="J467" s="13">
        <v>0.47916666666666669</v>
      </c>
      <c r="K467" s="13">
        <v>0.48541666666666666</v>
      </c>
      <c r="L467" s="13">
        <v>0.49861111111111112</v>
      </c>
      <c r="M467">
        <v>30</v>
      </c>
      <c r="O467" t="s">
        <v>195</v>
      </c>
      <c r="P467">
        <v>4</v>
      </c>
      <c r="Q467" t="s">
        <v>318</v>
      </c>
      <c r="R467" t="s">
        <v>1273</v>
      </c>
      <c r="S467">
        <v>0</v>
      </c>
      <c r="T467">
        <v>0</v>
      </c>
      <c r="U467" t="s">
        <v>2299</v>
      </c>
      <c r="V467" t="s">
        <v>2295</v>
      </c>
      <c r="W467" t="s">
        <v>2300</v>
      </c>
      <c r="X467" t="s">
        <v>2288</v>
      </c>
      <c r="Y467" t="s">
        <v>2301</v>
      </c>
      <c r="Z467" t="s">
        <v>2318</v>
      </c>
      <c r="AA467">
        <v>28</v>
      </c>
      <c r="AB467" s="14">
        <v>150</v>
      </c>
      <c r="AC467" t="s">
        <v>2319</v>
      </c>
      <c r="AD467" t="s">
        <v>2320</v>
      </c>
      <c r="AE467" t="s">
        <v>2643</v>
      </c>
      <c r="AF467">
        <v>13</v>
      </c>
      <c r="AG467">
        <v>1</v>
      </c>
      <c r="AH467">
        <v>19</v>
      </c>
      <c r="AI467">
        <v>1</v>
      </c>
      <c r="AJ467">
        <v>1</v>
      </c>
      <c r="AK467">
        <v>0</v>
      </c>
      <c r="AL467">
        <v>0</v>
      </c>
      <c r="AN467" t="s">
        <v>2648</v>
      </c>
      <c r="AO467" s="12">
        <v>46082</v>
      </c>
      <c r="AP467">
        <v>2026</v>
      </c>
      <c r="AQ467">
        <v>3</v>
      </c>
      <c r="AR467" t="s">
        <v>2650</v>
      </c>
    </row>
    <row r="468" spans="1:44">
      <c r="A468" t="s">
        <v>1549</v>
      </c>
      <c r="B468" s="12">
        <v>46090</v>
      </c>
      <c r="C468" s="12">
        <v>46081</v>
      </c>
      <c r="D468" t="s">
        <v>1418</v>
      </c>
      <c r="E468" t="s">
        <v>268</v>
      </c>
      <c r="F468" t="s">
        <v>269</v>
      </c>
      <c r="G468" t="s">
        <v>270</v>
      </c>
      <c r="H468" t="s">
        <v>115</v>
      </c>
      <c r="I468" t="s">
        <v>258</v>
      </c>
      <c r="J468" s="13">
        <v>0.54166666666666663</v>
      </c>
      <c r="K468" s="13">
        <v>0.53888888888888886</v>
      </c>
      <c r="L468" s="13">
        <v>0.55555555555555558</v>
      </c>
      <c r="M468">
        <v>30</v>
      </c>
      <c r="N468" s="14">
        <v>80</v>
      </c>
      <c r="O468" t="s">
        <v>169</v>
      </c>
      <c r="P468">
        <v>4</v>
      </c>
      <c r="Q468" t="s">
        <v>318</v>
      </c>
      <c r="R468" t="s">
        <v>1273</v>
      </c>
      <c r="S468">
        <v>0</v>
      </c>
      <c r="T468">
        <v>0</v>
      </c>
      <c r="U468" t="s">
        <v>2285</v>
      </c>
      <c r="V468" t="s">
        <v>2286</v>
      </c>
      <c r="W468" t="s">
        <v>2287</v>
      </c>
      <c r="X468" t="s">
        <v>2288</v>
      </c>
      <c r="Y468" t="s">
        <v>2289</v>
      </c>
      <c r="Z468" t="s">
        <v>2315</v>
      </c>
      <c r="AA468">
        <v>10</v>
      </c>
      <c r="AB468" s="14">
        <v>80</v>
      </c>
      <c r="AC468" t="s">
        <v>2316</v>
      </c>
      <c r="AD468" t="s">
        <v>2317</v>
      </c>
      <c r="AE468" t="s">
        <v>2643</v>
      </c>
      <c r="AF468">
        <v>9</v>
      </c>
      <c r="AG468">
        <v>1</v>
      </c>
      <c r="AH468">
        <v>24</v>
      </c>
      <c r="AI468">
        <v>1</v>
      </c>
      <c r="AJ468">
        <v>1</v>
      </c>
      <c r="AK468">
        <v>0</v>
      </c>
      <c r="AL468">
        <v>1</v>
      </c>
      <c r="AM468" s="14">
        <v>0</v>
      </c>
      <c r="AN468" t="s">
        <v>2644</v>
      </c>
      <c r="AO468" s="12">
        <v>46082</v>
      </c>
      <c r="AP468">
        <v>2026</v>
      </c>
      <c r="AQ468">
        <v>3</v>
      </c>
      <c r="AR468" t="s">
        <v>2650</v>
      </c>
    </row>
    <row r="469" spans="1:44">
      <c r="A469" t="s">
        <v>1550</v>
      </c>
      <c r="B469" s="12">
        <v>46111</v>
      </c>
      <c r="C469" s="12">
        <v>46063</v>
      </c>
      <c r="D469" t="s">
        <v>1551</v>
      </c>
      <c r="E469" t="s">
        <v>268</v>
      </c>
      <c r="F469" t="s">
        <v>256</v>
      </c>
      <c r="G469" t="s">
        <v>886</v>
      </c>
      <c r="H469" t="s">
        <v>115</v>
      </c>
      <c r="I469" t="s">
        <v>316</v>
      </c>
      <c r="J469" s="13">
        <v>0.35416666666666669</v>
      </c>
      <c r="K469" s="13">
        <v>0.35416666666666669</v>
      </c>
      <c r="L469" s="13">
        <v>0.38194444444444442</v>
      </c>
      <c r="M469">
        <v>30</v>
      </c>
      <c r="N469" s="14">
        <v>95</v>
      </c>
      <c r="O469" t="s">
        <v>169</v>
      </c>
      <c r="P469">
        <v>5</v>
      </c>
      <c r="Q469" t="s">
        <v>318</v>
      </c>
      <c r="R469" t="s">
        <v>1273</v>
      </c>
      <c r="S469">
        <v>0</v>
      </c>
      <c r="T469">
        <v>0</v>
      </c>
      <c r="U469" t="s">
        <v>2285</v>
      </c>
      <c r="V469" t="s">
        <v>2286</v>
      </c>
      <c r="W469" t="s">
        <v>2287</v>
      </c>
      <c r="X469" t="s">
        <v>2288</v>
      </c>
      <c r="Y469" t="s">
        <v>2289</v>
      </c>
      <c r="Z469" t="s">
        <v>2312</v>
      </c>
      <c r="AA469">
        <v>21</v>
      </c>
      <c r="AB469" s="14">
        <v>95</v>
      </c>
      <c r="AC469" t="s">
        <v>2313</v>
      </c>
      <c r="AD469" t="s">
        <v>2314</v>
      </c>
      <c r="AE469" t="s">
        <v>2643</v>
      </c>
      <c r="AF469">
        <v>48</v>
      </c>
      <c r="AG469">
        <v>0</v>
      </c>
      <c r="AH469">
        <v>40</v>
      </c>
      <c r="AI469">
        <v>0</v>
      </c>
      <c r="AJ469">
        <v>1</v>
      </c>
      <c r="AK469">
        <v>0</v>
      </c>
      <c r="AL469">
        <v>1</v>
      </c>
      <c r="AM469" s="14">
        <v>0</v>
      </c>
      <c r="AN469" t="s">
        <v>2644</v>
      </c>
      <c r="AO469" s="12">
        <v>46082</v>
      </c>
      <c r="AP469">
        <v>2026</v>
      </c>
      <c r="AQ469">
        <v>3</v>
      </c>
      <c r="AR469" t="s">
        <v>2650</v>
      </c>
    </row>
    <row r="470" spans="1:44">
      <c r="A470" t="s">
        <v>1552</v>
      </c>
      <c r="B470" s="12">
        <v>46107</v>
      </c>
      <c r="C470" s="12">
        <v>46086</v>
      </c>
      <c r="D470" t="s">
        <v>1103</v>
      </c>
      <c r="E470" t="s">
        <v>268</v>
      </c>
      <c r="F470" t="s">
        <v>409</v>
      </c>
      <c r="G470" t="s">
        <v>587</v>
      </c>
      <c r="H470" t="s">
        <v>127</v>
      </c>
      <c r="I470" t="s">
        <v>299</v>
      </c>
      <c r="J470" s="13">
        <v>0.625</v>
      </c>
      <c r="K470" s="13"/>
      <c r="L470" s="13"/>
      <c r="M470">
        <v>0</v>
      </c>
      <c r="N470" s="14">
        <v>150</v>
      </c>
      <c r="O470" t="s">
        <v>195</v>
      </c>
      <c r="Q470" t="s">
        <v>262</v>
      </c>
      <c r="R470" t="s">
        <v>1273</v>
      </c>
      <c r="S470">
        <v>0</v>
      </c>
      <c r="T470">
        <v>0</v>
      </c>
      <c r="U470" t="s">
        <v>2285</v>
      </c>
      <c r="V470" t="s">
        <v>2286</v>
      </c>
      <c r="W470" t="s">
        <v>2287</v>
      </c>
      <c r="X470" t="s">
        <v>2288</v>
      </c>
      <c r="Y470" t="s">
        <v>2289</v>
      </c>
      <c r="Z470" t="s">
        <v>2318</v>
      </c>
      <c r="AA470">
        <v>28</v>
      </c>
      <c r="AB470" s="14">
        <v>150</v>
      </c>
      <c r="AC470" t="s">
        <v>2319</v>
      </c>
      <c r="AD470" t="s">
        <v>2320</v>
      </c>
      <c r="AE470" t="s">
        <v>2643</v>
      </c>
      <c r="AF470">
        <v>21</v>
      </c>
      <c r="AG470">
        <v>1</v>
      </c>
      <c r="AJ470">
        <v>0</v>
      </c>
      <c r="AL470">
        <v>1</v>
      </c>
      <c r="AM470" s="14">
        <v>0</v>
      </c>
      <c r="AN470" t="s">
        <v>2644</v>
      </c>
      <c r="AO470" s="12">
        <v>46082</v>
      </c>
      <c r="AP470">
        <v>2026</v>
      </c>
      <c r="AQ470">
        <v>3</v>
      </c>
      <c r="AR470" t="s">
        <v>2650</v>
      </c>
    </row>
    <row r="471" spans="1:44">
      <c r="A471" t="s">
        <v>1553</v>
      </c>
      <c r="B471" s="12">
        <v>46107</v>
      </c>
      <c r="C471" s="12">
        <v>46080</v>
      </c>
      <c r="D471" t="s">
        <v>1405</v>
      </c>
      <c r="E471" t="s">
        <v>339</v>
      </c>
      <c r="F471" t="s">
        <v>256</v>
      </c>
      <c r="G471" t="s">
        <v>403</v>
      </c>
      <c r="H471" t="s">
        <v>466</v>
      </c>
      <c r="I471" t="s">
        <v>316</v>
      </c>
      <c r="J471" s="13">
        <v>0.5</v>
      </c>
      <c r="K471" s="13"/>
      <c r="L471" s="13"/>
      <c r="M471">
        <v>0</v>
      </c>
      <c r="N471" s="14">
        <v>95</v>
      </c>
      <c r="O471" t="s">
        <v>195</v>
      </c>
      <c r="Q471" t="s">
        <v>326</v>
      </c>
      <c r="R471" t="s">
        <v>1273</v>
      </c>
      <c r="S471">
        <v>0</v>
      </c>
      <c r="T471">
        <v>0</v>
      </c>
      <c r="U471" t="s">
        <v>2294</v>
      </c>
      <c r="V471" t="s">
        <v>2295</v>
      </c>
      <c r="W471" t="s">
        <v>2296</v>
      </c>
      <c r="X471" t="s">
        <v>2297</v>
      </c>
      <c r="Y471" t="s">
        <v>2298</v>
      </c>
      <c r="Z471" t="s">
        <v>2312</v>
      </c>
      <c r="AA471">
        <v>21</v>
      </c>
      <c r="AB471" s="14">
        <v>95</v>
      </c>
      <c r="AC471" t="s">
        <v>2313</v>
      </c>
      <c r="AD471" t="s">
        <v>2314</v>
      </c>
      <c r="AE471" t="s">
        <v>2643</v>
      </c>
      <c r="AF471">
        <v>27</v>
      </c>
      <c r="AG471">
        <v>0</v>
      </c>
      <c r="AJ471">
        <v>0</v>
      </c>
      <c r="AL471">
        <v>1</v>
      </c>
      <c r="AM471" s="14">
        <v>0</v>
      </c>
      <c r="AN471" t="s">
        <v>2644</v>
      </c>
      <c r="AO471" s="12">
        <v>46082</v>
      </c>
      <c r="AP471">
        <v>2026</v>
      </c>
      <c r="AQ471">
        <v>3</v>
      </c>
      <c r="AR471" t="s">
        <v>2650</v>
      </c>
    </row>
    <row r="472" spans="1:44">
      <c r="A472" t="s">
        <v>1554</v>
      </c>
      <c r="B472" s="12">
        <v>46100</v>
      </c>
      <c r="C472" s="12">
        <v>46059</v>
      </c>
      <c r="D472" t="s">
        <v>853</v>
      </c>
      <c r="E472" t="s">
        <v>255</v>
      </c>
      <c r="F472" t="s">
        <v>409</v>
      </c>
      <c r="G472" t="s">
        <v>648</v>
      </c>
      <c r="H472" t="s">
        <v>115</v>
      </c>
      <c r="I472" t="s">
        <v>258</v>
      </c>
      <c r="J472" s="13">
        <v>0.35416666666666669</v>
      </c>
      <c r="K472" s="13">
        <v>0.35</v>
      </c>
      <c r="L472" s="13">
        <v>0.36666666666666664</v>
      </c>
      <c r="M472">
        <v>20</v>
      </c>
      <c r="N472" s="14">
        <v>150</v>
      </c>
      <c r="O472" t="s">
        <v>195</v>
      </c>
      <c r="P472">
        <v>5</v>
      </c>
      <c r="Q472" t="s">
        <v>285</v>
      </c>
      <c r="R472" t="s">
        <v>1273</v>
      </c>
      <c r="S472">
        <v>0</v>
      </c>
      <c r="T472">
        <v>0</v>
      </c>
      <c r="U472" t="s">
        <v>2299</v>
      </c>
      <c r="V472" t="s">
        <v>2295</v>
      </c>
      <c r="W472" t="s">
        <v>2300</v>
      </c>
      <c r="X472" t="s">
        <v>2288</v>
      </c>
      <c r="Y472" t="s">
        <v>2301</v>
      </c>
      <c r="Z472" t="s">
        <v>2318</v>
      </c>
      <c r="AA472">
        <v>28</v>
      </c>
      <c r="AB472" s="14">
        <v>150</v>
      </c>
      <c r="AC472" t="s">
        <v>2319</v>
      </c>
      <c r="AD472" t="s">
        <v>2320</v>
      </c>
      <c r="AE472" t="s">
        <v>2643</v>
      </c>
      <c r="AF472">
        <v>41</v>
      </c>
      <c r="AG472">
        <v>0</v>
      </c>
      <c r="AH472">
        <v>24</v>
      </c>
      <c r="AI472">
        <v>1</v>
      </c>
      <c r="AJ472">
        <v>1</v>
      </c>
      <c r="AK472">
        <v>0</v>
      </c>
      <c r="AL472">
        <v>1</v>
      </c>
      <c r="AM472" s="14">
        <v>0</v>
      </c>
      <c r="AN472" t="s">
        <v>2644</v>
      </c>
      <c r="AO472" s="12">
        <v>46082</v>
      </c>
      <c r="AP472">
        <v>2026</v>
      </c>
      <c r="AQ472">
        <v>3</v>
      </c>
      <c r="AR472" t="s">
        <v>2650</v>
      </c>
    </row>
    <row r="473" spans="1:44">
      <c r="A473" t="s">
        <v>1555</v>
      </c>
      <c r="B473" s="12">
        <v>46086</v>
      </c>
      <c r="C473" s="12">
        <v>46037</v>
      </c>
      <c r="D473" t="s">
        <v>350</v>
      </c>
      <c r="E473" t="s">
        <v>255</v>
      </c>
      <c r="F473" t="s">
        <v>409</v>
      </c>
      <c r="G473" t="s">
        <v>410</v>
      </c>
      <c r="H473" t="s">
        <v>122</v>
      </c>
      <c r="I473" t="s">
        <v>316</v>
      </c>
      <c r="J473" s="13">
        <v>0.64583333333333337</v>
      </c>
      <c r="K473" s="13">
        <v>0.64722222222222225</v>
      </c>
      <c r="L473" s="13">
        <v>0.67083333333333328</v>
      </c>
      <c r="M473">
        <v>30</v>
      </c>
      <c r="N473" s="14">
        <v>150</v>
      </c>
      <c r="O473" t="s">
        <v>195</v>
      </c>
      <c r="P473">
        <v>2</v>
      </c>
      <c r="Q473" t="s">
        <v>285</v>
      </c>
      <c r="R473" t="s">
        <v>1273</v>
      </c>
      <c r="S473">
        <v>0</v>
      </c>
      <c r="T473">
        <v>0</v>
      </c>
      <c r="U473" t="s">
        <v>2299</v>
      </c>
      <c r="V473" t="s">
        <v>2295</v>
      </c>
      <c r="W473" t="s">
        <v>2300</v>
      </c>
      <c r="X473" t="s">
        <v>2288</v>
      </c>
      <c r="Y473" t="s">
        <v>2301</v>
      </c>
      <c r="Z473" t="s">
        <v>2318</v>
      </c>
      <c r="AA473">
        <v>28</v>
      </c>
      <c r="AB473" s="14">
        <v>150</v>
      </c>
      <c r="AC473" t="s">
        <v>2319</v>
      </c>
      <c r="AD473" t="s">
        <v>2320</v>
      </c>
      <c r="AE473" t="s">
        <v>2643</v>
      </c>
      <c r="AF473">
        <v>49</v>
      </c>
      <c r="AG473">
        <v>0</v>
      </c>
      <c r="AJ473">
        <v>1</v>
      </c>
      <c r="AK473">
        <v>1</v>
      </c>
      <c r="AL473">
        <v>1</v>
      </c>
      <c r="AM473" s="14">
        <v>0</v>
      </c>
      <c r="AN473" t="s">
        <v>2644</v>
      </c>
      <c r="AO473" s="12">
        <v>46082</v>
      </c>
      <c r="AP473">
        <v>2026</v>
      </c>
      <c r="AQ473">
        <v>3</v>
      </c>
      <c r="AR473" t="s">
        <v>2650</v>
      </c>
    </row>
    <row r="474" spans="1:44">
      <c r="A474" t="s">
        <v>1557</v>
      </c>
      <c r="B474" s="12">
        <v>46084</v>
      </c>
      <c r="C474" s="12">
        <v>46049</v>
      </c>
      <c r="D474" t="s">
        <v>1508</v>
      </c>
      <c r="E474" t="s">
        <v>255</v>
      </c>
      <c r="F474" t="s">
        <v>269</v>
      </c>
      <c r="G474" t="s">
        <v>542</v>
      </c>
      <c r="H474" t="s">
        <v>127</v>
      </c>
      <c r="I474" t="s">
        <v>258</v>
      </c>
      <c r="J474" s="13">
        <v>0.60416666666666663</v>
      </c>
      <c r="K474" s="13"/>
      <c r="L474" s="13"/>
      <c r="M474">
        <v>0</v>
      </c>
      <c r="N474" s="14">
        <v>80</v>
      </c>
      <c r="O474" t="s">
        <v>195</v>
      </c>
      <c r="Q474" t="s">
        <v>318</v>
      </c>
      <c r="R474" t="s">
        <v>1273</v>
      </c>
      <c r="S474">
        <v>0</v>
      </c>
      <c r="T474">
        <v>0</v>
      </c>
      <c r="U474" t="s">
        <v>2299</v>
      </c>
      <c r="V474" t="s">
        <v>2295</v>
      </c>
      <c r="W474" t="s">
        <v>2300</v>
      </c>
      <c r="X474" t="s">
        <v>2288</v>
      </c>
      <c r="Y474" t="s">
        <v>2301</v>
      </c>
      <c r="Z474" t="s">
        <v>2315</v>
      </c>
      <c r="AA474">
        <v>10</v>
      </c>
      <c r="AB474" s="14">
        <v>80</v>
      </c>
      <c r="AC474" t="s">
        <v>2316</v>
      </c>
      <c r="AD474" t="s">
        <v>2317</v>
      </c>
      <c r="AE474" t="s">
        <v>2643</v>
      </c>
      <c r="AF474">
        <v>35</v>
      </c>
      <c r="AG474">
        <v>0</v>
      </c>
      <c r="AJ474">
        <v>0</v>
      </c>
      <c r="AL474">
        <v>1</v>
      </c>
      <c r="AM474" s="14">
        <v>0</v>
      </c>
      <c r="AN474" t="s">
        <v>2644</v>
      </c>
      <c r="AO474" s="12">
        <v>46082</v>
      </c>
      <c r="AP474">
        <v>2026</v>
      </c>
      <c r="AQ474">
        <v>3</v>
      </c>
      <c r="AR474" t="s">
        <v>2650</v>
      </c>
    </row>
    <row r="475" spans="1:44">
      <c r="A475" t="s">
        <v>1558</v>
      </c>
      <c r="B475" s="12">
        <v>46102</v>
      </c>
      <c r="C475" s="12">
        <v>46093</v>
      </c>
      <c r="D475" t="s">
        <v>1116</v>
      </c>
      <c r="E475" t="s">
        <v>339</v>
      </c>
      <c r="F475" t="s">
        <v>256</v>
      </c>
      <c r="G475" t="s">
        <v>345</v>
      </c>
      <c r="H475" t="s">
        <v>115</v>
      </c>
      <c r="I475" t="s">
        <v>299</v>
      </c>
      <c r="J475" s="13">
        <v>0.5625</v>
      </c>
      <c r="K475" s="13">
        <v>0.5625</v>
      </c>
      <c r="L475" s="13">
        <v>0.58958333333333335</v>
      </c>
      <c r="M475">
        <v>30</v>
      </c>
      <c r="N475" s="14">
        <v>95</v>
      </c>
      <c r="O475" t="s">
        <v>195</v>
      </c>
      <c r="P475">
        <v>5</v>
      </c>
      <c r="Q475" t="s">
        <v>262</v>
      </c>
      <c r="R475" t="s">
        <v>1273</v>
      </c>
      <c r="S475">
        <v>0</v>
      </c>
      <c r="T475">
        <v>0</v>
      </c>
      <c r="U475" t="s">
        <v>2294</v>
      </c>
      <c r="V475" t="s">
        <v>2295</v>
      </c>
      <c r="W475" t="s">
        <v>2296</v>
      </c>
      <c r="X475" t="s">
        <v>2297</v>
      </c>
      <c r="Y475" t="s">
        <v>2298</v>
      </c>
      <c r="Z475" t="s">
        <v>2312</v>
      </c>
      <c r="AA475">
        <v>21</v>
      </c>
      <c r="AB475" s="14">
        <v>95</v>
      </c>
      <c r="AC475" t="s">
        <v>2313</v>
      </c>
      <c r="AD475" t="s">
        <v>2314</v>
      </c>
      <c r="AE475" t="s">
        <v>2643</v>
      </c>
      <c r="AF475">
        <v>9</v>
      </c>
      <c r="AG475">
        <v>1</v>
      </c>
      <c r="AH475">
        <v>39</v>
      </c>
      <c r="AI475">
        <v>0</v>
      </c>
      <c r="AJ475">
        <v>1</v>
      </c>
      <c r="AK475">
        <v>0</v>
      </c>
      <c r="AL475">
        <v>1</v>
      </c>
      <c r="AM475" s="14">
        <v>0</v>
      </c>
      <c r="AN475" t="s">
        <v>2644</v>
      </c>
      <c r="AO475" s="12">
        <v>46082</v>
      </c>
      <c r="AP475">
        <v>2026</v>
      </c>
      <c r="AQ475">
        <v>3</v>
      </c>
      <c r="AR475" t="s">
        <v>2650</v>
      </c>
    </row>
    <row r="476" spans="1:44">
      <c r="A476" t="s">
        <v>1560</v>
      </c>
      <c r="B476" s="12">
        <v>46097</v>
      </c>
      <c r="C476" s="12">
        <v>46055</v>
      </c>
      <c r="D476" t="s">
        <v>851</v>
      </c>
      <c r="E476" t="s">
        <v>281</v>
      </c>
      <c r="G476" t="s">
        <v>446</v>
      </c>
      <c r="H476" t="s">
        <v>122</v>
      </c>
      <c r="I476" t="s">
        <v>271</v>
      </c>
      <c r="J476" s="13">
        <v>0.60416666666666663</v>
      </c>
      <c r="K476" s="13"/>
      <c r="L476" s="13"/>
      <c r="M476">
        <v>0</v>
      </c>
      <c r="N476" s="14">
        <v>120</v>
      </c>
      <c r="O476" t="s">
        <v>169</v>
      </c>
      <c r="Q476" t="s">
        <v>262</v>
      </c>
      <c r="R476" t="s">
        <v>1273</v>
      </c>
      <c r="S476">
        <v>0</v>
      </c>
      <c r="T476">
        <v>1</v>
      </c>
      <c r="U476" t="s">
        <v>2290</v>
      </c>
      <c r="V476" t="s">
        <v>2291</v>
      </c>
      <c r="W476" t="s">
        <v>2292</v>
      </c>
      <c r="X476" t="s">
        <v>2288</v>
      </c>
      <c r="Y476" t="s">
        <v>2293</v>
      </c>
      <c r="AE476" t="s">
        <v>2646</v>
      </c>
      <c r="AF476">
        <v>42</v>
      </c>
      <c r="AJ476">
        <v>1</v>
      </c>
      <c r="AK476">
        <v>1</v>
      </c>
      <c r="AL476">
        <v>1</v>
      </c>
      <c r="AN476" t="s">
        <v>2647</v>
      </c>
      <c r="AO476" s="12">
        <v>46082</v>
      </c>
      <c r="AP476">
        <v>2026</v>
      </c>
      <c r="AQ476">
        <v>3</v>
      </c>
      <c r="AR476" t="s">
        <v>2650</v>
      </c>
    </row>
    <row r="477" spans="1:44">
      <c r="A477" t="s">
        <v>1561</v>
      </c>
      <c r="B477" s="12">
        <v>46107</v>
      </c>
      <c r="C477" s="12">
        <v>46062</v>
      </c>
      <c r="D477" t="s">
        <v>1209</v>
      </c>
      <c r="E477" t="s">
        <v>268</v>
      </c>
      <c r="F477" t="s">
        <v>282</v>
      </c>
      <c r="G477" t="s">
        <v>524</v>
      </c>
      <c r="H477" t="s">
        <v>115</v>
      </c>
      <c r="I477" t="s">
        <v>258</v>
      </c>
      <c r="J477" s="13">
        <v>0.375</v>
      </c>
      <c r="K477" s="13">
        <v>0.38333333333333336</v>
      </c>
      <c r="L477" s="13">
        <v>0.40277777777777779</v>
      </c>
      <c r="M477">
        <v>20</v>
      </c>
      <c r="N477" s="14">
        <v>120</v>
      </c>
      <c r="O477" t="s">
        <v>195</v>
      </c>
      <c r="P477">
        <v>5</v>
      </c>
      <c r="Q477" t="s">
        <v>318</v>
      </c>
      <c r="R477" t="s">
        <v>1273</v>
      </c>
      <c r="S477">
        <v>0</v>
      </c>
      <c r="T477">
        <v>0</v>
      </c>
      <c r="U477" t="s">
        <v>2285</v>
      </c>
      <c r="V477" t="s">
        <v>2286</v>
      </c>
      <c r="W477" t="s">
        <v>2287</v>
      </c>
      <c r="X477" t="s">
        <v>2288</v>
      </c>
      <c r="Y477" t="s">
        <v>2289</v>
      </c>
      <c r="Z477" t="s">
        <v>2309</v>
      </c>
      <c r="AA477">
        <v>14</v>
      </c>
      <c r="AB477" s="14">
        <v>120</v>
      </c>
      <c r="AC477" t="s">
        <v>2310</v>
      </c>
      <c r="AD477" t="s">
        <v>2311</v>
      </c>
      <c r="AE477" t="s">
        <v>2643</v>
      </c>
      <c r="AF477">
        <v>45</v>
      </c>
      <c r="AG477">
        <v>0</v>
      </c>
      <c r="AH477">
        <v>28</v>
      </c>
      <c r="AI477">
        <v>1</v>
      </c>
      <c r="AJ477">
        <v>1</v>
      </c>
      <c r="AK477">
        <v>0</v>
      </c>
      <c r="AL477">
        <v>1</v>
      </c>
      <c r="AM477" s="14">
        <v>0</v>
      </c>
      <c r="AN477" t="s">
        <v>2644</v>
      </c>
      <c r="AO477" s="12">
        <v>46082</v>
      </c>
      <c r="AP477">
        <v>2026</v>
      </c>
      <c r="AQ477">
        <v>3</v>
      </c>
      <c r="AR477" t="s">
        <v>2650</v>
      </c>
    </row>
    <row r="478" spans="1:44">
      <c r="A478" t="s">
        <v>1563</v>
      </c>
      <c r="B478" s="12">
        <v>46093</v>
      </c>
      <c r="C478" s="12">
        <v>46045</v>
      </c>
      <c r="D478" t="s">
        <v>465</v>
      </c>
      <c r="E478" t="s">
        <v>339</v>
      </c>
      <c r="F478" t="s">
        <v>256</v>
      </c>
      <c r="G478" t="s">
        <v>345</v>
      </c>
      <c r="H478" t="s">
        <v>127</v>
      </c>
      <c r="I478" t="s">
        <v>299</v>
      </c>
      <c r="J478" s="13">
        <v>0.47916666666666669</v>
      </c>
      <c r="K478" s="13"/>
      <c r="L478" s="13"/>
      <c r="M478">
        <v>0</v>
      </c>
      <c r="N478" s="14">
        <v>95</v>
      </c>
      <c r="O478" t="s">
        <v>195</v>
      </c>
      <c r="Q478" t="s">
        <v>318</v>
      </c>
      <c r="R478" t="s">
        <v>1273</v>
      </c>
      <c r="S478">
        <v>0</v>
      </c>
      <c r="T478">
        <v>0</v>
      </c>
      <c r="U478" t="s">
        <v>2294</v>
      </c>
      <c r="V478" t="s">
        <v>2295</v>
      </c>
      <c r="W478" t="s">
        <v>2296</v>
      </c>
      <c r="X478" t="s">
        <v>2297</v>
      </c>
      <c r="Y478" t="s">
        <v>2298</v>
      </c>
      <c r="Z478" t="s">
        <v>2312</v>
      </c>
      <c r="AA478">
        <v>21</v>
      </c>
      <c r="AB478" s="14">
        <v>95</v>
      </c>
      <c r="AC478" t="s">
        <v>2313</v>
      </c>
      <c r="AD478" t="s">
        <v>2314</v>
      </c>
      <c r="AE478" t="s">
        <v>2643</v>
      </c>
      <c r="AF478">
        <v>48</v>
      </c>
      <c r="AG478">
        <v>0</v>
      </c>
      <c r="AJ478">
        <v>0</v>
      </c>
      <c r="AL478">
        <v>1</v>
      </c>
      <c r="AM478" s="14">
        <v>0</v>
      </c>
      <c r="AN478" t="s">
        <v>2644</v>
      </c>
      <c r="AO478" s="12">
        <v>46082</v>
      </c>
      <c r="AP478">
        <v>2026</v>
      </c>
      <c r="AQ478">
        <v>3</v>
      </c>
      <c r="AR478" t="s">
        <v>2650</v>
      </c>
    </row>
    <row r="479" spans="1:44">
      <c r="A479" t="s">
        <v>1565</v>
      </c>
      <c r="B479" s="12">
        <v>46120</v>
      </c>
      <c r="C479" s="12">
        <v>46100</v>
      </c>
      <c r="D479" t="s">
        <v>1193</v>
      </c>
      <c r="E479" t="s">
        <v>255</v>
      </c>
      <c r="F479" t="s">
        <v>256</v>
      </c>
      <c r="G479" t="s">
        <v>257</v>
      </c>
      <c r="H479" t="s">
        <v>115</v>
      </c>
      <c r="I479" t="s">
        <v>258</v>
      </c>
      <c r="J479" s="13">
        <v>0.54166666666666663</v>
      </c>
      <c r="K479" s="13">
        <v>0.55347222222222225</v>
      </c>
      <c r="L479" s="13">
        <v>0.54722222222222228</v>
      </c>
      <c r="M479">
        <v>20</v>
      </c>
      <c r="N479" s="14">
        <v>95</v>
      </c>
      <c r="O479" t="s">
        <v>169</v>
      </c>
      <c r="P479">
        <v>2</v>
      </c>
      <c r="Q479" t="s">
        <v>318</v>
      </c>
      <c r="R479" t="s">
        <v>1568</v>
      </c>
      <c r="S479">
        <v>0</v>
      </c>
      <c r="T479">
        <v>0</v>
      </c>
      <c r="U479" t="s">
        <v>2299</v>
      </c>
      <c r="V479" t="s">
        <v>2295</v>
      </c>
      <c r="W479" t="s">
        <v>2300</v>
      </c>
      <c r="X479" t="s">
        <v>2288</v>
      </c>
      <c r="Y479" t="s">
        <v>2301</v>
      </c>
      <c r="Z479" t="s">
        <v>2312</v>
      </c>
      <c r="AA479">
        <v>21</v>
      </c>
      <c r="AB479" s="14">
        <v>95</v>
      </c>
      <c r="AC479" t="s">
        <v>2313</v>
      </c>
      <c r="AD479" t="s">
        <v>2314</v>
      </c>
      <c r="AE479" t="s">
        <v>2643</v>
      </c>
      <c r="AF479">
        <v>20</v>
      </c>
      <c r="AG479">
        <v>1</v>
      </c>
      <c r="AJ479">
        <v>1</v>
      </c>
      <c r="AK479">
        <v>0</v>
      </c>
      <c r="AL479">
        <v>1</v>
      </c>
      <c r="AM479" s="14">
        <v>0</v>
      </c>
      <c r="AN479" t="s">
        <v>2644</v>
      </c>
      <c r="AO479" s="12">
        <v>46113</v>
      </c>
      <c r="AP479">
        <v>2026</v>
      </c>
      <c r="AQ479">
        <v>4</v>
      </c>
      <c r="AR479" t="s">
        <v>2651</v>
      </c>
    </row>
    <row r="480" spans="1:44">
      <c r="A480" t="s">
        <v>1569</v>
      </c>
      <c r="B480" s="12">
        <v>46115</v>
      </c>
      <c r="C480" s="12">
        <v>46114</v>
      </c>
      <c r="D480" t="s">
        <v>1144</v>
      </c>
      <c r="E480" t="s">
        <v>255</v>
      </c>
      <c r="F480" t="s">
        <v>409</v>
      </c>
      <c r="G480" t="s">
        <v>410</v>
      </c>
      <c r="H480" t="s">
        <v>115</v>
      </c>
      <c r="I480" t="s">
        <v>316</v>
      </c>
      <c r="J480" s="13">
        <v>0.66666666666666663</v>
      </c>
      <c r="K480" s="13">
        <v>0.66041666666666665</v>
      </c>
      <c r="L480" s="13">
        <v>0.6694444444444444</v>
      </c>
      <c r="M480">
        <v>45</v>
      </c>
      <c r="N480" s="14">
        <v>150</v>
      </c>
      <c r="O480" t="s">
        <v>195</v>
      </c>
      <c r="P480">
        <v>3</v>
      </c>
      <c r="Q480" t="s">
        <v>262</v>
      </c>
      <c r="R480" t="s">
        <v>1568</v>
      </c>
      <c r="S480">
        <v>0</v>
      </c>
      <c r="T480">
        <v>0</v>
      </c>
      <c r="U480" t="s">
        <v>2299</v>
      </c>
      <c r="V480" t="s">
        <v>2295</v>
      </c>
      <c r="W480" t="s">
        <v>2300</v>
      </c>
      <c r="X480" t="s">
        <v>2288</v>
      </c>
      <c r="Y480" t="s">
        <v>2301</v>
      </c>
      <c r="Z480" t="s">
        <v>2318</v>
      </c>
      <c r="AA480">
        <v>28</v>
      </c>
      <c r="AB480" s="14">
        <v>150</v>
      </c>
      <c r="AC480" t="s">
        <v>2319</v>
      </c>
      <c r="AD480" t="s">
        <v>2320</v>
      </c>
      <c r="AE480" t="s">
        <v>2643</v>
      </c>
      <c r="AF480">
        <v>1</v>
      </c>
      <c r="AG480">
        <v>1</v>
      </c>
      <c r="AH480">
        <v>13</v>
      </c>
      <c r="AI480">
        <v>1</v>
      </c>
      <c r="AJ480">
        <v>1</v>
      </c>
      <c r="AK480">
        <v>0</v>
      </c>
      <c r="AL480">
        <v>1</v>
      </c>
      <c r="AM480" s="14">
        <v>0</v>
      </c>
      <c r="AN480" t="s">
        <v>2644</v>
      </c>
      <c r="AO480" s="12">
        <v>46113</v>
      </c>
      <c r="AP480">
        <v>2026</v>
      </c>
      <c r="AQ480">
        <v>4</v>
      </c>
      <c r="AR480" t="s">
        <v>2651</v>
      </c>
    </row>
    <row r="481" spans="1:44">
      <c r="A481" t="s">
        <v>1572</v>
      </c>
      <c r="B481" s="12">
        <v>46133</v>
      </c>
      <c r="C481" s="12">
        <v>46091</v>
      </c>
      <c r="D481" t="s">
        <v>995</v>
      </c>
      <c r="E481" t="s">
        <v>281</v>
      </c>
      <c r="F481" t="s">
        <v>282</v>
      </c>
      <c r="G481" t="s">
        <v>283</v>
      </c>
      <c r="H481" t="s">
        <v>115</v>
      </c>
      <c r="I481" t="s">
        <v>258</v>
      </c>
      <c r="J481" s="13">
        <v>0.58333333333333337</v>
      </c>
      <c r="K481" s="13">
        <v>0.58194444444444449</v>
      </c>
      <c r="L481" s="13">
        <v>0.60833333333333328</v>
      </c>
      <c r="M481">
        <v>30</v>
      </c>
      <c r="N481" s="14">
        <v>120</v>
      </c>
      <c r="O481" t="s">
        <v>195</v>
      </c>
      <c r="P481">
        <v>2</v>
      </c>
      <c r="Q481" t="s">
        <v>326</v>
      </c>
      <c r="R481" t="s">
        <v>1568</v>
      </c>
      <c r="S481">
        <v>0</v>
      </c>
      <c r="T481">
        <v>0</v>
      </c>
      <c r="U481" t="s">
        <v>2290</v>
      </c>
      <c r="V481" t="s">
        <v>2291</v>
      </c>
      <c r="W481" t="s">
        <v>2292</v>
      </c>
      <c r="X481" t="s">
        <v>2288</v>
      </c>
      <c r="Y481" t="s">
        <v>2293</v>
      </c>
      <c r="Z481" t="s">
        <v>2309</v>
      </c>
      <c r="AA481">
        <v>14</v>
      </c>
      <c r="AB481" s="14">
        <v>120</v>
      </c>
      <c r="AC481" t="s">
        <v>2310</v>
      </c>
      <c r="AD481" t="s">
        <v>2311</v>
      </c>
      <c r="AE481" t="s">
        <v>2643</v>
      </c>
      <c r="AF481">
        <v>42</v>
      </c>
      <c r="AG481">
        <v>0</v>
      </c>
      <c r="AH481">
        <v>38</v>
      </c>
      <c r="AI481">
        <v>0</v>
      </c>
      <c r="AJ481">
        <v>1</v>
      </c>
      <c r="AK481">
        <v>0</v>
      </c>
      <c r="AL481">
        <v>1</v>
      </c>
      <c r="AM481" s="14">
        <v>0</v>
      </c>
      <c r="AN481" t="s">
        <v>2644</v>
      </c>
      <c r="AO481" s="12">
        <v>46113</v>
      </c>
      <c r="AP481">
        <v>2026</v>
      </c>
      <c r="AQ481">
        <v>4</v>
      </c>
      <c r="AR481" t="s">
        <v>2651</v>
      </c>
    </row>
    <row r="482" spans="1:44">
      <c r="A482" t="s">
        <v>1575</v>
      </c>
      <c r="B482" s="12">
        <v>46138</v>
      </c>
      <c r="C482" s="12">
        <v>46098</v>
      </c>
      <c r="D482" t="s">
        <v>982</v>
      </c>
      <c r="E482" t="s">
        <v>268</v>
      </c>
      <c r="F482" t="s">
        <v>256</v>
      </c>
      <c r="G482" t="s">
        <v>886</v>
      </c>
      <c r="H482" t="s">
        <v>115</v>
      </c>
      <c r="I482" t="s">
        <v>316</v>
      </c>
      <c r="J482" s="13">
        <v>0.5</v>
      </c>
      <c r="K482" s="13">
        <v>0.49513888888888891</v>
      </c>
      <c r="L482" s="13">
        <v>0.52083333333333337</v>
      </c>
      <c r="M482">
        <v>30</v>
      </c>
      <c r="N482" s="14">
        <v>95</v>
      </c>
      <c r="O482" t="s">
        <v>195</v>
      </c>
      <c r="P482">
        <v>5</v>
      </c>
      <c r="Q482" t="s">
        <v>262</v>
      </c>
      <c r="R482" t="s">
        <v>1568</v>
      </c>
      <c r="S482">
        <v>0</v>
      </c>
      <c r="T482">
        <v>0</v>
      </c>
      <c r="U482" t="s">
        <v>2285</v>
      </c>
      <c r="V482" t="s">
        <v>2286</v>
      </c>
      <c r="W482" t="s">
        <v>2287</v>
      </c>
      <c r="X482" t="s">
        <v>2288</v>
      </c>
      <c r="Y482" t="s">
        <v>2289</v>
      </c>
      <c r="Z482" t="s">
        <v>2312</v>
      </c>
      <c r="AA482">
        <v>21</v>
      </c>
      <c r="AB482" s="14">
        <v>95</v>
      </c>
      <c r="AC482" t="s">
        <v>2313</v>
      </c>
      <c r="AD482" t="s">
        <v>2314</v>
      </c>
      <c r="AE482" t="s">
        <v>2643</v>
      </c>
      <c r="AF482">
        <v>40</v>
      </c>
      <c r="AG482">
        <v>0</v>
      </c>
      <c r="AH482">
        <v>37</v>
      </c>
      <c r="AI482">
        <v>0</v>
      </c>
      <c r="AJ482">
        <v>1</v>
      </c>
      <c r="AK482">
        <v>0</v>
      </c>
      <c r="AL482">
        <v>1</v>
      </c>
      <c r="AM482" s="14">
        <v>0</v>
      </c>
      <c r="AN482" t="s">
        <v>2644</v>
      </c>
      <c r="AO482" s="12">
        <v>46113</v>
      </c>
      <c r="AP482">
        <v>2026</v>
      </c>
      <c r="AQ482">
        <v>4</v>
      </c>
      <c r="AR482" t="s">
        <v>2651</v>
      </c>
    </row>
    <row r="483" spans="1:44">
      <c r="A483" t="s">
        <v>1577</v>
      </c>
      <c r="B483" s="12">
        <v>46119</v>
      </c>
      <c r="C483" s="12">
        <v>46090</v>
      </c>
      <c r="D483" t="s">
        <v>1231</v>
      </c>
      <c r="E483" t="s">
        <v>268</v>
      </c>
      <c r="F483" t="s">
        <v>297</v>
      </c>
      <c r="G483" t="s">
        <v>628</v>
      </c>
      <c r="H483" t="s">
        <v>466</v>
      </c>
      <c r="I483" t="s">
        <v>316</v>
      </c>
      <c r="J483" s="13">
        <v>0.47916666666666669</v>
      </c>
      <c r="K483" s="13"/>
      <c r="L483" s="13"/>
      <c r="M483">
        <v>0</v>
      </c>
      <c r="N483" s="14">
        <v>65</v>
      </c>
      <c r="O483" t="s">
        <v>195</v>
      </c>
      <c r="Q483" t="s">
        <v>318</v>
      </c>
      <c r="R483" t="s">
        <v>1568</v>
      </c>
      <c r="S483">
        <v>0</v>
      </c>
      <c r="T483">
        <v>0</v>
      </c>
      <c r="U483" t="s">
        <v>2285</v>
      </c>
      <c r="V483" t="s">
        <v>2286</v>
      </c>
      <c r="W483" t="s">
        <v>2287</v>
      </c>
      <c r="X483" t="s">
        <v>2288</v>
      </c>
      <c r="Y483" t="s">
        <v>2289</v>
      </c>
      <c r="Z483" t="s">
        <v>2306</v>
      </c>
      <c r="AA483">
        <v>7</v>
      </c>
      <c r="AB483" s="14">
        <v>65</v>
      </c>
      <c r="AC483" t="s">
        <v>2307</v>
      </c>
      <c r="AD483" t="s">
        <v>2308</v>
      </c>
      <c r="AE483" t="s">
        <v>2643</v>
      </c>
      <c r="AF483">
        <v>29</v>
      </c>
      <c r="AG483">
        <v>0</v>
      </c>
      <c r="AJ483">
        <v>0</v>
      </c>
      <c r="AL483">
        <v>1</v>
      </c>
      <c r="AM483" s="14">
        <v>0</v>
      </c>
      <c r="AN483" t="s">
        <v>2644</v>
      </c>
      <c r="AO483" s="12">
        <v>46113</v>
      </c>
      <c r="AP483">
        <v>2026</v>
      </c>
      <c r="AQ483">
        <v>4</v>
      </c>
      <c r="AR483" t="s">
        <v>2651</v>
      </c>
    </row>
    <row r="484" spans="1:44">
      <c r="A484" t="s">
        <v>1579</v>
      </c>
      <c r="B484" s="12">
        <v>46132</v>
      </c>
      <c r="C484" s="12">
        <v>46112</v>
      </c>
      <c r="D484" t="s">
        <v>978</v>
      </c>
      <c r="E484" t="s">
        <v>268</v>
      </c>
      <c r="F484" t="s">
        <v>409</v>
      </c>
      <c r="G484" t="s">
        <v>587</v>
      </c>
      <c r="H484" t="s">
        <v>115</v>
      </c>
      <c r="I484" t="s">
        <v>316</v>
      </c>
      <c r="J484" s="13">
        <v>0.5625</v>
      </c>
      <c r="K484" s="13">
        <v>0.5708333333333333</v>
      </c>
      <c r="L484" s="13">
        <v>0.57499999999999996</v>
      </c>
      <c r="M484">
        <v>30</v>
      </c>
      <c r="N484" s="14">
        <v>150</v>
      </c>
      <c r="O484" t="s">
        <v>169</v>
      </c>
      <c r="P484">
        <v>3</v>
      </c>
      <c r="Q484" t="s">
        <v>305</v>
      </c>
      <c r="R484" t="s">
        <v>1568</v>
      </c>
      <c r="S484">
        <v>0</v>
      </c>
      <c r="T484">
        <v>0</v>
      </c>
      <c r="U484" t="s">
        <v>2285</v>
      </c>
      <c r="V484" t="s">
        <v>2286</v>
      </c>
      <c r="W484" t="s">
        <v>2287</v>
      </c>
      <c r="X484" t="s">
        <v>2288</v>
      </c>
      <c r="Y484" t="s">
        <v>2289</v>
      </c>
      <c r="Z484" t="s">
        <v>2318</v>
      </c>
      <c r="AA484">
        <v>28</v>
      </c>
      <c r="AB484" s="14">
        <v>150</v>
      </c>
      <c r="AC484" t="s">
        <v>2319</v>
      </c>
      <c r="AD484" t="s">
        <v>2320</v>
      </c>
      <c r="AE484" t="s">
        <v>2643</v>
      </c>
      <c r="AF484">
        <v>20</v>
      </c>
      <c r="AG484">
        <v>1</v>
      </c>
      <c r="AH484">
        <v>6</v>
      </c>
      <c r="AI484">
        <v>1</v>
      </c>
      <c r="AJ484">
        <v>1</v>
      </c>
      <c r="AK484">
        <v>0</v>
      </c>
      <c r="AL484">
        <v>1</v>
      </c>
      <c r="AM484" s="14">
        <v>0</v>
      </c>
      <c r="AN484" t="s">
        <v>2644</v>
      </c>
      <c r="AO484" s="12">
        <v>46113</v>
      </c>
      <c r="AP484">
        <v>2026</v>
      </c>
      <c r="AQ484">
        <v>4</v>
      </c>
      <c r="AR484" t="s">
        <v>2651</v>
      </c>
    </row>
    <row r="485" spans="1:44">
      <c r="A485" t="s">
        <v>1582</v>
      </c>
      <c r="B485" s="12">
        <v>46140</v>
      </c>
      <c r="C485" s="12">
        <v>46099</v>
      </c>
      <c r="D485" t="s">
        <v>1067</v>
      </c>
      <c r="E485" t="s">
        <v>255</v>
      </c>
      <c r="F485" t="s">
        <v>297</v>
      </c>
      <c r="G485" t="s">
        <v>639</v>
      </c>
      <c r="H485" t="s">
        <v>122</v>
      </c>
      <c r="I485" t="s">
        <v>299</v>
      </c>
      <c r="J485" s="13">
        <v>0.35416666666666669</v>
      </c>
      <c r="K485" s="13"/>
      <c r="L485" s="13"/>
      <c r="M485">
        <v>0</v>
      </c>
      <c r="N485" s="14">
        <v>65</v>
      </c>
      <c r="O485" t="s">
        <v>195</v>
      </c>
      <c r="Q485" t="s">
        <v>318</v>
      </c>
      <c r="R485" t="s">
        <v>1568</v>
      </c>
      <c r="S485">
        <v>0</v>
      </c>
      <c r="T485">
        <v>0</v>
      </c>
      <c r="U485" t="s">
        <v>2299</v>
      </c>
      <c r="V485" t="s">
        <v>2295</v>
      </c>
      <c r="W485" t="s">
        <v>2300</v>
      </c>
      <c r="X485" t="s">
        <v>2288</v>
      </c>
      <c r="Y485" t="s">
        <v>2301</v>
      </c>
      <c r="Z485" t="s">
        <v>2306</v>
      </c>
      <c r="AA485">
        <v>7</v>
      </c>
      <c r="AB485" s="14">
        <v>65</v>
      </c>
      <c r="AC485" t="s">
        <v>2307</v>
      </c>
      <c r="AD485" t="s">
        <v>2308</v>
      </c>
      <c r="AE485" t="s">
        <v>2643</v>
      </c>
      <c r="AF485">
        <v>41</v>
      </c>
      <c r="AG485">
        <v>0</v>
      </c>
      <c r="AJ485">
        <v>1</v>
      </c>
      <c r="AK485">
        <v>1</v>
      </c>
      <c r="AL485">
        <v>1</v>
      </c>
      <c r="AM485" s="14">
        <v>0</v>
      </c>
      <c r="AN485" t="s">
        <v>2644</v>
      </c>
      <c r="AO485" s="12">
        <v>46113</v>
      </c>
      <c r="AP485">
        <v>2026</v>
      </c>
      <c r="AQ485">
        <v>4</v>
      </c>
      <c r="AR485" t="s">
        <v>2651</v>
      </c>
    </row>
    <row r="486" spans="1:44">
      <c r="A486" t="s">
        <v>1584</v>
      </c>
      <c r="B486" s="12">
        <v>46120</v>
      </c>
      <c r="C486" s="12">
        <v>46071</v>
      </c>
      <c r="D486" t="s">
        <v>1322</v>
      </c>
      <c r="E486" t="s">
        <v>281</v>
      </c>
      <c r="F486" t="s">
        <v>297</v>
      </c>
      <c r="G486" t="s">
        <v>298</v>
      </c>
      <c r="H486" t="s">
        <v>127</v>
      </c>
      <c r="I486" t="s">
        <v>271</v>
      </c>
      <c r="J486" s="13">
        <v>0.47916666666666669</v>
      </c>
      <c r="K486" s="13"/>
      <c r="L486" s="13"/>
      <c r="M486">
        <v>0</v>
      </c>
      <c r="N486" s="14">
        <v>65</v>
      </c>
      <c r="O486" t="s">
        <v>169</v>
      </c>
      <c r="Q486" t="s">
        <v>285</v>
      </c>
      <c r="R486" t="s">
        <v>1568</v>
      </c>
      <c r="S486">
        <v>0</v>
      </c>
      <c r="T486">
        <v>0</v>
      </c>
      <c r="U486" t="s">
        <v>2290</v>
      </c>
      <c r="V486" t="s">
        <v>2291</v>
      </c>
      <c r="W486" t="s">
        <v>2292</v>
      </c>
      <c r="X486" t="s">
        <v>2288</v>
      </c>
      <c r="Y486" t="s">
        <v>2293</v>
      </c>
      <c r="Z486" t="s">
        <v>2306</v>
      </c>
      <c r="AA486">
        <v>7</v>
      </c>
      <c r="AB486" s="14">
        <v>65</v>
      </c>
      <c r="AC486" t="s">
        <v>2307</v>
      </c>
      <c r="AD486" t="s">
        <v>2308</v>
      </c>
      <c r="AE486" t="s">
        <v>2643</v>
      </c>
      <c r="AF486">
        <v>49</v>
      </c>
      <c r="AG486">
        <v>0</v>
      </c>
      <c r="AJ486">
        <v>0</v>
      </c>
      <c r="AL486">
        <v>1</v>
      </c>
      <c r="AM486" s="14">
        <v>0</v>
      </c>
      <c r="AN486" t="s">
        <v>2644</v>
      </c>
      <c r="AO486" s="12">
        <v>46113</v>
      </c>
      <c r="AP486">
        <v>2026</v>
      </c>
      <c r="AQ486">
        <v>4</v>
      </c>
      <c r="AR486" t="s">
        <v>2651</v>
      </c>
    </row>
    <row r="487" spans="1:44">
      <c r="A487" t="s">
        <v>1585</v>
      </c>
      <c r="B487" s="12">
        <v>46142</v>
      </c>
      <c r="C487" s="12">
        <v>46125</v>
      </c>
      <c r="D487" t="s">
        <v>1031</v>
      </c>
      <c r="E487" t="s">
        <v>339</v>
      </c>
      <c r="F487" t="s">
        <v>409</v>
      </c>
      <c r="G487" t="s">
        <v>476</v>
      </c>
      <c r="H487" t="s">
        <v>115</v>
      </c>
      <c r="I487" t="s">
        <v>258</v>
      </c>
      <c r="J487" s="13">
        <v>0.60416666666666663</v>
      </c>
      <c r="K487" s="13">
        <v>0.59861111111111109</v>
      </c>
      <c r="L487" s="13">
        <v>0.60833333333333328</v>
      </c>
      <c r="M487">
        <v>30</v>
      </c>
      <c r="N487" s="14">
        <v>150</v>
      </c>
      <c r="O487" t="s">
        <v>169</v>
      </c>
      <c r="P487">
        <v>4</v>
      </c>
      <c r="Q487" t="s">
        <v>326</v>
      </c>
      <c r="R487" t="s">
        <v>1568</v>
      </c>
      <c r="S487">
        <v>0</v>
      </c>
      <c r="T487">
        <v>0</v>
      </c>
      <c r="U487" t="s">
        <v>2294</v>
      </c>
      <c r="V487" t="s">
        <v>2295</v>
      </c>
      <c r="W487" t="s">
        <v>2296</v>
      </c>
      <c r="X487" t="s">
        <v>2297</v>
      </c>
      <c r="Y487" t="s">
        <v>2298</v>
      </c>
      <c r="Z487" t="s">
        <v>2318</v>
      </c>
      <c r="AA487">
        <v>28</v>
      </c>
      <c r="AB487" s="14">
        <v>150</v>
      </c>
      <c r="AC487" t="s">
        <v>2319</v>
      </c>
      <c r="AD487" t="s">
        <v>2320</v>
      </c>
      <c r="AE487" t="s">
        <v>2643</v>
      </c>
      <c r="AF487">
        <v>17</v>
      </c>
      <c r="AG487">
        <v>1</v>
      </c>
      <c r="AH487">
        <v>14</v>
      </c>
      <c r="AI487">
        <v>1</v>
      </c>
      <c r="AJ487">
        <v>1</v>
      </c>
      <c r="AK487">
        <v>0</v>
      </c>
      <c r="AL487">
        <v>1</v>
      </c>
      <c r="AM487" s="14">
        <v>0</v>
      </c>
      <c r="AN487" t="s">
        <v>2644</v>
      </c>
      <c r="AO487" s="12">
        <v>46113</v>
      </c>
      <c r="AP487">
        <v>2026</v>
      </c>
      <c r="AQ487">
        <v>4</v>
      </c>
      <c r="AR487" t="s">
        <v>2651</v>
      </c>
    </row>
    <row r="488" spans="1:44">
      <c r="A488" t="s">
        <v>1589</v>
      </c>
      <c r="B488" s="12">
        <v>46141</v>
      </c>
      <c r="C488" s="12">
        <v>46139</v>
      </c>
      <c r="D488" t="s">
        <v>1071</v>
      </c>
      <c r="E488" t="s">
        <v>255</v>
      </c>
      <c r="F488" t="s">
        <v>282</v>
      </c>
      <c r="G488" t="s">
        <v>424</v>
      </c>
      <c r="H488" t="s">
        <v>115</v>
      </c>
      <c r="I488" t="s">
        <v>271</v>
      </c>
      <c r="J488" s="13">
        <v>0.39583333333333331</v>
      </c>
      <c r="K488" s="13">
        <v>0.38958333333333334</v>
      </c>
      <c r="L488" s="13">
        <v>0.41805555555555557</v>
      </c>
      <c r="M488">
        <v>60</v>
      </c>
      <c r="N488" s="14">
        <v>120</v>
      </c>
      <c r="O488" t="s">
        <v>195</v>
      </c>
      <c r="P488">
        <v>2</v>
      </c>
      <c r="Q488" t="s">
        <v>326</v>
      </c>
      <c r="R488" t="s">
        <v>1568</v>
      </c>
      <c r="S488">
        <v>0</v>
      </c>
      <c r="T488">
        <v>0</v>
      </c>
      <c r="U488" t="s">
        <v>2299</v>
      </c>
      <c r="V488" t="s">
        <v>2295</v>
      </c>
      <c r="W488" t="s">
        <v>2300</v>
      </c>
      <c r="X488" t="s">
        <v>2288</v>
      </c>
      <c r="Y488" t="s">
        <v>2301</v>
      </c>
      <c r="Z488" t="s">
        <v>2309</v>
      </c>
      <c r="AA488">
        <v>14</v>
      </c>
      <c r="AB488" s="14">
        <v>120</v>
      </c>
      <c r="AC488" t="s">
        <v>2310</v>
      </c>
      <c r="AD488" t="s">
        <v>2311</v>
      </c>
      <c r="AE488" t="s">
        <v>2643</v>
      </c>
      <c r="AF488">
        <v>2</v>
      </c>
      <c r="AG488">
        <v>1</v>
      </c>
      <c r="AH488">
        <v>41</v>
      </c>
      <c r="AI488">
        <v>0</v>
      </c>
      <c r="AJ488">
        <v>1</v>
      </c>
      <c r="AK488">
        <v>0</v>
      </c>
      <c r="AL488">
        <v>1</v>
      </c>
      <c r="AM488" s="14">
        <v>0</v>
      </c>
      <c r="AN488" t="s">
        <v>2644</v>
      </c>
      <c r="AO488" s="12">
        <v>46113</v>
      </c>
      <c r="AP488">
        <v>2026</v>
      </c>
      <c r="AQ488">
        <v>4</v>
      </c>
      <c r="AR488" t="s">
        <v>2651</v>
      </c>
    </row>
    <row r="489" spans="1:44">
      <c r="A489" t="s">
        <v>1592</v>
      </c>
      <c r="B489" s="12">
        <v>46131</v>
      </c>
      <c r="C489" s="12">
        <v>46079</v>
      </c>
      <c r="D489" t="s">
        <v>1154</v>
      </c>
      <c r="E489" t="s">
        <v>268</v>
      </c>
      <c r="F489" t="s">
        <v>269</v>
      </c>
      <c r="G489" t="s">
        <v>270</v>
      </c>
      <c r="H489" t="s">
        <v>115</v>
      </c>
      <c r="I489" t="s">
        <v>299</v>
      </c>
      <c r="J489" s="13">
        <v>0.5</v>
      </c>
      <c r="K489" s="13">
        <v>0.51249999999999996</v>
      </c>
      <c r="L489" s="13">
        <v>0.52152777777777781</v>
      </c>
      <c r="M489">
        <v>30</v>
      </c>
      <c r="N489" s="14">
        <v>80</v>
      </c>
      <c r="O489" t="s">
        <v>195</v>
      </c>
      <c r="P489">
        <v>5</v>
      </c>
      <c r="Q489" t="s">
        <v>318</v>
      </c>
      <c r="R489" t="s">
        <v>1568</v>
      </c>
      <c r="S489">
        <v>0</v>
      </c>
      <c r="T489">
        <v>0</v>
      </c>
      <c r="U489" t="s">
        <v>2285</v>
      </c>
      <c r="V489" t="s">
        <v>2286</v>
      </c>
      <c r="W489" t="s">
        <v>2287</v>
      </c>
      <c r="X489" t="s">
        <v>2288</v>
      </c>
      <c r="Y489" t="s">
        <v>2289</v>
      </c>
      <c r="Z489" t="s">
        <v>2315</v>
      </c>
      <c r="AA489">
        <v>10</v>
      </c>
      <c r="AB489" s="14">
        <v>80</v>
      </c>
      <c r="AC489" t="s">
        <v>2316</v>
      </c>
      <c r="AD489" t="s">
        <v>2317</v>
      </c>
      <c r="AE489" t="s">
        <v>2643</v>
      </c>
      <c r="AF489">
        <v>52</v>
      </c>
      <c r="AG489">
        <v>0</v>
      </c>
      <c r="AH489">
        <v>13</v>
      </c>
      <c r="AI489">
        <v>1</v>
      </c>
      <c r="AJ489">
        <v>1</v>
      </c>
      <c r="AK489">
        <v>0</v>
      </c>
      <c r="AL489">
        <v>1</v>
      </c>
      <c r="AM489" s="14">
        <v>0</v>
      </c>
      <c r="AN489" t="s">
        <v>2644</v>
      </c>
      <c r="AO489" s="12">
        <v>46113</v>
      </c>
      <c r="AP489">
        <v>2026</v>
      </c>
      <c r="AQ489">
        <v>4</v>
      </c>
      <c r="AR489" t="s">
        <v>2651</v>
      </c>
    </row>
    <row r="490" spans="1:44">
      <c r="A490" t="s">
        <v>1595</v>
      </c>
      <c r="B490" s="12">
        <v>46138</v>
      </c>
      <c r="C490" s="12">
        <v>46096</v>
      </c>
      <c r="D490" t="s">
        <v>350</v>
      </c>
      <c r="E490" t="s">
        <v>281</v>
      </c>
      <c r="F490" t="s">
        <v>297</v>
      </c>
      <c r="G490" t="s">
        <v>368</v>
      </c>
      <c r="H490" t="s">
        <v>115</v>
      </c>
      <c r="I490" t="s">
        <v>258</v>
      </c>
      <c r="J490" s="13">
        <v>0.52083333333333337</v>
      </c>
      <c r="K490" s="13">
        <v>0.51527777777777772</v>
      </c>
      <c r="L490" s="13">
        <v>0.52083333333333337</v>
      </c>
      <c r="M490">
        <v>45</v>
      </c>
      <c r="N490" s="14">
        <v>65</v>
      </c>
      <c r="O490" t="s">
        <v>195</v>
      </c>
      <c r="P490">
        <v>5</v>
      </c>
      <c r="Q490" t="s">
        <v>318</v>
      </c>
      <c r="R490" t="s">
        <v>1568</v>
      </c>
      <c r="S490">
        <v>0</v>
      </c>
      <c r="T490">
        <v>0</v>
      </c>
      <c r="U490" t="s">
        <v>2290</v>
      </c>
      <c r="V490" t="s">
        <v>2291</v>
      </c>
      <c r="W490" t="s">
        <v>2292</v>
      </c>
      <c r="X490" t="s">
        <v>2288</v>
      </c>
      <c r="Y490" t="s">
        <v>2293</v>
      </c>
      <c r="Z490" t="s">
        <v>2306</v>
      </c>
      <c r="AA490">
        <v>7</v>
      </c>
      <c r="AB490" s="14">
        <v>65</v>
      </c>
      <c r="AC490" t="s">
        <v>2307</v>
      </c>
      <c r="AD490" t="s">
        <v>2308</v>
      </c>
      <c r="AE490" t="s">
        <v>2643</v>
      </c>
      <c r="AF490">
        <v>42</v>
      </c>
      <c r="AG490">
        <v>0</v>
      </c>
      <c r="AH490">
        <v>8</v>
      </c>
      <c r="AI490">
        <v>1</v>
      </c>
      <c r="AJ490">
        <v>1</v>
      </c>
      <c r="AK490">
        <v>0</v>
      </c>
      <c r="AL490">
        <v>1</v>
      </c>
      <c r="AM490" s="14">
        <v>0</v>
      </c>
      <c r="AN490" t="s">
        <v>2644</v>
      </c>
      <c r="AO490" s="12">
        <v>46113</v>
      </c>
      <c r="AP490">
        <v>2026</v>
      </c>
      <c r="AQ490">
        <v>4</v>
      </c>
      <c r="AR490" t="s">
        <v>2651</v>
      </c>
    </row>
    <row r="491" spans="1:44">
      <c r="A491" t="s">
        <v>1597</v>
      </c>
      <c r="B491" s="12">
        <v>46137</v>
      </c>
      <c r="C491" s="12">
        <v>46125</v>
      </c>
      <c r="D491" t="s">
        <v>677</v>
      </c>
      <c r="E491" t="s">
        <v>281</v>
      </c>
      <c r="F491" t="s">
        <v>282</v>
      </c>
      <c r="G491" t="s">
        <v>446</v>
      </c>
      <c r="H491" t="s">
        <v>115</v>
      </c>
      <c r="I491" t="s">
        <v>258</v>
      </c>
      <c r="J491" s="13">
        <v>0.35416666666666669</v>
      </c>
      <c r="K491" s="13">
        <v>0.34930555555555554</v>
      </c>
      <c r="L491" s="13">
        <v>0.38124999999999998</v>
      </c>
      <c r="M491">
        <v>30</v>
      </c>
      <c r="N491" s="14">
        <v>120</v>
      </c>
      <c r="O491" t="s">
        <v>195</v>
      </c>
      <c r="P491">
        <v>2</v>
      </c>
      <c r="Q491" t="s">
        <v>285</v>
      </c>
      <c r="R491" t="s">
        <v>1568</v>
      </c>
      <c r="S491">
        <v>0</v>
      </c>
      <c r="T491">
        <v>0</v>
      </c>
      <c r="U491" t="s">
        <v>2290</v>
      </c>
      <c r="V491" t="s">
        <v>2291</v>
      </c>
      <c r="W491" t="s">
        <v>2292</v>
      </c>
      <c r="X491" t="s">
        <v>2288</v>
      </c>
      <c r="Y491" t="s">
        <v>2293</v>
      </c>
      <c r="Z491" t="s">
        <v>2309</v>
      </c>
      <c r="AA491">
        <v>14</v>
      </c>
      <c r="AB491" s="14">
        <v>120</v>
      </c>
      <c r="AC491" t="s">
        <v>2310</v>
      </c>
      <c r="AD491" t="s">
        <v>2311</v>
      </c>
      <c r="AE491" t="s">
        <v>2643</v>
      </c>
      <c r="AF491">
        <v>12</v>
      </c>
      <c r="AG491">
        <v>1</v>
      </c>
      <c r="AH491">
        <v>46</v>
      </c>
      <c r="AI491">
        <v>0</v>
      </c>
      <c r="AJ491">
        <v>1</v>
      </c>
      <c r="AK491">
        <v>0</v>
      </c>
      <c r="AL491">
        <v>1</v>
      </c>
      <c r="AM491" s="14">
        <v>0</v>
      </c>
      <c r="AN491" t="s">
        <v>2644</v>
      </c>
      <c r="AO491" s="12">
        <v>46113</v>
      </c>
      <c r="AP491">
        <v>2026</v>
      </c>
      <c r="AQ491">
        <v>4</v>
      </c>
      <c r="AR491" t="s">
        <v>2651</v>
      </c>
    </row>
    <row r="492" spans="1:44">
      <c r="A492" t="s">
        <v>1599</v>
      </c>
      <c r="B492" s="12">
        <v>46141</v>
      </c>
      <c r="C492" s="12">
        <v>46104</v>
      </c>
      <c r="D492" t="s">
        <v>1387</v>
      </c>
      <c r="E492" t="s">
        <v>281</v>
      </c>
      <c r="F492" t="s">
        <v>269</v>
      </c>
      <c r="G492" t="s">
        <v>363</v>
      </c>
      <c r="H492" t="s">
        <v>122</v>
      </c>
      <c r="I492" t="s">
        <v>316</v>
      </c>
      <c r="J492" s="13">
        <v>0.58333333333333337</v>
      </c>
      <c r="K492" s="13"/>
      <c r="L492" s="13"/>
      <c r="M492">
        <v>0</v>
      </c>
      <c r="N492" s="14">
        <v>80</v>
      </c>
      <c r="O492" t="s">
        <v>169</v>
      </c>
      <c r="Q492" t="s">
        <v>305</v>
      </c>
      <c r="R492" t="s">
        <v>1568</v>
      </c>
      <c r="S492">
        <v>0</v>
      </c>
      <c r="T492">
        <v>0</v>
      </c>
      <c r="U492" t="s">
        <v>2290</v>
      </c>
      <c r="V492" t="s">
        <v>2291</v>
      </c>
      <c r="W492" t="s">
        <v>2292</v>
      </c>
      <c r="X492" t="s">
        <v>2288</v>
      </c>
      <c r="Y492" t="s">
        <v>2293</v>
      </c>
      <c r="Z492" t="s">
        <v>2315</v>
      </c>
      <c r="AA492">
        <v>10</v>
      </c>
      <c r="AB492" s="14">
        <v>80</v>
      </c>
      <c r="AC492" t="s">
        <v>2316</v>
      </c>
      <c r="AD492" t="s">
        <v>2317</v>
      </c>
      <c r="AE492" t="s">
        <v>2643</v>
      </c>
      <c r="AF492">
        <v>37</v>
      </c>
      <c r="AG492">
        <v>0</v>
      </c>
      <c r="AJ492">
        <v>1</v>
      </c>
      <c r="AK492">
        <v>1</v>
      </c>
      <c r="AL492">
        <v>1</v>
      </c>
      <c r="AM492" s="14">
        <v>0</v>
      </c>
      <c r="AN492" t="s">
        <v>2644</v>
      </c>
      <c r="AO492" s="12">
        <v>46113</v>
      </c>
      <c r="AP492">
        <v>2026</v>
      </c>
      <c r="AQ492">
        <v>4</v>
      </c>
      <c r="AR492" t="s">
        <v>2651</v>
      </c>
    </row>
    <row r="493" spans="1:44">
      <c r="A493" t="s">
        <v>1600</v>
      </c>
      <c r="B493" s="12">
        <v>46142</v>
      </c>
      <c r="C493" s="12">
        <v>46130</v>
      </c>
      <c r="D493" t="s">
        <v>1209</v>
      </c>
      <c r="E493" t="s">
        <v>339</v>
      </c>
      <c r="F493" t="s">
        <v>269</v>
      </c>
      <c r="G493" t="s">
        <v>528</v>
      </c>
      <c r="H493" t="s">
        <v>115</v>
      </c>
      <c r="I493" t="s">
        <v>258</v>
      </c>
      <c r="J493" s="13">
        <v>0.5</v>
      </c>
      <c r="K493" s="13">
        <v>0.49652777777777779</v>
      </c>
      <c r="L493" s="13">
        <v>0.52361111111111114</v>
      </c>
      <c r="M493">
        <v>20</v>
      </c>
      <c r="N493" s="14">
        <v>80</v>
      </c>
      <c r="O493" t="s">
        <v>195</v>
      </c>
      <c r="P493">
        <v>5</v>
      </c>
      <c r="Q493" t="s">
        <v>318</v>
      </c>
      <c r="R493" t="s">
        <v>1568</v>
      </c>
      <c r="S493">
        <v>0</v>
      </c>
      <c r="T493">
        <v>0</v>
      </c>
      <c r="U493" t="s">
        <v>2294</v>
      </c>
      <c r="V493" t="s">
        <v>2295</v>
      </c>
      <c r="W493" t="s">
        <v>2296</v>
      </c>
      <c r="X493" t="s">
        <v>2297</v>
      </c>
      <c r="Y493" t="s">
        <v>2298</v>
      </c>
      <c r="Z493" t="s">
        <v>2315</v>
      </c>
      <c r="AA493">
        <v>10</v>
      </c>
      <c r="AB493" s="14">
        <v>80</v>
      </c>
      <c r="AC493" t="s">
        <v>2316</v>
      </c>
      <c r="AD493" t="s">
        <v>2317</v>
      </c>
      <c r="AE493" t="s">
        <v>2643</v>
      </c>
      <c r="AF493">
        <v>12</v>
      </c>
      <c r="AG493">
        <v>0</v>
      </c>
      <c r="AH493">
        <v>39</v>
      </c>
      <c r="AI493">
        <v>0</v>
      </c>
      <c r="AJ493">
        <v>1</v>
      </c>
      <c r="AK493">
        <v>0</v>
      </c>
      <c r="AL493">
        <v>1</v>
      </c>
      <c r="AM493" s="14">
        <v>0</v>
      </c>
      <c r="AN493" t="s">
        <v>2644</v>
      </c>
      <c r="AO493" s="12">
        <v>46113</v>
      </c>
      <c r="AP493">
        <v>2026</v>
      </c>
      <c r="AQ493">
        <v>4</v>
      </c>
      <c r="AR493" t="s">
        <v>2651</v>
      </c>
    </row>
    <row r="494" spans="1:44">
      <c r="A494" t="s">
        <v>1602</v>
      </c>
      <c r="B494" s="12">
        <v>46140</v>
      </c>
      <c r="C494" s="12">
        <v>46106</v>
      </c>
      <c r="D494" t="s">
        <v>970</v>
      </c>
      <c r="E494" t="s">
        <v>268</v>
      </c>
      <c r="F494" t="s">
        <v>282</v>
      </c>
      <c r="G494" t="s">
        <v>524</v>
      </c>
      <c r="H494" t="s">
        <v>115</v>
      </c>
      <c r="I494" t="s">
        <v>258</v>
      </c>
      <c r="J494" s="13">
        <v>0.58333333333333337</v>
      </c>
      <c r="K494" s="13">
        <v>0.59305555555555556</v>
      </c>
      <c r="L494" s="13">
        <v>0.59791666666666665</v>
      </c>
      <c r="M494">
        <v>30</v>
      </c>
      <c r="N494" s="14">
        <v>120</v>
      </c>
      <c r="O494" t="s">
        <v>195</v>
      </c>
      <c r="P494">
        <v>2</v>
      </c>
      <c r="Q494" t="s">
        <v>318</v>
      </c>
      <c r="R494" t="s">
        <v>1568</v>
      </c>
      <c r="S494">
        <v>0</v>
      </c>
      <c r="T494">
        <v>0</v>
      </c>
      <c r="U494" t="s">
        <v>2285</v>
      </c>
      <c r="V494" t="s">
        <v>2286</v>
      </c>
      <c r="W494" t="s">
        <v>2287</v>
      </c>
      <c r="X494" t="s">
        <v>2288</v>
      </c>
      <c r="Y494" t="s">
        <v>2289</v>
      </c>
      <c r="Z494" t="s">
        <v>2309</v>
      </c>
      <c r="AA494">
        <v>14</v>
      </c>
      <c r="AB494" s="14">
        <v>120</v>
      </c>
      <c r="AC494" t="s">
        <v>2310</v>
      </c>
      <c r="AD494" t="s">
        <v>2311</v>
      </c>
      <c r="AE494" t="s">
        <v>2643</v>
      </c>
      <c r="AF494">
        <v>34</v>
      </c>
      <c r="AG494">
        <v>0</v>
      </c>
      <c r="AH494">
        <v>7</v>
      </c>
      <c r="AI494">
        <v>1</v>
      </c>
      <c r="AJ494">
        <v>1</v>
      </c>
      <c r="AK494">
        <v>0</v>
      </c>
      <c r="AL494">
        <v>1</v>
      </c>
      <c r="AM494" s="14">
        <v>0</v>
      </c>
      <c r="AN494" t="s">
        <v>2644</v>
      </c>
      <c r="AO494" s="12">
        <v>46113</v>
      </c>
      <c r="AP494">
        <v>2026</v>
      </c>
      <c r="AQ494">
        <v>4</v>
      </c>
      <c r="AR494" t="s">
        <v>2651</v>
      </c>
    </row>
    <row r="495" spans="1:44">
      <c r="A495" t="s">
        <v>1603</v>
      </c>
      <c r="B495" s="12">
        <v>46116</v>
      </c>
      <c r="C495" s="12">
        <v>46103</v>
      </c>
      <c r="D495" t="s">
        <v>704</v>
      </c>
      <c r="E495" t="s">
        <v>281</v>
      </c>
      <c r="F495" t="s">
        <v>282</v>
      </c>
      <c r="G495" t="s">
        <v>446</v>
      </c>
      <c r="H495" t="s">
        <v>122</v>
      </c>
      <c r="I495" t="s">
        <v>299</v>
      </c>
      <c r="J495" s="13">
        <v>0.5625</v>
      </c>
      <c r="K495" s="13"/>
      <c r="L495" s="13"/>
      <c r="M495">
        <v>0</v>
      </c>
      <c r="N495" s="14">
        <v>120</v>
      </c>
      <c r="O495" t="s">
        <v>195</v>
      </c>
      <c r="Q495" t="s">
        <v>318</v>
      </c>
      <c r="R495" t="s">
        <v>1568</v>
      </c>
      <c r="S495">
        <v>0</v>
      </c>
      <c r="T495">
        <v>0</v>
      </c>
      <c r="U495" t="s">
        <v>2290</v>
      </c>
      <c r="V495" t="s">
        <v>2291</v>
      </c>
      <c r="W495" t="s">
        <v>2292</v>
      </c>
      <c r="X495" t="s">
        <v>2288</v>
      </c>
      <c r="Y495" t="s">
        <v>2293</v>
      </c>
      <c r="Z495" t="s">
        <v>2309</v>
      </c>
      <c r="AA495">
        <v>14</v>
      </c>
      <c r="AB495" s="14">
        <v>120</v>
      </c>
      <c r="AC495" t="s">
        <v>2310</v>
      </c>
      <c r="AD495" t="s">
        <v>2311</v>
      </c>
      <c r="AE495" t="s">
        <v>2643</v>
      </c>
      <c r="AF495">
        <v>13</v>
      </c>
      <c r="AG495">
        <v>1</v>
      </c>
      <c r="AJ495">
        <v>1</v>
      </c>
      <c r="AK495">
        <v>1</v>
      </c>
      <c r="AL495">
        <v>1</v>
      </c>
      <c r="AM495" s="14">
        <v>0</v>
      </c>
      <c r="AN495" t="s">
        <v>2644</v>
      </c>
      <c r="AO495" s="12">
        <v>46113</v>
      </c>
      <c r="AP495">
        <v>2026</v>
      </c>
      <c r="AQ495">
        <v>4</v>
      </c>
      <c r="AR495" t="s">
        <v>2651</v>
      </c>
    </row>
    <row r="496" spans="1:44">
      <c r="A496" t="s">
        <v>1605</v>
      </c>
      <c r="B496" s="12">
        <v>46125</v>
      </c>
      <c r="C496" s="12">
        <v>46120</v>
      </c>
      <c r="D496" t="s">
        <v>1130</v>
      </c>
      <c r="E496" t="s">
        <v>281</v>
      </c>
      <c r="F496" t="s">
        <v>269</v>
      </c>
      <c r="G496" t="s">
        <v>322</v>
      </c>
      <c r="H496" t="s">
        <v>115</v>
      </c>
      <c r="I496" t="s">
        <v>299</v>
      </c>
      <c r="J496" s="13">
        <v>0.45833333333333331</v>
      </c>
      <c r="K496" s="13">
        <v>0.46180555555555558</v>
      </c>
      <c r="L496" s="13">
        <v>0.47430555555555554</v>
      </c>
      <c r="M496">
        <v>20</v>
      </c>
      <c r="N496" s="14">
        <v>80</v>
      </c>
      <c r="O496" t="s">
        <v>169</v>
      </c>
      <c r="P496">
        <v>2</v>
      </c>
      <c r="Q496" t="s">
        <v>326</v>
      </c>
      <c r="R496" t="s">
        <v>1568</v>
      </c>
      <c r="S496">
        <v>0</v>
      </c>
      <c r="T496">
        <v>0</v>
      </c>
      <c r="U496" t="s">
        <v>2290</v>
      </c>
      <c r="V496" t="s">
        <v>2291</v>
      </c>
      <c r="W496" t="s">
        <v>2292</v>
      </c>
      <c r="X496" t="s">
        <v>2288</v>
      </c>
      <c r="Y496" t="s">
        <v>2293</v>
      </c>
      <c r="Z496" t="s">
        <v>2315</v>
      </c>
      <c r="AA496">
        <v>10</v>
      </c>
      <c r="AB496" s="14">
        <v>80</v>
      </c>
      <c r="AC496" t="s">
        <v>2316</v>
      </c>
      <c r="AD496" t="s">
        <v>2317</v>
      </c>
      <c r="AE496" t="s">
        <v>2643</v>
      </c>
      <c r="AF496">
        <v>5</v>
      </c>
      <c r="AG496">
        <v>1</v>
      </c>
      <c r="AH496">
        <v>18</v>
      </c>
      <c r="AI496">
        <v>1</v>
      </c>
      <c r="AJ496">
        <v>1</v>
      </c>
      <c r="AK496">
        <v>0</v>
      </c>
      <c r="AL496">
        <v>1</v>
      </c>
      <c r="AM496" s="14">
        <v>0</v>
      </c>
      <c r="AN496" t="s">
        <v>2644</v>
      </c>
      <c r="AO496" s="12">
        <v>46113</v>
      </c>
      <c r="AP496">
        <v>2026</v>
      </c>
      <c r="AQ496">
        <v>4</v>
      </c>
      <c r="AR496" t="s">
        <v>2651</v>
      </c>
    </row>
    <row r="497" spans="1:44">
      <c r="A497" t="s">
        <v>1607</v>
      </c>
      <c r="B497" s="12">
        <v>46115</v>
      </c>
      <c r="C497" s="12">
        <v>46074</v>
      </c>
      <c r="D497" t="s">
        <v>1299</v>
      </c>
      <c r="E497" t="s">
        <v>255</v>
      </c>
      <c r="F497" t="s">
        <v>409</v>
      </c>
      <c r="G497" t="s">
        <v>410</v>
      </c>
      <c r="H497" t="s">
        <v>115</v>
      </c>
      <c r="I497" t="s">
        <v>258</v>
      </c>
      <c r="J497" s="13">
        <v>0.64583333333333337</v>
      </c>
      <c r="K497" s="13">
        <v>0.64583333333333337</v>
      </c>
      <c r="L497" s="13">
        <v>0.67222222222222228</v>
      </c>
      <c r="M497">
        <v>30</v>
      </c>
      <c r="N497" s="14">
        <v>150</v>
      </c>
      <c r="O497" t="s">
        <v>195</v>
      </c>
      <c r="P497">
        <v>5</v>
      </c>
      <c r="Q497" t="s">
        <v>262</v>
      </c>
      <c r="R497" t="s">
        <v>1568</v>
      </c>
      <c r="S497">
        <v>0</v>
      </c>
      <c r="T497">
        <v>0</v>
      </c>
      <c r="U497" t="s">
        <v>2299</v>
      </c>
      <c r="V497" t="s">
        <v>2295</v>
      </c>
      <c r="W497" t="s">
        <v>2300</v>
      </c>
      <c r="X497" t="s">
        <v>2288</v>
      </c>
      <c r="Y497" t="s">
        <v>2301</v>
      </c>
      <c r="Z497" t="s">
        <v>2318</v>
      </c>
      <c r="AA497">
        <v>28</v>
      </c>
      <c r="AB497" s="14">
        <v>150</v>
      </c>
      <c r="AC497" t="s">
        <v>2319</v>
      </c>
      <c r="AD497" t="s">
        <v>2320</v>
      </c>
      <c r="AE497" t="s">
        <v>2643</v>
      </c>
      <c r="AF497">
        <v>41</v>
      </c>
      <c r="AG497">
        <v>0</v>
      </c>
      <c r="AH497">
        <v>38</v>
      </c>
      <c r="AI497">
        <v>0</v>
      </c>
      <c r="AJ497">
        <v>1</v>
      </c>
      <c r="AK497">
        <v>0</v>
      </c>
      <c r="AL497">
        <v>1</v>
      </c>
      <c r="AM497" s="14">
        <v>0</v>
      </c>
      <c r="AN497" t="s">
        <v>2644</v>
      </c>
      <c r="AO497" s="12">
        <v>46113</v>
      </c>
      <c r="AP497">
        <v>2026</v>
      </c>
      <c r="AQ497">
        <v>4</v>
      </c>
      <c r="AR497" t="s">
        <v>2651</v>
      </c>
    </row>
    <row r="498" spans="1:44">
      <c r="A498" t="s">
        <v>1608</v>
      </c>
      <c r="B498" s="12">
        <v>46124</v>
      </c>
      <c r="C498" s="12">
        <v>46103</v>
      </c>
      <c r="D498" t="s">
        <v>921</v>
      </c>
      <c r="E498" t="s">
        <v>339</v>
      </c>
      <c r="F498" t="s">
        <v>297</v>
      </c>
      <c r="G498" t="s">
        <v>780</v>
      </c>
      <c r="H498" t="s">
        <v>466</v>
      </c>
      <c r="I498" t="s">
        <v>316</v>
      </c>
      <c r="J498" s="13">
        <v>0.47916666666666669</v>
      </c>
      <c r="K498" s="13"/>
      <c r="L498" s="13"/>
      <c r="M498">
        <v>0</v>
      </c>
      <c r="N498" s="14">
        <v>65</v>
      </c>
      <c r="O498" t="s">
        <v>195</v>
      </c>
      <c r="Q498" t="s">
        <v>318</v>
      </c>
      <c r="R498" t="s">
        <v>1568</v>
      </c>
      <c r="S498">
        <v>0</v>
      </c>
      <c r="T498">
        <v>0</v>
      </c>
      <c r="U498" t="s">
        <v>2294</v>
      </c>
      <c r="V498" t="s">
        <v>2295</v>
      </c>
      <c r="W498" t="s">
        <v>2296</v>
      </c>
      <c r="X498" t="s">
        <v>2297</v>
      </c>
      <c r="Y498" t="s">
        <v>2298</v>
      </c>
      <c r="Z498" t="s">
        <v>2306</v>
      </c>
      <c r="AA498">
        <v>7</v>
      </c>
      <c r="AB498" s="14">
        <v>65</v>
      </c>
      <c r="AC498" t="s">
        <v>2307</v>
      </c>
      <c r="AD498" t="s">
        <v>2308</v>
      </c>
      <c r="AE498" t="s">
        <v>2643</v>
      </c>
      <c r="AF498">
        <v>21</v>
      </c>
      <c r="AG498">
        <v>0</v>
      </c>
      <c r="AJ498">
        <v>0</v>
      </c>
      <c r="AL498">
        <v>1</v>
      </c>
      <c r="AM498" s="14">
        <v>0</v>
      </c>
      <c r="AN498" t="s">
        <v>2644</v>
      </c>
      <c r="AO498" s="12">
        <v>46113</v>
      </c>
      <c r="AP498">
        <v>2026</v>
      </c>
      <c r="AQ498">
        <v>4</v>
      </c>
      <c r="AR498" t="s">
        <v>2651</v>
      </c>
    </row>
    <row r="499" spans="1:44">
      <c r="A499" t="s">
        <v>1610</v>
      </c>
      <c r="B499" s="12">
        <v>46129</v>
      </c>
      <c r="C499" s="12">
        <v>46090</v>
      </c>
      <c r="D499" t="s">
        <v>909</v>
      </c>
      <c r="E499" t="s">
        <v>281</v>
      </c>
      <c r="F499" t="s">
        <v>256</v>
      </c>
      <c r="G499" t="s">
        <v>429</v>
      </c>
      <c r="H499" t="s">
        <v>115</v>
      </c>
      <c r="I499" t="s">
        <v>316</v>
      </c>
      <c r="J499" s="13">
        <v>0.35416666666666669</v>
      </c>
      <c r="K499" s="13">
        <v>0.36527777777777776</v>
      </c>
      <c r="L499" s="13">
        <v>0.37013888888888891</v>
      </c>
      <c r="M499">
        <v>30</v>
      </c>
      <c r="N499" s="14">
        <v>95</v>
      </c>
      <c r="O499" t="s">
        <v>195</v>
      </c>
      <c r="P499">
        <v>4</v>
      </c>
      <c r="Q499" t="s">
        <v>285</v>
      </c>
      <c r="R499" t="s">
        <v>1568</v>
      </c>
      <c r="S499">
        <v>0</v>
      </c>
      <c r="T499">
        <v>0</v>
      </c>
      <c r="U499" t="s">
        <v>2290</v>
      </c>
      <c r="V499" t="s">
        <v>2291</v>
      </c>
      <c r="W499" t="s">
        <v>2292</v>
      </c>
      <c r="X499" t="s">
        <v>2288</v>
      </c>
      <c r="Y499" t="s">
        <v>2293</v>
      </c>
      <c r="Z499" t="s">
        <v>2312</v>
      </c>
      <c r="AA499">
        <v>21</v>
      </c>
      <c r="AB499" s="14">
        <v>95</v>
      </c>
      <c r="AC499" t="s">
        <v>2313</v>
      </c>
      <c r="AD499" t="s">
        <v>2314</v>
      </c>
      <c r="AE499" t="s">
        <v>2643</v>
      </c>
      <c r="AF499">
        <v>39</v>
      </c>
      <c r="AG499">
        <v>0</v>
      </c>
      <c r="AH499">
        <v>7</v>
      </c>
      <c r="AI499">
        <v>1</v>
      </c>
      <c r="AJ499">
        <v>1</v>
      </c>
      <c r="AK499">
        <v>0</v>
      </c>
      <c r="AL499">
        <v>1</v>
      </c>
      <c r="AM499" s="14">
        <v>0</v>
      </c>
      <c r="AN499" t="s">
        <v>2644</v>
      </c>
      <c r="AO499" s="12">
        <v>46113</v>
      </c>
      <c r="AP499">
        <v>2026</v>
      </c>
      <c r="AQ499">
        <v>4</v>
      </c>
      <c r="AR499" t="s">
        <v>2651</v>
      </c>
    </row>
    <row r="500" spans="1:44">
      <c r="A500" t="s">
        <v>1614</v>
      </c>
      <c r="B500" s="12">
        <v>46136</v>
      </c>
      <c r="C500" s="12">
        <v>46092</v>
      </c>
      <c r="D500" t="s">
        <v>1537</v>
      </c>
      <c r="E500" t="s">
        <v>281</v>
      </c>
      <c r="F500" t="s">
        <v>269</v>
      </c>
      <c r="G500" t="s">
        <v>322</v>
      </c>
      <c r="H500" t="s">
        <v>115</v>
      </c>
      <c r="I500" t="s">
        <v>258</v>
      </c>
      <c r="J500" s="13">
        <v>0.375</v>
      </c>
      <c r="K500" s="13">
        <v>0.375</v>
      </c>
      <c r="L500" s="13">
        <v>0.38611111111111113</v>
      </c>
      <c r="M500">
        <v>45</v>
      </c>
      <c r="N500" s="14">
        <v>80</v>
      </c>
      <c r="O500" t="s">
        <v>195</v>
      </c>
      <c r="P500">
        <v>5</v>
      </c>
      <c r="Q500" t="s">
        <v>262</v>
      </c>
      <c r="R500" t="s">
        <v>1568</v>
      </c>
      <c r="S500">
        <v>0</v>
      </c>
      <c r="T500">
        <v>0</v>
      </c>
      <c r="U500" t="s">
        <v>2290</v>
      </c>
      <c r="V500" t="s">
        <v>2291</v>
      </c>
      <c r="W500" t="s">
        <v>2292</v>
      </c>
      <c r="X500" t="s">
        <v>2288</v>
      </c>
      <c r="Y500" t="s">
        <v>2293</v>
      </c>
      <c r="Z500" t="s">
        <v>2315</v>
      </c>
      <c r="AA500">
        <v>10</v>
      </c>
      <c r="AB500" s="14">
        <v>80</v>
      </c>
      <c r="AC500" t="s">
        <v>2316</v>
      </c>
      <c r="AD500" t="s">
        <v>2317</v>
      </c>
      <c r="AE500" t="s">
        <v>2643</v>
      </c>
      <c r="AF500">
        <v>44</v>
      </c>
      <c r="AG500">
        <v>0</v>
      </c>
      <c r="AH500">
        <v>16</v>
      </c>
      <c r="AI500">
        <v>1</v>
      </c>
      <c r="AJ500">
        <v>1</v>
      </c>
      <c r="AK500">
        <v>0</v>
      </c>
      <c r="AL500">
        <v>1</v>
      </c>
      <c r="AM500" s="14">
        <v>0</v>
      </c>
      <c r="AN500" t="s">
        <v>2644</v>
      </c>
      <c r="AO500" s="12">
        <v>46113</v>
      </c>
      <c r="AP500">
        <v>2026</v>
      </c>
      <c r="AQ500">
        <v>4</v>
      </c>
      <c r="AR500" t="s">
        <v>2651</v>
      </c>
    </row>
    <row r="501" spans="1:44">
      <c r="A501" t="s">
        <v>1616</v>
      </c>
      <c r="B501" s="12">
        <v>46126</v>
      </c>
      <c r="C501" s="12">
        <v>46092</v>
      </c>
      <c r="D501" t="s">
        <v>1425</v>
      </c>
      <c r="E501" t="s">
        <v>268</v>
      </c>
      <c r="F501" t="s">
        <v>282</v>
      </c>
      <c r="G501" t="s">
        <v>524</v>
      </c>
      <c r="H501" t="s">
        <v>115</v>
      </c>
      <c r="I501" t="s">
        <v>271</v>
      </c>
      <c r="J501" s="13">
        <v>0.66666666666666663</v>
      </c>
      <c r="K501" s="13">
        <v>0.67500000000000004</v>
      </c>
      <c r="L501" s="13">
        <v>0.67708333333333337</v>
      </c>
      <c r="M501">
        <v>30</v>
      </c>
      <c r="N501" s="14">
        <v>120</v>
      </c>
      <c r="O501" t="s">
        <v>195</v>
      </c>
      <c r="P501">
        <v>2</v>
      </c>
      <c r="Q501" t="s">
        <v>326</v>
      </c>
      <c r="R501" t="s">
        <v>1568</v>
      </c>
      <c r="S501">
        <v>0</v>
      </c>
      <c r="T501">
        <v>0</v>
      </c>
      <c r="U501" t="s">
        <v>2285</v>
      </c>
      <c r="V501" t="s">
        <v>2286</v>
      </c>
      <c r="W501" t="s">
        <v>2287</v>
      </c>
      <c r="X501" t="s">
        <v>2288</v>
      </c>
      <c r="Y501" t="s">
        <v>2289</v>
      </c>
      <c r="Z501" t="s">
        <v>2309</v>
      </c>
      <c r="AA501">
        <v>14</v>
      </c>
      <c r="AB501" s="14">
        <v>120</v>
      </c>
      <c r="AC501" t="s">
        <v>2310</v>
      </c>
      <c r="AD501" t="s">
        <v>2311</v>
      </c>
      <c r="AE501" t="s">
        <v>2643</v>
      </c>
      <c r="AF501">
        <v>34</v>
      </c>
      <c r="AG501">
        <v>0</v>
      </c>
      <c r="AH501">
        <v>3</v>
      </c>
      <c r="AI501">
        <v>1</v>
      </c>
      <c r="AJ501">
        <v>1</v>
      </c>
      <c r="AK501">
        <v>0</v>
      </c>
      <c r="AL501">
        <v>1</v>
      </c>
      <c r="AM501" s="14">
        <v>0</v>
      </c>
      <c r="AN501" t="s">
        <v>2644</v>
      </c>
      <c r="AO501" s="12">
        <v>46113</v>
      </c>
      <c r="AP501">
        <v>2026</v>
      </c>
      <c r="AQ501">
        <v>4</v>
      </c>
      <c r="AR501" t="s">
        <v>2651</v>
      </c>
    </row>
    <row r="502" spans="1:44">
      <c r="A502" t="s">
        <v>1619</v>
      </c>
      <c r="B502" s="12">
        <v>46127</v>
      </c>
      <c r="C502" s="12">
        <v>46098</v>
      </c>
      <c r="D502" t="s">
        <v>951</v>
      </c>
      <c r="E502" t="s">
        <v>281</v>
      </c>
      <c r="F502" t="s">
        <v>269</v>
      </c>
      <c r="G502" t="s">
        <v>322</v>
      </c>
      <c r="H502" t="s">
        <v>466</v>
      </c>
      <c r="I502" t="s">
        <v>299</v>
      </c>
      <c r="J502" s="13">
        <v>0.33333333333333331</v>
      </c>
      <c r="K502" s="13"/>
      <c r="L502" s="13"/>
      <c r="M502">
        <v>0</v>
      </c>
      <c r="N502" s="14">
        <v>80</v>
      </c>
      <c r="O502" t="s">
        <v>195</v>
      </c>
      <c r="Q502" t="s">
        <v>305</v>
      </c>
      <c r="R502" t="s">
        <v>1568</v>
      </c>
      <c r="S502">
        <v>0</v>
      </c>
      <c r="T502">
        <v>0</v>
      </c>
      <c r="U502" t="s">
        <v>2290</v>
      </c>
      <c r="V502" t="s">
        <v>2291</v>
      </c>
      <c r="W502" t="s">
        <v>2292</v>
      </c>
      <c r="X502" t="s">
        <v>2288</v>
      </c>
      <c r="Y502" t="s">
        <v>2293</v>
      </c>
      <c r="Z502" t="s">
        <v>2315</v>
      </c>
      <c r="AA502">
        <v>10</v>
      </c>
      <c r="AB502" s="14">
        <v>80</v>
      </c>
      <c r="AC502" t="s">
        <v>2316</v>
      </c>
      <c r="AD502" t="s">
        <v>2317</v>
      </c>
      <c r="AE502" t="s">
        <v>2643</v>
      </c>
      <c r="AF502">
        <v>29</v>
      </c>
      <c r="AG502">
        <v>0</v>
      </c>
      <c r="AJ502">
        <v>0</v>
      </c>
      <c r="AL502">
        <v>1</v>
      </c>
      <c r="AM502" s="14">
        <v>0</v>
      </c>
      <c r="AN502" t="s">
        <v>2644</v>
      </c>
      <c r="AO502" s="12">
        <v>46113</v>
      </c>
      <c r="AP502">
        <v>2026</v>
      </c>
      <c r="AQ502">
        <v>4</v>
      </c>
      <c r="AR502" t="s">
        <v>2651</v>
      </c>
    </row>
    <row r="503" spans="1:44">
      <c r="A503" t="s">
        <v>1621</v>
      </c>
      <c r="B503" s="12">
        <v>46124</v>
      </c>
      <c r="C503" s="12">
        <v>46113</v>
      </c>
      <c r="D503" t="s">
        <v>795</v>
      </c>
      <c r="E503" t="s">
        <v>255</v>
      </c>
      <c r="F503" t="s">
        <v>282</v>
      </c>
      <c r="G503" t="s">
        <v>290</v>
      </c>
      <c r="H503" t="s">
        <v>115</v>
      </c>
      <c r="I503" t="s">
        <v>299</v>
      </c>
      <c r="J503" s="13">
        <v>0.5625</v>
      </c>
      <c r="K503" s="13">
        <v>0.56319444444444444</v>
      </c>
      <c r="L503" s="13">
        <v>0.56736111111111109</v>
      </c>
      <c r="M503">
        <v>30</v>
      </c>
      <c r="N503" s="14">
        <v>120</v>
      </c>
      <c r="O503" t="s">
        <v>195</v>
      </c>
      <c r="P503">
        <v>5</v>
      </c>
      <c r="Q503" t="s">
        <v>285</v>
      </c>
      <c r="R503" t="s">
        <v>1568</v>
      </c>
      <c r="S503">
        <v>0</v>
      </c>
      <c r="T503">
        <v>0</v>
      </c>
      <c r="U503" t="s">
        <v>2299</v>
      </c>
      <c r="V503" t="s">
        <v>2295</v>
      </c>
      <c r="W503" t="s">
        <v>2300</v>
      </c>
      <c r="X503" t="s">
        <v>2288</v>
      </c>
      <c r="Y503" t="s">
        <v>2301</v>
      </c>
      <c r="Z503" t="s">
        <v>2309</v>
      </c>
      <c r="AA503">
        <v>14</v>
      </c>
      <c r="AB503" s="14">
        <v>120</v>
      </c>
      <c r="AC503" t="s">
        <v>2310</v>
      </c>
      <c r="AD503" t="s">
        <v>2311</v>
      </c>
      <c r="AE503" t="s">
        <v>2643</v>
      </c>
      <c r="AF503">
        <v>11</v>
      </c>
      <c r="AG503">
        <v>1</v>
      </c>
      <c r="AH503">
        <v>6</v>
      </c>
      <c r="AI503">
        <v>1</v>
      </c>
      <c r="AJ503">
        <v>1</v>
      </c>
      <c r="AK503">
        <v>0</v>
      </c>
      <c r="AL503">
        <v>1</v>
      </c>
      <c r="AM503" s="14">
        <v>0</v>
      </c>
      <c r="AN503" t="s">
        <v>2644</v>
      </c>
      <c r="AO503" s="12">
        <v>46113</v>
      </c>
      <c r="AP503">
        <v>2026</v>
      </c>
      <c r="AQ503">
        <v>4</v>
      </c>
      <c r="AR503" t="s">
        <v>2651</v>
      </c>
    </row>
    <row r="504" spans="1:44">
      <c r="A504" t="s">
        <v>1623</v>
      </c>
      <c r="B504" s="12">
        <v>46136</v>
      </c>
      <c r="C504" s="12">
        <v>46127</v>
      </c>
      <c r="D504" t="s">
        <v>315</v>
      </c>
      <c r="E504" t="s">
        <v>268</v>
      </c>
      <c r="F504" t="s">
        <v>282</v>
      </c>
      <c r="G504" t="s">
        <v>524</v>
      </c>
      <c r="H504" t="s">
        <v>115</v>
      </c>
      <c r="I504" t="s">
        <v>271</v>
      </c>
      <c r="J504" s="13">
        <v>0.45833333333333331</v>
      </c>
      <c r="K504" s="13">
        <v>0.46041666666666664</v>
      </c>
      <c r="L504" s="13">
        <v>0.48541666666666666</v>
      </c>
      <c r="M504">
        <v>45</v>
      </c>
      <c r="N504" s="14">
        <v>120</v>
      </c>
      <c r="O504" t="s">
        <v>195</v>
      </c>
      <c r="P504">
        <v>4</v>
      </c>
      <c r="Q504" t="s">
        <v>285</v>
      </c>
      <c r="R504" t="s">
        <v>1568</v>
      </c>
      <c r="S504">
        <v>0</v>
      </c>
      <c r="T504">
        <v>0</v>
      </c>
      <c r="U504" t="s">
        <v>2285</v>
      </c>
      <c r="V504" t="s">
        <v>2286</v>
      </c>
      <c r="W504" t="s">
        <v>2287</v>
      </c>
      <c r="X504" t="s">
        <v>2288</v>
      </c>
      <c r="Y504" t="s">
        <v>2289</v>
      </c>
      <c r="Z504" t="s">
        <v>2309</v>
      </c>
      <c r="AA504">
        <v>14</v>
      </c>
      <c r="AB504" s="14">
        <v>120</v>
      </c>
      <c r="AC504" t="s">
        <v>2310</v>
      </c>
      <c r="AD504" t="s">
        <v>2311</v>
      </c>
      <c r="AE504" t="s">
        <v>2643</v>
      </c>
      <c r="AF504">
        <v>9</v>
      </c>
      <c r="AG504">
        <v>1</v>
      </c>
      <c r="AH504">
        <v>36</v>
      </c>
      <c r="AI504">
        <v>0</v>
      </c>
      <c r="AJ504">
        <v>1</v>
      </c>
      <c r="AK504">
        <v>0</v>
      </c>
      <c r="AL504">
        <v>1</v>
      </c>
      <c r="AM504" s="14">
        <v>0</v>
      </c>
      <c r="AN504" t="s">
        <v>2644</v>
      </c>
      <c r="AO504" s="12">
        <v>46113</v>
      </c>
      <c r="AP504">
        <v>2026</v>
      </c>
      <c r="AQ504">
        <v>4</v>
      </c>
      <c r="AR504" t="s">
        <v>2651</v>
      </c>
    </row>
    <row r="505" spans="1:44">
      <c r="A505" t="s">
        <v>1624</v>
      </c>
      <c r="B505" s="12">
        <v>46117</v>
      </c>
      <c r="C505" s="12">
        <v>46080</v>
      </c>
      <c r="D505" t="s">
        <v>500</v>
      </c>
      <c r="E505" t="s">
        <v>281</v>
      </c>
      <c r="F505" t="s">
        <v>297</v>
      </c>
      <c r="G505" t="s">
        <v>368</v>
      </c>
      <c r="H505" t="s">
        <v>122</v>
      </c>
      <c r="I505" t="s">
        <v>271</v>
      </c>
      <c r="J505" s="13">
        <v>0.54166666666666663</v>
      </c>
      <c r="K505" s="13"/>
      <c r="L505" s="13"/>
      <c r="M505">
        <v>0</v>
      </c>
      <c r="N505" s="14">
        <v>65</v>
      </c>
      <c r="O505" t="s">
        <v>195</v>
      </c>
      <c r="Q505" t="s">
        <v>318</v>
      </c>
      <c r="R505" t="s">
        <v>1568</v>
      </c>
      <c r="S505">
        <v>0</v>
      </c>
      <c r="T505">
        <v>0</v>
      </c>
      <c r="U505" t="s">
        <v>2290</v>
      </c>
      <c r="V505" t="s">
        <v>2291</v>
      </c>
      <c r="W505" t="s">
        <v>2292</v>
      </c>
      <c r="X505" t="s">
        <v>2288</v>
      </c>
      <c r="Y505" t="s">
        <v>2293</v>
      </c>
      <c r="Z505" t="s">
        <v>2306</v>
      </c>
      <c r="AA505">
        <v>7</v>
      </c>
      <c r="AB505" s="14">
        <v>65</v>
      </c>
      <c r="AC505" t="s">
        <v>2307</v>
      </c>
      <c r="AD505" t="s">
        <v>2308</v>
      </c>
      <c r="AE505" t="s">
        <v>2643</v>
      </c>
      <c r="AF505">
        <v>37</v>
      </c>
      <c r="AG505">
        <v>0</v>
      </c>
      <c r="AJ505">
        <v>1</v>
      </c>
      <c r="AK505">
        <v>1</v>
      </c>
      <c r="AL505">
        <v>1</v>
      </c>
      <c r="AM505" s="14">
        <v>0</v>
      </c>
      <c r="AN505" t="s">
        <v>2644</v>
      </c>
      <c r="AO505" s="12">
        <v>46113</v>
      </c>
      <c r="AP505">
        <v>2026</v>
      </c>
      <c r="AQ505">
        <v>4</v>
      </c>
      <c r="AR505" t="s">
        <v>2651</v>
      </c>
    </row>
    <row r="506" spans="1:44">
      <c r="A506" t="s">
        <v>1626</v>
      </c>
      <c r="B506" s="12">
        <v>46134</v>
      </c>
      <c r="C506" s="12">
        <v>46079</v>
      </c>
      <c r="D506" t="s">
        <v>1065</v>
      </c>
      <c r="E506" t="s">
        <v>339</v>
      </c>
      <c r="F506" t="s">
        <v>282</v>
      </c>
      <c r="G506" t="s">
        <v>564</v>
      </c>
      <c r="H506" t="s">
        <v>115</v>
      </c>
      <c r="I506" t="s">
        <v>258</v>
      </c>
      <c r="J506" s="13">
        <v>0.625</v>
      </c>
      <c r="K506" s="13">
        <v>0.6333333333333333</v>
      </c>
      <c r="L506" s="13">
        <v>0.64027777777777772</v>
      </c>
      <c r="M506">
        <v>45</v>
      </c>
      <c r="N506" s="14">
        <v>120</v>
      </c>
      <c r="O506" t="s">
        <v>169</v>
      </c>
      <c r="P506">
        <v>4</v>
      </c>
      <c r="Q506" t="s">
        <v>305</v>
      </c>
      <c r="R506" t="s">
        <v>1568</v>
      </c>
      <c r="S506">
        <v>0</v>
      </c>
      <c r="T506">
        <v>0</v>
      </c>
      <c r="U506" t="s">
        <v>2294</v>
      </c>
      <c r="V506" t="s">
        <v>2295</v>
      </c>
      <c r="W506" t="s">
        <v>2296</v>
      </c>
      <c r="X506" t="s">
        <v>2297</v>
      </c>
      <c r="Y506" t="s">
        <v>2298</v>
      </c>
      <c r="Z506" t="s">
        <v>2309</v>
      </c>
      <c r="AA506">
        <v>14</v>
      </c>
      <c r="AB506" s="14">
        <v>120</v>
      </c>
      <c r="AC506" t="s">
        <v>2310</v>
      </c>
      <c r="AD506" t="s">
        <v>2311</v>
      </c>
      <c r="AE506" t="s">
        <v>2643</v>
      </c>
      <c r="AF506">
        <v>55</v>
      </c>
      <c r="AG506">
        <v>0</v>
      </c>
      <c r="AH506">
        <v>10</v>
      </c>
      <c r="AI506">
        <v>1</v>
      </c>
      <c r="AJ506">
        <v>1</v>
      </c>
      <c r="AK506">
        <v>0</v>
      </c>
      <c r="AL506">
        <v>1</v>
      </c>
      <c r="AM506" s="14">
        <v>0</v>
      </c>
      <c r="AN506" t="s">
        <v>2644</v>
      </c>
      <c r="AO506" s="12">
        <v>46113</v>
      </c>
      <c r="AP506">
        <v>2026</v>
      </c>
      <c r="AQ506">
        <v>4</v>
      </c>
      <c r="AR506" t="s">
        <v>2651</v>
      </c>
    </row>
    <row r="507" spans="1:44">
      <c r="A507" t="s">
        <v>1629</v>
      </c>
      <c r="B507" s="12">
        <v>46126</v>
      </c>
      <c r="C507" s="12">
        <v>46115</v>
      </c>
      <c r="D507" t="s">
        <v>1206</v>
      </c>
      <c r="E507" t="s">
        <v>339</v>
      </c>
      <c r="F507" t="s">
        <v>256</v>
      </c>
      <c r="G507" t="s">
        <v>403</v>
      </c>
      <c r="H507" t="s">
        <v>115</v>
      </c>
      <c r="I507" t="s">
        <v>299</v>
      </c>
      <c r="J507" s="13">
        <v>0.41666666666666669</v>
      </c>
      <c r="K507" s="13">
        <v>0.41041666666666665</v>
      </c>
      <c r="L507" s="13">
        <v>0.42499999999999999</v>
      </c>
      <c r="M507">
        <v>60</v>
      </c>
      <c r="N507" s="14">
        <v>95</v>
      </c>
      <c r="O507" t="s">
        <v>195</v>
      </c>
      <c r="P507">
        <v>4</v>
      </c>
      <c r="Q507" t="s">
        <v>326</v>
      </c>
      <c r="R507" t="s">
        <v>1568</v>
      </c>
      <c r="S507">
        <v>0</v>
      </c>
      <c r="T507">
        <v>0</v>
      </c>
      <c r="U507" t="s">
        <v>2294</v>
      </c>
      <c r="V507" t="s">
        <v>2295</v>
      </c>
      <c r="W507" t="s">
        <v>2296</v>
      </c>
      <c r="X507" t="s">
        <v>2297</v>
      </c>
      <c r="Y507" t="s">
        <v>2298</v>
      </c>
      <c r="Z507" t="s">
        <v>2312</v>
      </c>
      <c r="AA507">
        <v>21</v>
      </c>
      <c r="AB507" s="14">
        <v>95</v>
      </c>
      <c r="AC507" t="s">
        <v>2313</v>
      </c>
      <c r="AD507" t="s">
        <v>2314</v>
      </c>
      <c r="AE507" t="s">
        <v>2643</v>
      </c>
      <c r="AF507">
        <v>11</v>
      </c>
      <c r="AG507">
        <v>1</v>
      </c>
      <c r="AH507">
        <v>21</v>
      </c>
      <c r="AI507">
        <v>1</v>
      </c>
      <c r="AJ507">
        <v>1</v>
      </c>
      <c r="AK507">
        <v>0</v>
      </c>
      <c r="AL507">
        <v>1</v>
      </c>
      <c r="AM507" s="14">
        <v>0</v>
      </c>
      <c r="AN507" t="s">
        <v>2644</v>
      </c>
      <c r="AO507" s="12">
        <v>46113</v>
      </c>
      <c r="AP507">
        <v>2026</v>
      </c>
      <c r="AQ507">
        <v>4</v>
      </c>
      <c r="AR507" t="s">
        <v>2651</v>
      </c>
    </row>
    <row r="508" spans="1:44">
      <c r="A508" t="s">
        <v>1630</v>
      </c>
      <c r="B508" s="12">
        <v>46134</v>
      </c>
      <c r="C508" s="12">
        <v>46086</v>
      </c>
      <c r="D508" t="s">
        <v>921</v>
      </c>
      <c r="E508" t="s">
        <v>268</v>
      </c>
      <c r="F508" t="s">
        <v>256</v>
      </c>
      <c r="G508" t="s">
        <v>419</v>
      </c>
      <c r="H508" t="s">
        <v>122</v>
      </c>
      <c r="I508" t="s">
        <v>316</v>
      </c>
      <c r="J508" s="13">
        <v>0.54166666666666663</v>
      </c>
      <c r="K508" s="13"/>
      <c r="L508" s="13"/>
      <c r="M508">
        <v>0</v>
      </c>
      <c r="N508" s="14">
        <v>95</v>
      </c>
      <c r="O508" t="s">
        <v>195</v>
      </c>
      <c r="Q508" t="s">
        <v>285</v>
      </c>
      <c r="R508" t="s">
        <v>1568</v>
      </c>
      <c r="S508">
        <v>0</v>
      </c>
      <c r="T508">
        <v>0</v>
      </c>
      <c r="U508" t="s">
        <v>2285</v>
      </c>
      <c r="V508" t="s">
        <v>2286</v>
      </c>
      <c r="W508" t="s">
        <v>2287</v>
      </c>
      <c r="X508" t="s">
        <v>2288</v>
      </c>
      <c r="Y508" t="s">
        <v>2289</v>
      </c>
      <c r="Z508" t="s">
        <v>2312</v>
      </c>
      <c r="AA508">
        <v>21</v>
      </c>
      <c r="AB508" s="14">
        <v>95</v>
      </c>
      <c r="AC508" t="s">
        <v>2313</v>
      </c>
      <c r="AD508" t="s">
        <v>2314</v>
      </c>
      <c r="AE508" t="s">
        <v>2643</v>
      </c>
      <c r="AF508">
        <v>48</v>
      </c>
      <c r="AG508">
        <v>0</v>
      </c>
      <c r="AJ508">
        <v>1</v>
      </c>
      <c r="AK508">
        <v>1</v>
      </c>
      <c r="AL508">
        <v>1</v>
      </c>
      <c r="AM508" s="14">
        <v>0</v>
      </c>
      <c r="AN508" t="s">
        <v>2644</v>
      </c>
      <c r="AO508" s="12">
        <v>46113</v>
      </c>
      <c r="AP508">
        <v>2026</v>
      </c>
      <c r="AQ508">
        <v>4</v>
      </c>
      <c r="AR508" t="s">
        <v>2651</v>
      </c>
    </row>
    <row r="509" spans="1:44">
      <c r="A509" t="s">
        <v>1631</v>
      </c>
      <c r="B509" s="12">
        <v>46123</v>
      </c>
      <c r="C509" s="12">
        <v>46068</v>
      </c>
      <c r="D509" t="s">
        <v>1189</v>
      </c>
      <c r="E509" t="s">
        <v>268</v>
      </c>
      <c r="F509" t="s">
        <v>256</v>
      </c>
      <c r="G509" t="s">
        <v>886</v>
      </c>
      <c r="H509" t="s">
        <v>466</v>
      </c>
      <c r="I509" t="s">
        <v>316</v>
      </c>
      <c r="J509" s="13">
        <v>0.47916666666666669</v>
      </c>
      <c r="K509" s="13">
        <v>0.47291666666666665</v>
      </c>
      <c r="L509" s="13">
        <v>0.49444444444444446</v>
      </c>
      <c r="M509">
        <v>60</v>
      </c>
      <c r="N509" s="14">
        <v>95</v>
      </c>
      <c r="O509" t="s">
        <v>169</v>
      </c>
      <c r="P509">
        <v>4</v>
      </c>
      <c r="Q509" t="s">
        <v>326</v>
      </c>
      <c r="R509" t="s">
        <v>1568</v>
      </c>
      <c r="S509">
        <v>0</v>
      </c>
      <c r="T509">
        <v>0</v>
      </c>
      <c r="U509" t="s">
        <v>2285</v>
      </c>
      <c r="V509" t="s">
        <v>2286</v>
      </c>
      <c r="W509" t="s">
        <v>2287</v>
      </c>
      <c r="X509" t="s">
        <v>2288</v>
      </c>
      <c r="Y509" t="s">
        <v>2289</v>
      </c>
      <c r="Z509" t="s">
        <v>2312</v>
      </c>
      <c r="AA509">
        <v>21</v>
      </c>
      <c r="AB509" s="14">
        <v>95</v>
      </c>
      <c r="AC509" t="s">
        <v>2313</v>
      </c>
      <c r="AD509" t="s">
        <v>2314</v>
      </c>
      <c r="AE509" t="s">
        <v>2643</v>
      </c>
      <c r="AF509">
        <v>55</v>
      </c>
      <c r="AG509">
        <v>0</v>
      </c>
      <c r="AJ509">
        <v>0</v>
      </c>
      <c r="AL509">
        <v>1</v>
      </c>
      <c r="AM509" s="14">
        <v>0</v>
      </c>
      <c r="AN509" t="s">
        <v>2644</v>
      </c>
      <c r="AO509" s="12">
        <v>46113</v>
      </c>
      <c r="AP509">
        <v>2026</v>
      </c>
      <c r="AQ509">
        <v>4</v>
      </c>
      <c r="AR509" t="s">
        <v>2651</v>
      </c>
    </row>
    <row r="510" spans="1:44">
      <c r="A510" t="s">
        <v>1634</v>
      </c>
      <c r="B510" s="12">
        <v>46138</v>
      </c>
      <c r="C510" s="12">
        <v>46090</v>
      </c>
      <c r="D510" t="s">
        <v>691</v>
      </c>
      <c r="E510" t="s">
        <v>268</v>
      </c>
      <c r="F510" t="s">
        <v>409</v>
      </c>
      <c r="G510" t="s">
        <v>552</v>
      </c>
      <c r="H510" t="s">
        <v>122</v>
      </c>
      <c r="I510" t="s">
        <v>316</v>
      </c>
      <c r="J510" s="13">
        <v>0.625</v>
      </c>
      <c r="K510" s="13"/>
      <c r="L510" s="13"/>
      <c r="M510">
        <v>0</v>
      </c>
      <c r="N510" s="14">
        <v>150</v>
      </c>
      <c r="O510" t="s">
        <v>195</v>
      </c>
      <c r="Q510" t="s">
        <v>262</v>
      </c>
      <c r="R510" t="s">
        <v>1568</v>
      </c>
      <c r="S510">
        <v>0</v>
      </c>
      <c r="T510">
        <v>0</v>
      </c>
      <c r="U510" t="s">
        <v>2285</v>
      </c>
      <c r="V510" t="s">
        <v>2286</v>
      </c>
      <c r="W510" t="s">
        <v>2287</v>
      </c>
      <c r="X510" t="s">
        <v>2288</v>
      </c>
      <c r="Y510" t="s">
        <v>2289</v>
      </c>
      <c r="Z510" t="s">
        <v>2318</v>
      </c>
      <c r="AA510">
        <v>28</v>
      </c>
      <c r="AB510" s="14">
        <v>150</v>
      </c>
      <c r="AC510" t="s">
        <v>2319</v>
      </c>
      <c r="AD510" t="s">
        <v>2320</v>
      </c>
      <c r="AE510" t="s">
        <v>2643</v>
      </c>
      <c r="AF510">
        <v>48</v>
      </c>
      <c r="AG510">
        <v>0</v>
      </c>
      <c r="AJ510">
        <v>1</v>
      </c>
      <c r="AK510">
        <v>1</v>
      </c>
      <c r="AL510">
        <v>1</v>
      </c>
      <c r="AM510" s="14">
        <v>0</v>
      </c>
      <c r="AN510" t="s">
        <v>2644</v>
      </c>
      <c r="AO510" s="12">
        <v>46113</v>
      </c>
      <c r="AP510">
        <v>2026</v>
      </c>
      <c r="AQ510">
        <v>4</v>
      </c>
      <c r="AR510" t="s">
        <v>2651</v>
      </c>
    </row>
    <row r="511" spans="1:44">
      <c r="A511" t="s">
        <v>1635</v>
      </c>
      <c r="B511" s="12">
        <v>46120</v>
      </c>
      <c r="C511" s="12">
        <v>46108</v>
      </c>
      <c r="D511" t="s">
        <v>877</v>
      </c>
      <c r="E511" t="s">
        <v>268</v>
      </c>
      <c r="F511" t="s">
        <v>297</v>
      </c>
      <c r="G511" t="s">
        <v>583</v>
      </c>
      <c r="H511" t="s">
        <v>115</v>
      </c>
      <c r="I511" t="s">
        <v>316</v>
      </c>
      <c r="J511" s="13">
        <v>0.375</v>
      </c>
      <c r="K511" s="13">
        <v>0.37222222222222223</v>
      </c>
      <c r="L511" s="13">
        <v>0.38541666666666669</v>
      </c>
      <c r="M511">
        <v>20</v>
      </c>
      <c r="N511" s="14">
        <v>65</v>
      </c>
      <c r="O511" t="s">
        <v>169</v>
      </c>
      <c r="P511">
        <v>5</v>
      </c>
      <c r="Q511" t="s">
        <v>318</v>
      </c>
      <c r="R511" t="s">
        <v>1568</v>
      </c>
      <c r="S511">
        <v>0</v>
      </c>
      <c r="T511">
        <v>0</v>
      </c>
      <c r="U511" t="s">
        <v>2285</v>
      </c>
      <c r="V511" t="s">
        <v>2286</v>
      </c>
      <c r="W511" t="s">
        <v>2287</v>
      </c>
      <c r="X511" t="s">
        <v>2288</v>
      </c>
      <c r="Y511" t="s">
        <v>2289</v>
      </c>
      <c r="Z511" t="s">
        <v>2306</v>
      </c>
      <c r="AA511">
        <v>7</v>
      </c>
      <c r="AB511" s="14">
        <v>65</v>
      </c>
      <c r="AC511" t="s">
        <v>2307</v>
      </c>
      <c r="AD511" t="s">
        <v>2308</v>
      </c>
      <c r="AE511" t="s">
        <v>2643</v>
      </c>
      <c r="AF511">
        <v>12</v>
      </c>
      <c r="AG511">
        <v>0</v>
      </c>
      <c r="AH511">
        <v>19</v>
      </c>
      <c r="AI511">
        <v>1</v>
      </c>
      <c r="AJ511">
        <v>1</v>
      </c>
      <c r="AK511">
        <v>0</v>
      </c>
      <c r="AL511">
        <v>1</v>
      </c>
      <c r="AM511" s="14">
        <v>0</v>
      </c>
      <c r="AN511" t="s">
        <v>2644</v>
      </c>
      <c r="AO511" s="12">
        <v>46113</v>
      </c>
      <c r="AP511">
        <v>2026</v>
      </c>
      <c r="AQ511">
        <v>4</v>
      </c>
      <c r="AR511" t="s">
        <v>2651</v>
      </c>
    </row>
    <row r="512" spans="1:44">
      <c r="A512" t="s">
        <v>1636</v>
      </c>
      <c r="B512" s="12">
        <v>46129</v>
      </c>
      <c r="C512" s="12">
        <v>46090</v>
      </c>
      <c r="D512" t="s">
        <v>704</v>
      </c>
      <c r="E512" t="s">
        <v>339</v>
      </c>
      <c r="F512" t="s">
        <v>282</v>
      </c>
      <c r="G512" t="s">
        <v>461</v>
      </c>
      <c r="H512" t="s">
        <v>115</v>
      </c>
      <c r="I512" t="s">
        <v>316</v>
      </c>
      <c r="J512" s="13">
        <v>0.60416666666666663</v>
      </c>
      <c r="K512" s="13">
        <v>0.59791666666666665</v>
      </c>
      <c r="L512" s="13">
        <v>0.60624999999999996</v>
      </c>
      <c r="M512">
        <v>20</v>
      </c>
      <c r="N512" s="14">
        <v>120</v>
      </c>
      <c r="O512" t="s">
        <v>195</v>
      </c>
      <c r="P512">
        <v>5</v>
      </c>
      <c r="Q512" t="s">
        <v>326</v>
      </c>
      <c r="R512" t="s">
        <v>1568</v>
      </c>
      <c r="S512">
        <v>0</v>
      </c>
      <c r="T512">
        <v>0</v>
      </c>
      <c r="U512" t="s">
        <v>2294</v>
      </c>
      <c r="V512" t="s">
        <v>2295</v>
      </c>
      <c r="W512" t="s">
        <v>2296</v>
      </c>
      <c r="X512" t="s">
        <v>2297</v>
      </c>
      <c r="Y512" t="s">
        <v>2298</v>
      </c>
      <c r="Z512" t="s">
        <v>2309</v>
      </c>
      <c r="AA512">
        <v>14</v>
      </c>
      <c r="AB512" s="14">
        <v>120</v>
      </c>
      <c r="AC512" t="s">
        <v>2310</v>
      </c>
      <c r="AD512" t="s">
        <v>2311</v>
      </c>
      <c r="AE512" t="s">
        <v>2643</v>
      </c>
      <c r="AF512">
        <v>39</v>
      </c>
      <c r="AG512">
        <v>0</v>
      </c>
      <c r="AH512">
        <v>12</v>
      </c>
      <c r="AI512">
        <v>1</v>
      </c>
      <c r="AJ512">
        <v>1</v>
      </c>
      <c r="AK512">
        <v>0</v>
      </c>
      <c r="AL512">
        <v>1</v>
      </c>
      <c r="AM512" s="14">
        <v>0</v>
      </c>
      <c r="AN512" t="s">
        <v>2644</v>
      </c>
      <c r="AO512" s="12">
        <v>46113</v>
      </c>
      <c r="AP512">
        <v>2026</v>
      </c>
      <c r="AQ512">
        <v>4</v>
      </c>
      <c r="AR512" t="s">
        <v>2651</v>
      </c>
    </row>
    <row r="513" spans="1:44">
      <c r="A513" t="s">
        <v>1638</v>
      </c>
      <c r="B513" s="12">
        <v>46127</v>
      </c>
      <c r="C513" s="12">
        <v>46114</v>
      </c>
      <c r="D513" t="s">
        <v>414</v>
      </c>
      <c r="E513" t="s">
        <v>268</v>
      </c>
      <c r="F513" t="s">
        <v>269</v>
      </c>
      <c r="G513" t="s">
        <v>270</v>
      </c>
      <c r="H513" t="s">
        <v>115</v>
      </c>
      <c r="I513" t="s">
        <v>258</v>
      </c>
      <c r="J513" s="13">
        <v>0.625</v>
      </c>
      <c r="K513" s="13">
        <v>0.63402777777777775</v>
      </c>
      <c r="L513" s="13">
        <v>0.64444444444444449</v>
      </c>
      <c r="M513">
        <v>20</v>
      </c>
      <c r="N513" s="14">
        <v>80</v>
      </c>
      <c r="O513" t="s">
        <v>169</v>
      </c>
      <c r="P513">
        <v>2</v>
      </c>
      <c r="Q513" t="s">
        <v>285</v>
      </c>
      <c r="R513" t="s">
        <v>1568</v>
      </c>
      <c r="S513">
        <v>0</v>
      </c>
      <c r="T513">
        <v>0</v>
      </c>
      <c r="U513" t="s">
        <v>2285</v>
      </c>
      <c r="V513" t="s">
        <v>2286</v>
      </c>
      <c r="W513" t="s">
        <v>2287</v>
      </c>
      <c r="X513" t="s">
        <v>2288</v>
      </c>
      <c r="Y513" t="s">
        <v>2289</v>
      </c>
      <c r="Z513" t="s">
        <v>2315</v>
      </c>
      <c r="AA513">
        <v>10</v>
      </c>
      <c r="AB513" s="14">
        <v>80</v>
      </c>
      <c r="AC513" t="s">
        <v>2316</v>
      </c>
      <c r="AD513" t="s">
        <v>2317</v>
      </c>
      <c r="AE513" t="s">
        <v>2643</v>
      </c>
      <c r="AF513">
        <v>13</v>
      </c>
      <c r="AG513">
        <v>0</v>
      </c>
      <c r="AH513">
        <v>15</v>
      </c>
      <c r="AI513">
        <v>1</v>
      </c>
      <c r="AJ513">
        <v>1</v>
      </c>
      <c r="AK513">
        <v>0</v>
      </c>
      <c r="AL513">
        <v>1</v>
      </c>
      <c r="AM513" s="14">
        <v>0</v>
      </c>
      <c r="AN513" t="s">
        <v>2644</v>
      </c>
      <c r="AO513" s="12">
        <v>46113</v>
      </c>
      <c r="AP513">
        <v>2026</v>
      </c>
      <c r="AQ513">
        <v>4</v>
      </c>
      <c r="AR513" t="s">
        <v>2651</v>
      </c>
    </row>
    <row r="514" spans="1:44">
      <c r="A514" t="s">
        <v>1639</v>
      </c>
      <c r="B514" s="12">
        <v>46122</v>
      </c>
      <c r="C514" s="12">
        <v>46121</v>
      </c>
      <c r="D514" t="s">
        <v>594</v>
      </c>
      <c r="E514" t="s">
        <v>268</v>
      </c>
      <c r="F514" t="s">
        <v>256</v>
      </c>
      <c r="G514" t="s">
        <v>419</v>
      </c>
      <c r="H514" t="s">
        <v>115</v>
      </c>
      <c r="I514" t="s">
        <v>258</v>
      </c>
      <c r="J514" s="13">
        <v>0.60416666666666663</v>
      </c>
      <c r="K514" s="13">
        <v>0.59722222222222221</v>
      </c>
      <c r="L514" s="13">
        <v>0.62013888888888891</v>
      </c>
      <c r="M514">
        <v>20</v>
      </c>
      <c r="N514" s="14">
        <v>95</v>
      </c>
      <c r="O514" t="s">
        <v>195</v>
      </c>
      <c r="P514">
        <v>5</v>
      </c>
      <c r="Q514" t="s">
        <v>305</v>
      </c>
      <c r="R514" t="s">
        <v>1568</v>
      </c>
      <c r="S514">
        <v>0</v>
      </c>
      <c r="T514">
        <v>0</v>
      </c>
      <c r="U514" t="s">
        <v>2285</v>
      </c>
      <c r="V514" t="s">
        <v>2286</v>
      </c>
      <c r="W514" t="s">
        <v>2287</v>
      </c>
      <c r="X514" t="s">
        <v>2288</v>
      </c>
      <c r="Y514" t="s">
        <v>2289</v>
      </c>
      <c r="Z514" t="s">
        <v>2312</v>
      </c>
      <c r="AA514">
        <v>21</v>
      </c>
      <c r="AB514" s="14">
        <v>95</v>
      </c>
      <c r="AC514" t="s">
        <v>2313</v>
      </c>
      <c r="AD514" t="s">
        <v>2314</v>
      </c>
      <c r="AE514" t="s">
        <v>2643</v>
      </c>
      <c r="AF514">
        <v>1</v>
      </c>
      <c r="AG514">
        <v>1</v>
      </c>
      <c r="AH514">
        <v>33</v>
      </c>
      <c r="AI514">
        <v>0</v>
      </c>
      <c r="AJ514">
        <v>1</v>
      </c>
      <c r="AK514">
        <v>0</v>
      </c>
      <c r="AL514">
        <v>1</v>
      </c>
      <c r="AM514" s="14">
        <v>0</v>
      </c>
      <c r="AN514" t="s">
        <v>2644</v>
      </c>
      <c r="AO514" s="12">
        <v>46113</v>
      </c>
      <c r="AP514">
        <v>2026</v>
      </c>
      <c r="AQ514">
        <v>4</v>
      </c>
      <c r="AR514" t="s">
        <v>2651</v>
      </c>
    </row>
    <row r="515" spans="1:44">
      <c r="A515" t="s">
        <v>1644</v>
      </c>
      <c r="B515" s="12">
        <v>46121</v>
      </c>
      <c r="C515" s="12">
        <v>46100</v>
      </c>
      <c r="D515" t="s">
        <v>756</v>
      </c>
      <c r="E515" t="s">
        <v>281</v>
      </c>
      <c r="F515" t="s">
        <v>409</v>
      </c>
      <c r="G515" t="s">
        <v>535</v>
      </c>
      <c r="H515" t="s">
        <v>115</v>
      </c>
      <c r="I515" t="s">
        <v>258</v>
      </c>
      <c r="J515" s="13">
        <v>0.60416666666666663</v>
      </c>
      <c r="K515" s="13">
        <v>0.61111111111111116</v>
      </c>
      <c r="L515" s="13">
        <v>0.625</v>
      </c>
      <c r="M515">
        <v>60</v>
      </c>
      <c r="N515" s="14">
        <v>150</v>
      </c>
      <c r="O515" t="s">
        <v>195</v>
      </c>
      <c r="P515">
        <v>4</v>
      </c>
      <c r="Q515" t="s">
        <v>326</v>
      </c>
      <c r="R515" t="s">
        <v>1568</v>
      </c>
      <c r="S515">
        <v>0</v>
      </c>
      <c r="T515">
        <v>0</v>
      </c>
      <c r="U515" t="s">
        <v>2290</v>
      </c>
      <c r="V515" t="s">
        <v>2291</v>
      </c>
      <c r="W515" t="s">
        <v>2292</v>
      </c>
      <c r="X515" t="s">
        <v>2288</v>
      </c>
      <c r="Y515" t="s">
        <v>2293</v>
      </c>
      <c r="Z515" t="s">
        <v>2318</v>
      </c>
      <c r="AA515">
        <v>28</v>
      </c>
      <c r="AB515" s="14">
        <v>150</v>
      </c>
      <c r="AC515" t="s">
        <v>2319</v>
      </c>
      <c r="AD515" t="s">
        <v>2320</v>
      </c>
      <c r="AE515" t="s">
        <v>2643</v>
      </c>
      <c r="AF515">
        <v>21</v>
      </c>
      <c r="AG515">
        <v>1</v>
      </c>
      <c r="AH515">
        <v>20</v>
      </c>
      <c r="AI515">
        <v>1</v>
      </c>
      <c r="AJ515">
        <v>1</v>
      </c>
      <c r="AK515">
        <v>0</v>
      </c>
      <c r="AL515">
        <v>1</v>
      </c>
      <c r="AM515" s="14">
        <v>0</v>
      </c>
      <c r="AN515" t="s">
        <v>2644</v>
      </c>
      <c r="AO515" s="12">
        <v>46113</v>
      </c>
      <c r="AP515">
        <v>2026</v>
      </c>
      <c r="AQ515">
        <v>4</v>
      </c>
      <c r="AR515" t="s">
        <v>2651</v>
      </c>
    </row>
    <row r="516" spans="1:44">
      <c r="A516" t="s">
        <v>1646</v>
      </c>
      <c r="B516" s="12">
        <v>46125</v>
      </c>
      <c r="C516" s="12">
        <v>46107</v>
      </c>
      <c r="D516" t="s">
        <v>845</v>
      </c>
      <c r="E516" t="s">
        <v>281</v>
      </c>
      <c r="F516" t="s">
        <v>297</v>
      </c>
      <c r="G516" t="s">
        <v>298</v>
      </c>
      <c r="H516" t="s">
        <v>115</v>
      </c>
      <c r="I516" t="s">
        <v>299</v>
      </c>
      <c r="J516" s="13">
        <v>0.375</v>
      </c>
      <c r="K516" s="13">
        <v>0.37430555555555556</v>
      </c>
      <c r="L516" s="13">
        <v>0.38750000000000001</v>
      </c>
      <c r="M516">
        <v>20</v>
      </c>
      <c r="N516" s="14">
        <v>65</v>
      </c>
      <c r="O516" t="s">
        <v>195</v>
      </c>
      <c r="P516">
        <v>5</v>
      </c>
      <c r="Q516" t="s">
        <v>318</v>
      </c>
      <c r="R516" t="s">
        <v>1568</v>
      </c>
      <c r="S516">
        <v>0</v>
      </c>
      <c r="T516">
        <v>0</v>
      </c>
      <c r="U516" t="s">
        <v>2290</v>
      </c>
      <c r="V516" t="s">
        <v>2291</v>
      </c>
      <c r="W516" t="s">
        <v>2292</v>
      </c>
      <c r="X516" t="s">
        <v>2288</v>
      </c>
      <c r="Y516" t="s">
        <v>2293</v>
      </c>
      <c r="Z516" t="s">
        <v>2306</v>
      </c>
      <c r="AA516">
        <v>7</v>
      </c>
      <c r="AB516" s="14">
        <v>65</v>
      </c>
      <c r="AC516" t="s">
        <v>2307</v>
      </c>
      <c r="AD516" t="s">
        <v>2308</v>
      </c>
      <c r="AE516" t="s">
        <v>2643</v>
      </c>
      <c r="AF516">
        <v>18</v>
      </c>
      <c r="AG516">
        <v>0</v>
      </c>
      <c r="AH516">
        <v>19</v>
      </c>
      <c r="AI516">
        <v>1</v>
      </c>
      <c r="AJ516">
        <v>1</v>
      </c>
      <c r="AK516">
        <v>0</v>
      </c>
      <c r="AL516">
        <v>1</v>
      </c>
      <c r="AM516" s="14">
        <v>0</v>
      </c>
      <c r="AN516" t="s">
        <v>2644</v>
      </c>
      <c r="AO516" s="12">
        <v>46113</v>
      </c>
      <c r="AP516">
        <v>2026</v>
      </c>
      <c r="AQ516">
        <v>4</v>
      </c>
      <c r="AR516" t="s">
        <v>2651</v>
      </c>
    </row>
    <row r="517" spans="1:44">
      <c r="A517" t="s">
        <v>1648</v>
      </c>
      <c r="B517" s="12">
        <v>46118</v>
      </c>
      <c r="C517" s="12">
        <v>46069</v>
      </c>
      <c r="D517" t="s">
        <v>1650</v>
      </c>
      <c r="E517" t="s">
        <v>255</v>
      </c>
      <c r="F517" t="s">
        <v>256</v>
      </c>
      <c r="G517" t="s">
        <v>398</v>
      </c>
      <c r="H517" t="s">
        <v>115</v>
      </c>
      <c r="I517" t="s">
        <v>316</v>
      </c>
      <c r="J517" s="13">
        <v>0.60416666666666663</v>
      </c>
      <c r="K517" s="13">
        <v>0.59791666666666665</v>
      </c>
      <c r="L517" s="13">
        <v>0.6069444444444444</v>
      </c>
      <c r="M517">
        <v>30</v>
      </c>
      <c r="N517" s="14">
        <v>95</v>
      </c>
      <c r="O517" t="s">
        <v>169</v>
      </c>
      <c r="P517">
        <v>5</v>
      </c>
      <c r="Q517" t="s">
        <v>285</v>
      </c>
      <c r="R517" t="s">
        <v>1568</v>
      </c>
      <c r="S517">
        <v>0</v>
      </c>
      <c r="T517">
        <v>0</v>
      </c>
      <c r="U517" t="s">
        <v>2299</v>
      </c>
      <c r="V517" t="s">
        <v>2295</v>
      </c>
      <c r="W517" t="s">
        <v>2300</v>
      </c>
      <c r="X517" t="s">
        <v>2288</v>
      </c>
      <c r="Y517" t="s">
        <v>2301</v>
      </c>
      <c r="Z517" t="s">
        <v>2312</v>
      </c>
      <c r="AA517">
        <v>21</v>
      </c>
      <c r="AB517" s="14">
        <v>95</v>
      </c>
      <c r="AC517" t="s">
        <v>2313</v>
      </c>
      <c r="AD517" t="s">
        <v>2314</v>
      </c>
      <c r="AE517" t="s">
        <v>2643</v>
      </c>
      <c r="AF517">
        <v>49</v>
      </c>
      <c r="AG517">
        <v>0</v>
      </c>
      <c r="AH517">
        <v>13</v>
      </c>
      <c r="AI517">
        <v>1</v>
      </c>
      <c r="AJ517">
        <v>1</v>
      </c>
      <c r="AK517">
        <v>0</v>
      </c>
      <c r="AL517">
        <v>1</v>
      </c>
      <c r="AM517" s="14">
        <v>0</v>
      </c>
      <c r="AN517" t="s">
        <v>2644</v>
      </c>
      <c r="AO517" s="12">
        <v>46113</v>
      </c>
      <c r="AP517">
        <v>2026</v>
      </c>
      <c r="AQ517">
        <v>4</v>
      </c>
      <c r="AR517" t="s">
        <v>2651</v>
      </c>
    </row>
    <row r="518" spans="1:44">
      <c r="A518" t="s">
        <v>1651</v>
      </c>
      <c r="B518" s="12">
        <v>46116</v>
      </c>
      <c r="C518" s="12">
        <v>46071</v>
      </c>
      <c r="D518" t="s">
        <v>1227</v>
      </c>
      <c r="E518" t="s">
        <v>339</v>
      </c>
      <c r="F518" t="s">
        <v>297</v>
      </c>
      <c r="G518" t="s">
        <v>569</v>
      </c>
      <c r="H518" t="s">
        <v>115</v>
      </c>
      <c r="I518" t="s">
        <v>316</v>
      </c>
      <c r="J518" s="13">
        <v>0.4375</v>
      </c>
      <c r="K518" s="13">
        <v>0.43888888888888888</v>
      </c>
      <c r="L518" s="13">
        <v>0.4513888888888889</v>
      </c>
      <c r="M518">
        <v>30</v>
      </c>
      <c r="N518" s="14">
        <v>65</v>
      </c>
      <c r="O518" t="s">
        <v>195</v>
      </c>
      <c r="P518">
        <v>4</v>
      </c>
      <c r="Q518" t="s">
        <v>326</v>
      </c>
      <c r="R518" t="s">
        <v>1568</v>
      </c>
      <c r="S518">
        <v>0</v>
      </c>
      <c r="T518">
        <v>0</v>
      </c>
      <c r="U518" t="s">
        <v>2294</v>
      </c>
      <c r="V518" t="s">
        <v>2295</v>
      </c>
      <c r="W518" t="s">
        <v>2296</v>
      </c>
      <c r="X518" t="s">
        <v>2297</v>
      </c>
      <c r="Y518" t="s">
        <v>2298</v>
      </c>
      <c r="Z518" t="s">
        <v>2306</v>
      </c>
      <c r="AA518">
        <v>7</v>
      </c>
      <c r="AB518" s="14">
        <v>65</v>
      </c>
      <c r="AC518" t="s">
        <v>2307</v>
      </c>
      <c r="AD518" t="s">
        <v>2308</v>
      </c>
      <c r="AE518" t="s">
        <v>2643</v>
      </c>
      <c r="AF518">
        <v>45</v>
      </c>
      <c r="AG518">
        <v>0</v>
      </c>
      <c r="AH518">
        <v>18</v>
      </c>
      <c r="AI518">
        <v>1</v>
      </c>
      <c r="AJ518">
        <v>1</v>
      </c>
      <c r="AK518">
        <v>0</v>
      </c>
      <c r="AL518">
        <v>1</v>
      </c>
      <c r="AM518" s="14">
        <v>0</v>
      </c>
      <c r="AN518" t="s">
        <v>2644</v>
      </c>
      <c r="AO518" s="12">
        <v>46113</v>
      </c>
      <c r="AP518">
        <v>2026</v>
      </c>
      <c r="AQ518">
        <v>4</v>
      </c>
      <c r="AR518" t="s">
        <v>2651</v>
      </c>
    </row>
    <row r="519" spans="1:44">
      <c r="A519" t="s">
        <v>1653</v>
      </c>
      <c r="B519" s="12">
        <v>46121</v>
      </c>
      <c r="C519" s="12">
        <v>46108</v>
      </c>
      <c r="D519" t="s">
        <v>408</v>
      </c>
      <c r="E519" t="s">
        <v>339</v>
      </c>
      <c r="F519" t="s">
        <v>409</v>
      </c>
      <c r="G519" t="s">
        <v>476</v>
      </c>
      <c r="H519" t="s">
        <v>115</v>
      </c>
      <c r="I519" t="s">
        <v>316</v>
      </c>
      <c r="J519" s="13">
        <v>0.5625</v>
      </c>
      <c r="K519" s="13">
        <v>0.56180555555555556</v>
      </c>
      <c r="L519" s="13">
        <v>0.58263888888888893</v>
      </c>
      <c r="M519">
        <v>30</v>
      </c>
      <c r="N519" s="14">
        <v>150</v>
      </c>
      <c r="O519" t="s">
        <v>195</v>
      </c>
      <c r="P519">
        <v>5</v>
      </c>
      <c r="Q519" t="s">
        <v>285</v>
      </c>
      <c r="R519" t="s">
        <v>1568</v>
      </c>
      <c r="S519">
        <v>0</v>
      </c>
      <c r="T519">
        <v>0</v>
      </c>
      <c r="U519" t="s">
        <v>2294</v>
      </c>
      <c r="V519" t="s">
        <v>2295</v>
      </c>
      <c r="W519" t="s">
        <v>2296</v>
      </c>
      <c r="X519" t="s">
        <v>2297</v>
      </c>
      <c r="Y519" t="s">
        <v>2298</v>
      </c>
      <c r="Z519" t="s">
        <v>2318</v>
      </c>
      <c r="AA519">
        <v>28</v>
      </c>
      <c r="AB519" s="14">
        <v>150</v>
      </c>
      <c r="AC519" t="s">
        <v>2319</v>
      </c>
      <c r="AD519" t="s">
        <v>2320</v>
      </c>
      <c r="AE519" t="s">
        <v>2643</v>
      </c>
      <c r="AF519">
        <v>13</v>
      </c>
      <c r="AG519">
        <v>1</v>
      </c>
      <c r="AH519">
        <v>30</v>
      </c>
      <c r="AI519">
        <v>1</v>
      </c>
      <c r="AJ519">
        <v>1</v>
      </c>
      <c r="AK519">
        <v>0</v>
      </c>
      <c r="AL519">
        <v>1</v>
      </c>
      <c r="AM519" s="14">
        <v>0</v>
      </c>
      <c r="AN519" t="s">
        <v>2644</v>
      </c>
      <c r="AO519" s="12">
        <v>46113</v>
      </c>
      <c r="AP519">
        <v>2026</v>
      </c>
      <c r="AQ519">
        <v>4</v>
      </c>
      <c r="AR519" t="s">
        <v>2651</v>
      </c>
    </row>
    <row r="520" spans="1:44">
      <c r="A520" t="s">
        <v>1656</v>
      </c>
      <c r="B520" s="12">
        <v>46114</v>
      </c>
      <c r="C520" s="12">
        <v>46074</v>
      </c>
      <c r="D520" t="s">
        <v>280</v>
      </c>
      <c r="E520" t="s">
        <v>255</v>
      </c>
      <c r="F520" t="s">
        <v>282</v>
      </c>
      <c r="G520" t="s">
        <v>424</v>
      </c>
      <c r="H520" t="s">
        <v>127</v>
      </c>
      <c r="I520" t="s">
        <v>258</v>
      </c>
      <c r="J520" s="13">
        <v>0.375</v>
      </c>
      <c r="K520" s="13"/>
      <c r="L520" s="13"/>
      <c r="M520">
        <v>0</v>
      </c>
      <c r="N520" s="14">
        <v>120</v>
      </c>
      <c r="O520" t="s">
        <v>195</v>
      </c>
      <c r="Q520" t="s">
        <v>285</v>
      </c>
      <c r="R520" t="s">
        <v>1568</v>
      </c>
      <c r="S520">
        <v>0</v>
      </c>
      <c r="T520">
        <v>0</v>
      </c>
      <c r="U520" t="s">
        <v>2299</v>
      </c>
      <c r="V520" t="s">
        <v>2295</v>
      </c>
      <c r="W520" t="s">
        <v>2300</v>
      </c>
      <c r="X520" t="s">
        <v>2288</v>
      </c>
      <c r="Y520" t="s">
        <v>2301</v>
      </c>
      <c r="Z520" t="s">
        <v>2309</v>
      </c>
      <c r="AA520">
        <v>14</v>
      </c>
      <c r="AB520" s="14">
        <v>120</v>
      </c>
      <c r="AC520" t="s">
        <v>2310</v>
      </c>
      <c r="AD520" t="s">
        <v>2311</v>
      </c>
      <c r="AE520" t="s">
        <v>2643</v>
      </c>
      <c r="AF520">
        <v>40</v>
      </c>
      <c r="AG520">
        <v>0</v>
      </c>
      <c r="AJ520">
        <v>0</v>
      </c>
      <c r="AL520">
        <v>1</v>
      </c>
      <c r="AM520" s="14">
        <v>0</v>
      </c>
      <c r="AN520" t="s">
        <v>2644</v>
      </c>
      <c r="AO520" s="12">
        <v>46113</v>
      </c>
      <c r="AP520">
        <v>2026</v>
      </c>
      <c r="AQ520">
        <v>4</v>
      </c>
      <c r="AR520" t="s">
        <v>2651</v>
      </c>
    </row>
    <row r="521" spans="1:44">
      <c r="A521" t="s">
        <v>1657</v>
      </c>
      <c r="B521" s="12">
        <v>46122</v>
      </c>
      <c r="C521" s="12">
        <v>46076</v>
      </c>
      <c r="D521" t="s">
        <v>837</v>
      </c>
      <c r="E521" t="s">
        <v>281</v>
      </c>
      <c r="F521" t="s">
        <v>269</v>
      </c>
      <c r="G521" t="s">
        <v>363</v>
      </c>
      <c r="H521" t="s">
        <v>115</v>
      </c>
      <c r="I521" t="s">
        <v>299</v>
      </c>
      <c r="J521" s="13">
        <v>0.5625</v>
      </c>
      <c r="K521" s="13">
        <v>0.55972222222222223</v>
      </c>
      <c r="L521" s="13">
        <v>0.57986111111111116</v>
      </c>
      <c r="M521">
        <v>20</v>
      </c>
      <c r="N521" s="14">
        <v>80</v>
      </c>
      <c r="O521" t="s">
        <v>195</v>
      </c>
      <c r="P521">
        <v>3</v>
      </c>
      <c r="Q521" t="s">
        <v>262</v>
      </c>
      <c r="R521" t="s">
        <v>1568</v>
      </c>
      <c r="S521">
        <v>0</v>
      </c>
      <c r="T521">
        <v>0</v>
      </c>
      <c r="U521" t="s">
        <v>2290</v>
      </c>
      <c r="V521" t="s">
        <v>2291</v>
      </c>
      <c r="W521" t="s">
        <v>2292</v>
      </c>
      <c r="X521" t="s">
        <v>2288</v>
      </c>
      <c r="Y521" t="s">
        <v>2293</v>
      </c>
      <c r="Z521" t="s">
        <v>2315</v>
      </c>
      <c r="AA521">
        <v>10</v>
      </c>
      <c r="AB521" s="14">
        <v>80</v>
      </c>
      <c r="AC521" t="s">
        <v>2316</v>
      </c>
      <c r="AD521" t="s">
        <v>2317</v>
      </c>
      <c r="AE521" t="s">
        <v>2643</v>
      </c>
      <c r="AF521">
        <v>46</v>
      </c>
      <c r="AG521">
        <v>0</v>
      </c>
      <c r="AH521">
        <v>29</v>
      </c>
      <c r="AI521">
        <v>1</v>
      </c>
      <c r="AJ521">
        <v>1</v>
      </c>
      <c r="AK521">
        <v>0</v>
      </c>
      <c r="AL521">
        <v>1</v>
      </c>
      <c r="AM521" s="14">
        <v>0</v>
      </c>
      <c r="AN521" t="s">
        <v>2644</v>
      </c>
      <c r="AO521" s="12">
        <v>46113</v>
      </c>
      <c r="AP521">
        <v>2026</v>
      </c>
      <c r="AQ521">
        <v>4</v>
      </c>
      <c r="AR521" t="s">
        <v>2651</v>
      </c>
    </row>
    <row r="522" spans="1:44">
      <c r="A522" t="s">
        <v>1660</v>
      </c>
      <c r="B522" s="12">
        <v>46124</v>
      </c>
      <c r="C522" s="12">
        <v>46091</v>
      </c>
      <c r="D522" t="s">
        <v>682</v>
      </c>
      <c r="E522" t="s">
        <v>255</v>
      </c>
      <c r="F522" t="s">
        <v>256</v>
      </c>
      <c r="G522" t="s">
        <v>257</v>
      </c>
      <c r="H522" t="s">
        <v>115</v>
      </c>
      <c r="I522" t="s">
        <v>258</v>
      </c>
      <c r="J522" s="13">
        <v>0.47916666666666669</v>
      </c>
      <c r="K522" s="13">
        <v>0.4909722222222222</v>
      </c>
      <c r="L522" s="13">
        <v>0.50208333333333333</v>
      </c>
      <c r="M522">
        <v>60</v>
      </c>
      <c r="N522" s="14">
        <v>95</v>
      </c>
      <c r="O522" t="s">
        <v>195</v>
      </c>
      <c r="P522">
        <v>3</v>
      </c>
      <c r="Q522" t="s">
        <v>318</v>
      </c>
      <c r="R522" t="s">
        <v>1568</v>
      </c>
      <c r="S522">
        <v>0</v>
      </c>
      <c r="T522">
        <v>0</v>
      </c>
      <c r="U522" t="s">
        <v>2299</v>
      </c>
      <c r="V522" t="s">
        <v>2295</v>
      </c>
      <c r="W522" t="s">
        <v>2300</v>
      </c>
      <c r="X522" t="s">
        <v>2288</v>
      </c>
      <c r="Y522" t="s">
        <v>2301</v>
      </c>
      <c r="Z522" t="s">
        <v>2312</v>
      </c>
      <c r="AA522">
        <v>21</v>
      </c>
      <c r="AB522" s="14">
        <v>95</v>
      </c>
      <c r="AC522" t="s">
        <v>2313</v>
      </c>
      <c r="AD522" t="s">
        <v>2314</v>
      </c>
      <c r="AE522" t="s">
        <v>2643</v>
      </c>
      <c r="AF522">
        <v>33</v>
      </c>
      <c r="AG522">
        <v>0</v>
      </c>
      <c r="AH522">
        <v>16</v>
      </c>
      <c r="AI522">
        <v>1</v>
      </c>
      <c r="AJ522">
        <v>1</v>
      </c>
      <c r="AK522">
        <v>0</v>
      </c>
      <c r="AL522">
        <v>1</v>
      </c>
      <c r="AM522" s="14">
        <v>0</v>
      </c>
      <c r="AN522" t="s">
        <v>2644</v>
      </c>
      <c r="AO522" s="12">
        <v>46113</v>
      </c>
      <c r="AP522">
        <v>2026</v>
      </c>
      <c r="AQ522">
        <v>4</v>
      </c>
      <c r="AR522" t="s">
        <v>2651</v>
      </c>
    </row>
    <row r="523" spans="1:44">
      <c r="A523" t="s">
        <v>1661</v>
      </c>
      <c r="B523" s="12">
        <v>46125</v>
      </c>
      <c r="C523" s="12">
        <v>46075</v>
      </c>
      <c r="D523" t="s">
        <v>1231</v>
      </c>
      <c r="E523" t="s">
        <v>268</v>
      </c>
      <c r="F523" t="s">
        <v>409</v>
      </c>
      <c r="G523" t="s">
        <v>587</v>
      </c>
      <c r="H523" t="s">
        <v>115</v>
      </c>
      <c r="I523" t="s">
        <v>271</v>
      </c>
      <c r="J523" s="13">
        <v>0.64583333333333337</v>
      </c>
      <c r="K523" s="13">
        <v>0.65416666666666667</v>
      </c>
      <c r="L523" s="13">
        <v>0.65833333333333333</v>
      </c>
      <c r="M523">
        <v>20</v>
      </c>
      <c r="N523" s="14">
        <v>150</v>
      </c>
      <c r="O523" t="s">
        <v>169</v>
      </c>
      <c r="P523">
        <v>2</v>
      </c>
      <c r="Q523" t="s">
        <v>262</v>
      </c>
      <c r="R523" t="s">
        <v>1568</v>
      </c>
      <c r="S523">
        <v>0</v>
      </c>
      <c r="T523">
        <v>0</v>
      </c>
      <c r="U523" t="s">
        <v>2285</v>
      </c>
      <c r="V523" t="s">
        <v>2286</v>
      </c>
      <c r="W523" t="s">
        <v>2287</v>
      </c>
      <c r="X523" t="s">
        <v>2288</v>
      </c>
      <c r="Y523" t="s">
        <v>2289</v>
      </c>
      <c r="Z523" t="s">
        <v>2318</v>
      </c>
      <c r="AA523">
        <v>28</v>
      </c>
      <c r="AB523" s="14">
        <v>150</v>
      </c>
      <c r="AC523" t="s">
        <v>2319</v>
      </c>
      <c r="AD523" t="s">
        <v>2320</v>
      </c>
      <c r="AE523" t="s">
        <v>2643</v>
      </c>
      <c r="AF523">
        <v>50</v>
      </c>
      <c r="AG523">
        <v>0</v>
      </c>
      <c r="AH523">
        <v>6</v>
      </c>
      <c r="AI523">
        <v>1</v>
      </c>
      <c r="AJ523">
        <v>1</v>
      </c>
      <c r="AK523">
        <v>0</v>
      </c>
      <c r="AL523">
        <v>1</v>
      </c>
      <c r="AM523" s="14">
        <v>0</v>
      </c>
      <c r="AN523" t="s">
        <v>2644</v>
      </c>
      <c r="AO523" s="12">
        <v>46113</v>
      </c>
      <c r="AP523">
        <v>2026</v>
      </c>
      <c r="AQ523">
        <v>4</v>
      </c>
      <c r="AR523" t="s">
        <v>2651</v>
      </c>
    </row>
    <row r="524" spans="1:44">
      <c r="A524" t="s">
        <v>1663</v>
      </c>
      <c r="B524" s="12">
        <v>46123</v>
      </c>
      <c r="C524" s="12">
        <v>46082</v>
      </c>
      <c r="D524" t="s">
        <v>882</v>
      </c>
      <c r="E524" t="s">
        <v>339</v>
      </c>
      <c r="F524" t="s">
        <v>256</v>
      </c>
      <c r="G524" t="s">
        <v>345</v>
      </c>
      <c r="H524" t="s">
        <v>115</v>
      </c>
      <c r="I524" t="s">
        <v>258</v>
      </c>
      <c r="J524" s="13">
        <v>0.625</v>
      </c>
      <c r="K524" s="13">
        <v>0.63541666666666663</v>
      </c>
      <c r="L524" s="13">
        <v>0.63263888888888886</v>
      </c>
      <c r="M524">
        <v>60</v>
      </c>
      <c r="N524" s="14">
        <v>95</v>
      </c>
      <c r="O524" t="s">
        <v>195</v>
      </c>
      <c r="P524">
        <v>5</v>
      </c>
      <c r="Q524" t="s">
        <v>326</v>
      </c>
      <c r="R524" t="s">
        <v>1568</v>
      </c>
      <c r="S524">
        <v>0</v>
      </c>
      <c r="T524">
        <v>0</v>
      </c>
      <c r="U524" t="s">
        <v>2294</v>
      </c>
      <c r="V524" t="s">
        <v>2295</v>
      </c>
      <c r="W524" t="s">
        <v>2296</v>
      </c>
      <c r="X524" t="s">
        <v>2297</v>
      </c>
      <c r="Y524" t="s">
        <v>2298</v>
      </c>
      <c r="Z524" t="s">
        <v>2312</v>
      </c>
      <c r="AA524">
        <v>21</v>
      </c>
      <c r="AB524" s="14">
        <v>95</v>
      </c>
      <c r="AC524" t="s">
        <v>2313</v>
      </c>
      <c r="AD524" t="s">
        <v>2314</v>
      </c>
      <c r="AE524" t="s">
        <v>2643</v>
      </c>
      <c r="AF524">
        <v>41</v>
      </c>
      <c r="AG524">
        <v>0</v>
      </c>
      <c r="AJ524">
        <v>1</v>
      </c>
      <c r="AK524">
        <v>0</v>
      </c>
      <c r="AL524">
        <v>1</v>
      </c>
      <c r="AM524" s="14">
        <v>0</v>
      </c>
      <c r="AN524" t="s">
        <v>2644</v>
      </c>
      <c r="AO524" s="12">
        <v>46113</v>
      </c>
      <c r="AP524">
        <v>2026</v>
      </c>
      <c r="AQ524">
        <v>4</v>
      </c>
      <c r="AR524" t="s">
        <v>2651</v>
      </c>
    </row>
    <row r="525" spans="1:44">
      <c r="A525" t="s">
        <v>1664</v>
      </c>
      <c r="B525" s="12">
        <v>46133</v>
      </c>
      <c r="C525" s="12">
        <v>46112</v>
      </c>
      <c r="D525" t="s">
        <v>1022</v>
      </c>
      <c r="E525" t="s">
        <v>268</v>
      </c>
      <c r="F525" t="s">
        <v>297</v>
      </c>
      <c r="G525" t="s">
        <v>583</v>
      </c>
      <c r="H525" t="s">
        <v>115</v>
      </c>
      <c r="I525" t="s">
        <v>258</v>
      </c>
      <c r="J525" s="13">
        <v>0.375</v>
      </c>
      <c r="K525" s="13">
        <v>0.37291666666666667</v>
      </c>
      <c r="L525" s="13">
        <v>0.3840277777777778</v>
      </c>
      <c r="M525">
        <v>20</v>
      </c>
      <c r="N525" s="14">
        <v>65</v>
      </c>
      <c r="O525" t="s">
        <v>169</v>
      </c>
      <c r="P525">
        <v>5</v>
      </c>
      <c r="Q525" t="s">
        <v>305</v>
      </c>
      <c r="R525" t="s">
        <v>1568</v>
      </c>
      <c r="S525">
        <v>0</v>
      </c>
      <c r="T525">
        <v>0</v>
      </c>
      <c r="U525" t="s">
        <v>2285</v>
      </c>
      <c r="V525" t="s">
        <v>2286</v>
      </c>
      <c r="W525" t="s">
        <v>2287</v>
      </c>
      <c r="X525" t="s">
        <v>2288</v>
      </c>
      <c r="Y525" t="s">
        <v>2289</v>
      </c>
      <c r="Z525" t="s">
        <v>2306</v>
      </c>
      <c r="AA525">
        <v>7</v>
      </c>
      <c r="AB525" s="14">
        <v>65</v>
      </c>
      <c r="AC525" t="s">
        <v>2307</v>
      </c>
      <c r="AD525" t="s">
        <v>2308</v>
      </c>
      <c r="AE525" t="s">
        <v>2643</v>
      </c>
      <c r="AF525">
        <v>21</v>
      </c>
      <c r="AG525">
        <v>0</v>
      </c>
      <c r="AH525">
        <v>16</v>
      </c>
      <c r="AI525">
        <v>1</v>
      </c>
      <c r="AJ525">
        <v>1</v>
      </c>
      <c r="AK525">
        <v>0</v>
      </c>
      <c r="AL525">
        <v>1</v>
      </c>
      <c r="AM525" s="14">
        <v>0</v>
      </c>
      <c r="AN525" t="s">
        <v>2644</v>
      </c>
      <c r="AO525" s="12">
        <v>46113</v>
      </c>
      <c r="AP525">
        <v>2026</v>
      </c>
      <c r="AQ525">
        <v>4</v>
      </c>
      <c r="AR525" t="s">
        <v>2651</v>
      </c>
    </row>
    <row r="526" spans="1:44">
      <c r="A526" t="s">
        <v>1665</v>
      </c>
      <c r="B526" s="12">
        <v>46120</v>
      </c>
      <c r="C526" s="12">
        <v>46083</v>
      </c>
      <c r="D526" t="s">
        <v>951</v>
      </c>
      <c r="E526" t="s">
        <v>339</v>
      </c>
      <c r="F526" t="s">
        <v>256</v>
      </c>
      <c r="G526" t="s">
        <v>345</v>
      </c>
      <c r="H526" t="s">
        <v>115</v>
      </c>
      <c r="I526" t="s">
        <v>316</v>
      </c>
      <c r="J526" s="13">
        <v>0.64583333333333337</v>
      </c>
      <c r="K526" s="13">
        <v>0.65833333333333333</v>
      </c>
      <c r="L526" s="13">
        <v>0.64583333333333337</v>
      </c>
      <c r="M526">
        <v>60</v>
      </c>
      <c r="N526" s="14">
        <v>95</v>
      </c>
      <c r="O526" t="s">
        <v>195</v>
      </c>
      <c r="P526">
        <v>5</v>
      </c>
      <c r="Q526" t="s">
        <v>326</v>
      </c>
      <c r="R526" t="s">
        <v>1568</v>
      </c>
      <c r="S526">
        <v>0</v>
      </c>
      <c r="T526">
        <v>0</v>
      </c>
      <c r="U526" t="s">
        <v>2294</v>
      </c>
      <c r="V526" t="s">
        <v>2295</v>
      </c>
      <c r="W526" t="s">
        <v>2296</v>
      </c>
      <c r="X526" t="s">
        <v>2297</v>
      </c>
      <c r="Y526" t="s">
        <v>2298</v>
      </c>
      <c r="Z526" t="s">
        <v>2312</v>
      </c>
      <c r="AA526">
        <v>21</v>
      </c>
      <c r="AB526" s="14">
        <v>95</v>
      </c>
      <c r="AC526" t="s">
        <v>2313</v>
      </c>
      <c r="AD526" t="s">
        <v>2314</v>
      </c>
      <c r="AE526" t="s">
        <v>2643</v>
      </c>
      <c r="AF526">
        <v>37</v>
      </c>
      <c r="AG526">
        <v>0</v>
      </c>
      <c r="AJ526">
        <v>1</v>
      </c>
      <c r="AK526">
        <v>0</v>
      </c>
      <c r="AL526">
        <v>1</v>
      </c>
      <c r="AM526" s="14">
        <v>0</v>
      </c>
      <c r="AN526" t="s">
        <v>2644</v>
      </c>
      <c r="AO526" s="12">
        <v>46113</v>
      </c>
      <c r="AP526">
        <v>2026</v>
      </c>
      <c r="AQ526">
        <v>4</v>
      </c>
      <c r="AR526" t="s">
        <v>2651</v>
      </c>
    </row>
    <row r="527" spans="1:44">
      <c r="A527" t="s">
        <v>1666</v>
      </c>
      <c r="B527" s="12">
        <v>46132</v>
      </c>
      <c r="C527" s="12">
        <v>46101</v>
      </c>
      <c r="D527" t="s">
        <v>879</v>
      </c>
      <c r="E527" t="s">
        <v>255</v>
      </c>
      <c r="F527" t="s">
        <v>409</v>
      </c>
      <c r="G527" t="s">
        <v>648</v>
      </c>
      <c r="H527" t="s">
        <v>127</v>
      </c>
      <c r="I527" t="s">
        <v>299</v>
      </c>
      <c r="J527" s="13">
        <v>0.45833333333333331</v>
      </c>
      <c r="K527" s="13"/>
      <c r="L527" s="13"/>
      <c r="M527">
        <v>0</v>
      </c>
      <c r="N527" s="14">
        <v>150</v>
      </c>
      <c r="O527" t="s">
        <v>195</v>
      </c>
      <c r="Q527" t="s">
        <v>326</v>
      </c>
      <c r="R527" t="s">
        <v>1568</v>
      </c>
      <c r="S527">
        <v>0</v>
      </c>
      <c r="T527">
        <v>0</v>
      </c>
      <c r="U527" t="s">
        <v>2299</v>
      </c>
      <c r="V527" t="s">
        <v>2295</v>
      </c>
      <c r="W527" t="s">
        <v>2300</v>
      </c>
      <c r="X527" t="s">
        <v>2288</v>
      </c>
      <c r="Y527" t="s">
        <v>2301</v>
      </c>
      <c r="Z527" t="s">
        <v>2318</v>
      </c>
      <c r="AA527">
        <v>28</v>
      </c>
      <c r="AB527" s="14">
        <v>150</v>
      </c>
      <c r="AC527" t="s">
        <v>2319</v>
      </c>
      <c r="AD527" t="s">
        <v>2320</v>
      </c>
      <c r="AE527" t="s">
        <v>2643</v>
      </c>
      <c r="AF527">
        <v>31</v>
      </c>
      <c r="AG527">
        <v>0</v>
      </c>
      <c r="AJ527">
        <v>0</v>
      </c>
      <c r="AL527">
        <v>1</v>
      </c>
      <c r="AM527" s="14">
        <v>0</v>
      </c>
      <c r="AN527" t="s">
        <v>2644</v>
      </c>
      <c r="AO527" s="12">
        <v>46113</v>
      </c>
      <c r="AP527">
        <v>2026</v>
      </c>
      <c r="AQ527">
        <v>4</v>
      </c>
      <c r="AR527" t="s">
        <v>2651</v>
      </c>
    </row>
    <row r="528" spans="1:44">
      <c r="A528" t="s">
        <v>1667</v>
      </c>
      <c r="B528" s="12">
        <v>46139</v>
      </c>
      <c r="C528" s="12">
        <v>46121</v>
      </c>
      <c r="D528" t="s">
        <v>508</v>
      </c>
      <c r="E528" t="s">
        <v>339</v>
      </c>
      <c r="F528" t="s">
        <v>269</v>
      </c>
      <c r="G528" t="s">
        <v>340</v>
      </c>
      <c r="H528" t="s">
        <v>115</v>
      </c>
      <c r="I528" t="s">
        <v>299</v>
      </c>
      <c r="J528" s="13">
        <v>0.52083333333333337</v>
      </c>
      <c r="K528" s="13">
        <v>0.51388888888888884</v>
      </c>
      <c r="L528" s="13">
        <v>0.52152777777777781</v>
      </c>
      <c r="M528">
        <v>30</v>
      </c>
      <c r="N528" s="14">
        <v>80</v>
      </c>
      <c r="O528" t="s">
        <v>195</v>
      </c>
      <c r="P528">
        <v>4</v>
      </c>
      <c r="Q528" t="s">
        <v>318</v>
      </c>
      <c r="R528" t="s">
        <v>1568</v>
      </c>
      <c r="S528">
        <v>0</v>
      </c>
      <c r="T528">
        <v>0</v>
      </c>
      <c r="U528" t="s">
        <v>2294</v>
      </c>
      <c r="V528" t="s">
        <v>2295</v>
      </c>
      <c r="W528" t="s">
        <v>2296</v>
      </c>
      <c r="X528" t="s">
        <v>2297</v>
      </c>
      <c r="Y528" t="s">
        <v>2298</v>
      </c>
      <c r="Z528" t="s">
        <v>2315</v>
      </c>
      <c r="AA528">
        <v>10</v>
      </c>
      <c r="AB528" s="14">
        <v>80</v>
      </c>
      <c r="AC528" t="s">
        <v>2316</v>
      </c>
      <c r="AD528" t="s">
        <v>2317</v>
      </c>
      <c r="AE528" t="s">
        <v>2643</v>
      </c>
      <c r="AF528">
        <v>18</v>
      </c>
      <c r="AG528">
        <v>0</v>
      </c>
      <c r="AH528">
        <v>11</v>
      </c>
      <c r="AI528">
        <v>1</v>
      </c>
      <c r="AJ528">
        <v>1</v>
      </c>
      <c r="AK528">
        <v>0</v>
      </c>
      <c r="AL528">
        <v>1</v>
      </c>
      <c r="AM528" s="14">
        <v>0</v>
      </c>
      <c r="AN528" t="s">
        <v>2644</v>
      </c>
      <c r="AO528" s="12">
        <v>46113</v>
      </c>
      <c r="AP528">
        <v>2026</v>
      </c>
      <c r="AQ528">
        <v>4</v>
      </c>
      <c r="AR528" t="s">
        <v>2651</v>
      </c>
    </row>
    <row r="529" spans="1:44">
      <c r="A529" t="s">
        <v>1669</v>
      </c>
      <c r="B529" s="12">
        <v>46133</v>
      </c>
      <c r="C529" s="12">
        <v>46116</v>
      </c>
      <c r="D529" t="s">
        <v>610</v>
      </c>
      <c r="E529" t="s">
        <v>255</v>
      </c>
      <c r="F529" t="s">
        <v>297</v>
      </c>
      <c r="G529" t="s">
        <v>331</v>
      </c>
      <c r="H529" t="s">
        <v>115</v>
      </c>
      <c r="I529" t="s">
        <v>299</v>
      </c>
      <c r="J529" s="13">
        <v>0.5625</v>
      </c>
      <c r="K529" s="13">
        <v>0.56805555555555554</v>
      </c>
      <c r="L529" s="13">
        <v>0.57708333333333328</v>
      </c>
      <c r="M529">
        <v>20</v>
      </c>
      <c r="N529" s="14">
        <v>65</v>
      </c>
      <c r="O529" t="s">
        <v>195</v>
      </c>
      <c r="P529">
        <v>5</v>
      </c>
      <c r="Q529" t="s">
        <v>262</v>
      </c>
      <c r="R529" t="s">
        <v>1568</v>
      </c>
      <c r="S529">
        <v>0</v>
      </c>
      <c r="T529">
        <v>0</v>
      </c>
      <c r="U529" t="s">
        <v>2299</v>
      </c>
      <c r="V529" t="s">
        <v>2295</v>
      </c>
      <c r="W529" t="s">
        <v>2300</v>
      </c>
      <c r="X529" t="s">
        <v>2288</v>
      </c>
      <c r="Y529" t="s">
        <v>2301</v>
      </c>
      <c r="Z529" t="s">
        <v>2306</v>
      </c>
      <c r="AA529">
        <v>7</v>
      </c>
      <c r="AB529" s="14">
        <v>65</v>
      </c>
      <c r="AC529" t="s">
        <v>2307</v>
      </c>
      <c r="AD529" t="s">
        <v>2308</v>
      </c>
      <c r="AE529" t="s">
        <v>2643</v>
      </c>
      <c r="AF529">
        <v>17</v>
      </c>
      <c r="AG529">
        <v>0</v>
      </c>
      <c r="AH529">
        <v>13</v>
      </c>
      <c r="AI529">
        <v>1</v>
      </c>
      <c r="AJ529">
        <v>1</v>
      </c>
      <c r="AK529">
        <v>0</v>
      </c>
      <c r="AL529">
        <v>1</v>
      </c>
      <c r="AM529" s="14">
        <v>0</v>
      </c>
      <c r="AN529" t="s">
        <v>2644</v>
      </c>
      <c r="AO529" s="12">
        <v>46113</v>
      </c>
      <c r="AP529">
        <v>2026</v>
      </c>
      <c r="AQ529">
        <v>4</v>
      </c>
      <c r="AR529" t="s">
        <v>2651</v>
      </c>
    </row>
    <row r="530" spans="1:44">
      <c r="A530" t="s">
        <v>1670</v>
      </c>
      <c r="B530" s="12">
        <v>46120</v>
      </c>
      <c r="C530" s="12">
        <v>46074</v>
      </c>
      <c r="D530" t="s">
        <v>296</v>
      </c>
      <c r="E530" t="s">
        <v>339</v>
      </c>
      <c r="F530" t="s">
        <v>409</v>
      </c>
      <c r="G530" t="s">
        <v>476</v>
      </c>
      <c r="H530" t="s">
        <v>115</v>
      </c>
      <c r="I530" t="s">
        <v>299</v>
      </c>
      <c r="J530" s="13">
        <v>0.64583333333333337</v>
      </c>
      <c r="K530" s="13">
        <v>0.64444444444444449</v>
      </c>
      <c r="L530" s="13">
        <v>0.65763888888888888</v>
      </c>
      <c r="M530">
        <v>30</v>
      </c>
      <c r="N530" s="14">
        <v>150</v>
      </c>
      <c r="O530" t="s">
        <v>195</v>
      </c>
      <c r="P530">
        <v>4</v>
      </c>
      <c r="Q530" t="s">
        <v>262</v>
      </c>
      <c r="R530" t="s">
        <v>1568</v>
      </c>
      <c r="S530">
        <v>0</v>
      </c>
      <c r="T530">
        <v>0</v>
      </c>
      <c r="U530" t="s">
        <v>2294</v>
      </c>
      <c r="V530" t="s">
        <v>2295</v>
      </c>
      <c r="W530" t="s">
        <v>2296</v>
      </c>
      <c r="X530" t="s">
        <v>2297</v>
      </c>
      <c r="Y530" t="s">
        <v>2298</v>
      </c>
      <c r="Z530" t="s">
        <v>2318</v>
      </c>
      <c r="AA530">
        <v>28</v>
      </c>
      <c r="AB530" s="14">
        <v>150</v>
      </c>
      <c r="AC530" t="s">
        <v>2319</v>
      </c>
      <c r="AD530" t="s">
        <v>2320</v>
      </c>
      <c r="AE530" t="s">
        <v>2643</v>
      </c>
      <c r="AF530">
        <v>46</v>
      </c>
      <c r="AG530">
        <v>0</v>
      </c>
      <c r="AH530">
        <v>19</v>
      </c>
      <c r="AI530">
        <v>1</v>
      </c>
      <c r="AJ530">
        <v>1</v>
      </c>
      <c r="AK530">
        <v>0</v>
      </c>
      <c r="AL530">
        <v>1</v>
      </c>
      <c r="AM530" s="14">
        <v>0</v>
      </c>
      <c r="AN530" t="s">
        <v>2644</v>
      </c>
      <c r="AO530" s="12">
        <v>46113</v>
      </c>
      <c r="AP530">
        <v>2026</v>
      </c>
      <c r="AQ530">
        <v>4</v>
      </c>
      <c r="AR530" t="s">
        <v>2651</v>
      </c>
    </row>
    <row r="531" spans="1:44">
      <c r="A531" t="s">
        <v>1671</v>
      </c>
      <c r="B531" s="12">
        <v>46119</v>
      </c>
      <c r="C531" s="12">
        <v>46073</v>
      </c>
      <c r="D531" t="s">
        <v>523</v>
      </c>
      <c r="E531" t="s">
        <v>255</v>
      </c>
      <c r="F531" t="s">
        <v>256</v>
      </c>
      <c r="G531" t="s">
        <v>398</v>
      </c>
      <c r="H531" t="s">
        <v>115</v>
      </c>
      <c r="I531" t="s">
        <v>271</v>
      </c>
      <c r="J531" s="13">
        <v>0.60416666666666663</v>
      </c>
      <c r="K531" s="13">
        <v>0.6069444444444444</v>
      </c>
      <c r="L531" s="13">
        <v>0.62916666666666665</v>
      </c>
      <c r="M531">
        <v>60</v>
      </c>
      <c r="N531" s="14">
        <v>95</v>
      </c>
      <c r="O531" t="s">
        <v>195</v>
      </c>
      <c r="P531">
        <v>5</v>
      </c>
      <c r="Q531" t="s">
        <v>318</v>
      </c>
      <c r="R531" t="s">
        <v>1568</v>
      </c>
      <c r="S531">
        <v>0</v>
      </c>
      <c r="T531">
        <v>0</v>
      </c>
      <c r="U531" t="s">
        <v>2299</v>
      </c>
      <c r="V531" t="s">
        <v>2295</v>
      </c>
      <c r="W531" t="s">
        <v>2300</v>
      </c>
      <c r="X531" t="s">
        <v>2288</v>
      </c>
      <c r="Y531" t="s">
        <v>2301</v>
      </c>
      <c r="Z531" t="s">
        <v>2312</v>
      </c>
      <c r="AA531">
        <v>21</v>
      </c>
      <c r="AB531" s="14">
        <v>95</v>
      </c>
      <c r="AC531" t="s">
        <v>2313</v>
      </c>
      <c r="AD531" t="s">
        <v>2314</v>
      </c>
      <c r="AE531" t="s">
        <v>2643</v>
      </c>
      <c r="AF531">
        <v>46</v>
      </c>
      <c r="AG531">
        <v>0</v>
      </c>
      <c r="AH531">
        <v>32</v>
      </c>
      <c r="AI531">
        <v>0</v>
      </c>
      <c r="AJ531">
        <v>1</v>
      </c>
      <c r="AK531">
        <v>0</v>
      </c>
      <c r="AL531">
        <v>1</v>
      </c>
      <c r="AM531" s="14">
        <v>0</v>
      </c>
      <c r="AN531" t="s">
        <v>2644</v>
      </c>
      <c r="AO531" s="12">
        <v>46113</v>
      </c>
      <c r="AP531">
        <v>2026</v>
      </c>
      <c r="AQ531">
        <v>4</v>
      </c>
      <c r="AR531" t="s">
        <v>2651</v>
      </c>
    </row>
    <row r="532" spans="1:44">
      <c r="A532" t="s">
        <v>1673</v>
      </c>
      <c r="B532" s="12">
        <v>46121</v>
      </c>
      <c r="C532" s="12">
        <v>46074</v>
      </c>
      <c r="D532" t="s">
        <v>1508</v>
      </c>
      <c r="E532" t="s">
        <v>339</v>
      </c>
      <c r="F532" t="s">
        <v>282</v>
      </c>
      <c r="G532" t="s">
        <v>564</v>
      </c>
      <c r="H532" t="s">
        <v>127</v>
      </c>
      <c r="I532" t="s">
        <v>271</v>
      </c>
      <c r="J532" s="13">
        <v>0.4375</v>
      </c>
      <c r="K532" s="13"/>
      <c r="L532" s="13"/>
      <c r="M532">
        <v>0</v>
      </c>
      <c r="N532" s="14">
        <v>120</v>
      </c>
      <c r="O532" t="s">
        <v>195</v>
      </c>
      <c r="Q532" t="s">
        <v>318</v>
      </c>
      <c r="R532" t="s">
        <v>1568</v>
      </c>
      <c r="S532">
        <v>0</v>
      </c>
      <c r="T532">
        <v>0</v>
      </c>
      <c r="U532" t="s">
        <v>2294</v>
      </c>
      <c r="V532" t="s">
        <v>2295</v>
      </c>
      <c r="W532" t="s">
        <v>2296</v>
      </c>
      <c r="X532" t="s">
        <v>2297</v>
      </c>
      <c r="Y532" t="s">
        <v>2298</v>
      </c>
      <c r="Z532" t="s">
        <v>2309</v>
      </c>
      <c r="AA532">
        <v>14</v>
      </c>
      <c r="AB532" s="14">
        <v>120</v>
      </c>
      <c r="AC532" t="s">
        <v>2310</v>
      </c>
      <c r="AD532" t="s">
        <v>2311</v>
      </c>
      <c r="AE532" t="s">
        <v>2643</v>
      </c>
      <c r="AF532">
        <v>47</v>
      </c>
      <c r="AG532">
        <v>0</v>
      </c>
      <c r="AJ532">
        <v>0</v>
      </c>
      <c r="AL532">
        <v>1</v>
      </c>
      <c r="AM532" s="14">
        <v>0</v>
      </c>
      <c r="AN532" t="s">
        <v>2644</v>
      </c>
      <c r="AO532" s="12">
        <v>46113</v>
      </c>
      <c r="AP532">
        <v>2026</v>
      </c>
      <c r="AQ532">
        <v>4</v>
      </c>
      <c r="AR532" t="s">
        <v>2651</v>
      </c>
    </row>
    <row r="533" spans="1:44">
      <c r="A533" t="s">
        <v>1674</v>
      </c>
      <c r="B533" s="12">
        <v>46114</v>
      </c>
      <c r="C533" s="12">
        <v>46065</v>
      </c>
      <c r="D533" t="s">
        <v>1110</v>
      </c>
      <c r="E533" t="s">
        <v>255</v>
      </c>
      <c r="F533" t="s">
        <v>269</v>
      </c>
      <c r="G533" t="s">
        <v>542</v>
      </c>
      <c r="H533" t="s">
        <v>122</v>
      </c>
      <c r="I533" t="s">
        <v>271</v>
      </c>
      <c r="J533" s="13">
        <v>0.52083333333333337</v>
      </c>
      <c r="K533" s="13"/>
      <c r="L533" s="13"/>
      <c r="M533">
        <v>0</v>
      </c>
      <c r="N533" s="14">
        <v>80</v>
      </c>
      <c r="O533" t="s">
        <v>195</v>
      </c>
      <c r="Q533" t="s">
        <v>305</v>
      </c>
      <c r="R533" t="s">
        <v>1568</v>
      </c>
      <c r="S533">
        <v>0</v>
      </c>
      <c r="T533">
        <v>0</v>
      </c>
      <c r="U533" t="s">
        <v>2299</v>
      </c>
      <c r="V533" t="s">
        <v>2295</v>
      </c>
      <c r="W533" t="s">
        <v>2300</v>
      </c>
      <c r="X533" t="s">
        <v>2288</v>
      </c>
      <c r="Y533" t="s">
        <v>2301</v>
      </c>
      <c r="Z533" t="s">
        <v>2315</v>
      </c>
      <c r="AA533">
        <v>10</v>
      </c>
      <c r="AB533" s="14">
        <v>80</v>
      </c>
      <c r="AC533" t="s">
        <v>2316</v>
      </c>
      <c r="AD533" t="s">
        <v>2317</v>
      </c>
      <c r="AE533" t="s">
        <v>2643</v>
      </c>
      <c r="AF533">
        <v>49</v>
      </c>
      <c r="AG533">
        <v>0</v>
      </c>
      <c r="AJ533">
        <v>1</v>
      </c>
      <c r="AK533">
        <v>1</v>
      </c>
      <c r="AL533">
        <v>1</v>
      </c>
      <c r="AM533" s="14">
        <v>0</v>
      </c>
      <c r="AN533" t="s">
        <v>2644</v>
      </c>
      <c r="AO533" s="12">
        <v>46113</v>
      </c>
      <c r="AP533">
        <v>2026</v>
      </c>
      <c r="AQ533">
        <v>4</v>
      </c>
      <c r="AR533" t="s">
        <v>2651</v>
      </c>
    </row>
    <row r="534" spans="1:44">
      <c r="A534" t="s">
        <v>1675</v>
      </c>
      <c r="B534" s="12">
        <v>46132</v>
      </c>
      <c r="C534" s="12">
        <v>46081</v>
      </c>
      <c r="D534" t="s">
        <v>921</v>
      </c>
      <c r="E534" t="s">
        <v>339</v>
      </c>
      <c r="F534" t="s">
        <v>269</v>
      </c>
      <c r="G534" t="s">
        <v>340</v>
      </c>
      <c r="H534" t="s">
        <v>115</v>
      </c>
      <c r="I534" t="s">
        <v>316</v>
      </c>
      <c r="J534" s="13">
        <v>0.60416666666666663</v>
      </c>
      <c r="K534" s="13">
        <v>0.60347222222222219</v>
      </c>
      <c r="L534" s="13">
        <v>0.61388888888888893</v>
      </c>
      <c r="M534">
        <v>30</v>
      </c>
      <c r="N534" s="14">
        <v>80</v>
      </c>
      <c r="O534" t="s">
        <v>195</v>
      </c>
      <c r="P534">
        <v>4</v>
      </c>
      <c r="Q534" t="s">
        <v>318</v>
      </c>
      <c r="R534" t="s">
        <v>1568</v>
      </c>
      <c r="S534">
        <v>0</v>
      </c>
      <c r="T534">
        <v>0</v>
      </c>
      <c r="U534" t="s">
        <v>2294</v>
      </c>
      <c r="V534" t="s">
        <v>2295</v>
      </c>
      <c r="W534" t="s">
        <v>2296</v>
      </c>
      <c r="X534" t="s">
        <v>2297</v>
      </c>
      <c r="Y534" t="s">
        <v>2298</v>
      </c>
      <c r="Z534" t="s">
        <v>2315</v>
      </c>
      <c r="AA534">
        <v>10</v>
      </c>
      <c r="AB534" s="14">
        <v>80</v>
      </c>
      <c r="AC534" t="s">
        <v>2316</v>
      </c>
      <c r="AD534" t="s">
        <v>2317</v>
      </c>
      <c r="AE534" t="s">
        <v>2643</v>
      </c>
      <c r="AF534">
        <v>51</v>
      </c>
      <c r="AG534">
        <v>0</v>
      </c>
      <c r="AH534">
        <v>15</v>
      </c>
      <c r="AI534">
        <v>1</v>
      </c>
      <c r="AJ534">
        <v>1</v>
      </c>
      <c r="AK534">
        <v>0</v>
      </c>
      <c r="AL534">
        <v>1</v>
      </c>
      <c r="AM534" s="14">
        <v>0</v>
      </c>
      <c r="AN534" t="s">
        <v>2644</v>
      </c>
      <c r="AO534" s="12">
        <v>46113</v>
      </c>
      <c r="AP534">
        <v>2026</v>
      </c>
      <c r="AQ534">
        <v>4</v>
      </c>
      <c r="AR534" t="s">
        <v>2651</v>
      </c>
    </row>
    <row r="535" spans="1:44">
      <c r="A535" t="s">
        <v>1677</v>
      </c>
      <c r="B535" s="12">
        <v>46136</v>
      </c>
      <c r="C535" s="12">
        <v>46124</v>
      </c>
      <c r="D535" t="s">
        <v>450</v>
      </c>
      <c r="E535" t="s">
        <v>281</v>
      </c>
      <c r="F535" t="s">
        <v>409</v>
      </c>
      <c r="G535" t="s">
        <v>496</v>
      </c>
      <c r="H535" t="s">
        <v>115</v>
      </c>
      <c r="I535" t="s">
        <v>258</v>
      </c>
      <c r="J535" s="13">
        <v>0.52083333333333337</v>
      </c>
      <c r="K535" s="13">
        <v>0.52777777777777779</v>
      </c>
      <c r="L535" s="13">
        <v>0.52847222222222223</v>
      </c>
      <c r="M535">
        <v>30</v>
      </c>
      <c r="N535" s="14">
        <v>150</v>
      </c>
      <c r="O535" t="s">
        <v>195</v>
      </c>
      <c r="P535">
        <v>4</v>
      </c>
      <c r="Q535" t="s">
        <v>318</v>
      </c>
      <c r="R535" t="s">
        <v>1568</v>
      </c>
      <c r="S535">
        <v>0</v>
      </c>
      <c r="T535">
        <v>0</v>
      </c>
      <c r="U535" t="s">
        <v>2290</v>
      </c>
      <c r="V535" t="s">
        <v>2291</v>
      </c>
      <c r="W535" t="s">
        <v>2292</v>
      </c>
      <c r="X535" t="s">
        <v>2288</v>
      </c>
      <c r="Y535" t="s">
        <v>2293</v>
      </c>
      <c r="Z535" t="s">
        <v>2318</v>
      </c>
      <c r="AA535">
        <v>28</v>
      </c>
      <c r="AB535" s="14">
        <v>150</v>
      </c>
      <c r="AC535" t="s">
        <v>2319</v>
      </c>
      <c r="AD535" t="s">
        <v>2320</v>
      </c>
      <c r="AE535" t="s">
        <v>2643</v>
      </c>
      <c r="AF535">
        <v>12</v>
      </c>
      <c r="AG535">
        <v>1</v>
      </c>
      <c r="AH535">
        <v>1</v>
      </c>
      <c r="AI535">
        <v>1</v>
      </c>
      <c r="AJ535">
        <v>1</v>
      </c>
      <c r="AK535">
        <v>0</v>
      </c>
      <c r="AL535">
        <v>1</v>
      </c>
      <c r="AM535" s="14">
        <v>0</v>
      </c>
      <c r="AN535" t="s">
        <v>2644</v>
      </c>
      <c r="AO535" s="12">
        <v>46113</v>
      </c>
      <c r="AP535">
        <v>2026</v>
      </c>
      <c r="AQ535">
        <v>4</v>
      </c>
      <c r="AR535" t="s">
        <v>2651</v>
      </c>
    </row>
    <row r="536" spans="1:44">
      <c r="A536" t="s">
        <v>1678</v>
      </c>
      <c r="B536" s="12">
        <v>46122</v>
      </c>
      <c r="C536" s="12">
        <v>46080</v>
      </c>
      <c r="D536" t="s">
        <v>1537</v>
      </c>
      <c r="E536" t="s">
        <v>281</v>
      </c>
      <c r="F536" t="s">
        <v>282</v>
      </c>
      <c r="G536" t="s">
        <v>446</v>
      </c>
      <c r="H536" t="s">
        <v>115</v>
      </c>
      <c r="I536" t="s">
        <v>258</v>
      </c>
      <c r="J536" s="13">
        <v>0.375</v>
      </c>
      <c r="K536" s="13">
        <v>0.3840277777777778</v>
      </c>
      <c r="L536" s="13">
        <v>0.37569444444444444</v>
      </c>
      <c r="M536">
        <v>20</v>
      </c>
      <c r="N536" s="14">
        <v>120</v>
      </c>
      <c r="O536" t="s">
        <v>195</v>
      </c>
      <c r="P536">
        <v>2</v>
      </c>
      <c r="Q536" t="s">
        <v>318</v>
      </c>
      <c r="R536" t="s">
        <v>1568</v>
      </c>
      <c r="S536">
        <v>0</v>
      </c>
      <c r="T536">
        <v>0</v>
      </c>
      <c r="U536" t="s">
        <v>2290</v>
      </c>
      <c r="V536" t="s">
        <v>2291</v>
      </c>
      <c r="W536" t="s">
        <v>2292</v>
      </c>
      <c r="X536" t="s">
        <v>2288</v>
      </c>
      <c r="Y536" t="s">
        <v>2293</v>
      </c>
      <c r="Z536" t="s">
        <v>2309</v>
      </c>
      <c r="AA536">
        <v>14</v>
      </c>
      <c r="AB536" s="14">
        <v>120</v>
      </c>
      <c r="AC536" t="s">
        <v>2310</v>
      </c>
      <c r="AD536" t="s">
        <v>2311</v>
      </c>
      <c r="AE536" t="s">
        <v>2643</v>
      </c>
      <c r="AF536">
        <v>42</v>
      </c>
      <c r="AG536">
        <v>0</v>
      </c>
      <c r="AJ536">
        <v>1</v>
      </c>
      <c r="AK536">
        <v>0</v>
      </c>
      <c r="AL536">
        <v>1</v>
      </c>
      <c r="AM536" s="14">
        <v>0</v>
      </c>
      <c r="AN536" t="s">
        <v>2644</v>
      </c>
      <c r="AO536" s="12">
        <v>46113</v>
      </c>
      <c r="AP536">
        <v>2026</v>
      </c>
      <c r="AQ536">
        <v>4</v>
      </c>
      <c r="AR536" t="s">
        <v>2651</v>
      </c>
    </row>
    <row r="537" spans="1:44">
      <c r="A537" t="s">
        <v>1679</v>
      </c>
      <c r="B537" s="12">
        <v>46142</v>
      </c>
      <c r="C537" s="12">
        <v>46105</v>
      </c>
      <c r="D537" t="s">
        <v>558</v>
      </c>
      <c r="E537" t="s">
        <v>268</v>
      </c>
      <c r="F537" t="s">
        <v>409</v>
      </c>
      <c r="G537" t="s">
        <v>587</v>
      </c>
      <c r="H537" t="s">
        <v>115</v>
      </c>
      <c r="I537" t="s">
        <v>299</v>
      </c>
      <c r="J537" s="13">
        <v>0.64583333333333337</v>
      </c>
      <c r="K537" s="13">
        <v>0.63958333333333328</v>
      </c>
      <c r="L537" s="13">
        <v>0.67152777777777772</v>
      </c>
      <c r="M537">
        <v>60</v>
      </c>
      <c r="N537" s="14">
        <v>150</v>
      </c>
      <c r="O537" t="s">
        <v>195</v>
      </c>
      <c r="P537">
        <v>2</v>
      </c>
      <c r="Q537" t="s">
        <v>262</v>
      </c>
      <c r="R537" t="s">
        <v>1568</v>
      </c>
      <c r="S537">
        <v>0</v>
      </c>
      <c r="T537">
        <v>0</v>
      </c>
      <c r="U537" t="s">
        <v>2285</v>
      </c>
      <c r="V537" t="s">
        <v>2286</v>
      </c>
      <c r="W537" t="s">
        <v>2287</v>
      </c>
      <c r="X537" t="s">
        <v>2288</v>
      </c>
      <c r="Y537" t="s">
        <v>2289</v>
      </c>
      <c r="Z537" t="s">
        <v>2318</v>
      </c>
      <c r="AA537">
        <v>28</v>
      </c>
      <c r="AB537" s="14">
        <v>150</v>
      </c>
      <c r="AC537" t="s">
        <v>2319</v>
      </c>
      <c r="AD537" t="s">
        <v>2320</v>
      </c>
      <c r="AE537" t="s">
        <v>2643</v>
      </c>
      <c r="AF537">
        <v>37</v>
      </c>
      <c r="AG537">
        <v>0</v>
      </c>
      <c r="AH537">
        <v>46</v>
      </c>
      <c r="AI537">
        <v>0</v>
      </c>
      <c r="AJ537">
        <v>1</v>
      </c>
      <c r="AK537">
        <v>0</v>
      </c>
      <c r="AL537">
        <v>1</v>
      </c>
      <c r="AM537" s="14">
        <v>0</v>
      </c>
      <c r="AN537" t="s">
        <v>2644</v>
      </c>
      <c r="AO537" s="12">
        <v>46113</v>
      </c>
      <c r="AP537">
        <v>2026</v>
      </c>
      <c r="AQ537">
        <v>4</v>
      </c>
      <c r="AR537" t="s">
        <v>2651</v>
      </c>
    </row>
    <row r="538" spans="1:44">
      <c r="A538" t="s">
        <v>1682</v>
      </c>
      <c r="B538" s="12">
        <v>46117</v>
      </c>
      <c r="C538" s="12">
        <v>46091</v>
      </c>
      <c r="D538" t="s">
        <v>995</v>
      </c>
      <c r="E538" t="s">
        <v>281</v>
      </c>
      <c r="F538" t="s">
        <v>409</v>
      </c>
      <c r="G538" t="s">
        <v>535</v>
      </c>
      <c r="H538" t="s">
        <v>122</v>
      </c>
      <c r="I538" t="s">
        <v>299</v>
      </c>
      <c r="J538" s="13">
        <v>0.58333333333333337</v>
      </c>
      <c r="K538" s="13"/>
      <c r="L538" s="13"/>
      <c r="M538">
        <v>0</v>
      </c>
      <c r="N538" s="14">
        <v>150</v>
      </c>
      <c r="O538" t="s">
        <v>195</v>
      </c>
      <c r="Q538" t="s">
        <v>326</v>
      </c>
      <c r="R538" t="s">
        <v>1568</v>
      </c>
      <c r="S538">
        <v>0</v>
      </c>
      <c r="T538">
        <v>0</v>
      </c>
      <c r="U538" t="s">
        <v>2290</v>
      </c>
      <c r="V538" t="s">
        <v>2291</v>
      </c>
      <c r="W538" t="s">
        <v>2292</v>
      </c>
      <c r="X538" t="s">
        <v>2288</v>
      </c>
      <c r="Y538" t="s">
        <v>2293</v>
      </c>
      <c r="Z538" t="s">
        <v>2318</v>
      </c>
      <c r="AA538">
        <v>28</v>
      </c>
      <c r="AB538" s="14">
        <v>150</v>
      </c>
      <c r="AC538" t="s">
        <v>2319</v>
      </c>
      <c r="AD538" t="s">
        <v>2320</v>
      </c>
      <c r="AE538" t="s">
        <v>2643</v>
      </c>
      <c r="AF538">
        <v>26</v>
      </c>
      <c r="AG538">
        <v>1</v>
      </c>
      <c r="AJ538">
        <v>1</v>
      </c>
      <c r="AK538">
        <v>1</v>
      </c>
      <c r="AL538">
        <v>1</v>
      </c>
      <c r="AM538" s="14">
        <v>0</v>
      </c>
      <c r="AN538" t="s">
        <v>2644</v>
      </c>
      <c r="AO538" s="12">
        <v>46113</v>
      </c>
      <c r="AP538">
        <v>2026</v>
      </c>
      <c r="AQ538">
        <v>4</v>
      </c>
      <c r="AR538" t="s">
        <v>2651</v>
      </c>
    </row>
    <row r="539" spans="1:44">
      <c r="A539" t="s">
        <v>1683</v>
      </c>
      <c r="B539" s="12">
        <v>46123</v>
      </c>
      <c r="C539" s="12">
        <v>46072</v>
      </c>
      <c r="D539" t="s">
        <v>1144</v>
      </c>
      <c r="E539" t="s">
        <v>339</v>
      </c>
      <c r="F539" t="s">
        <v>297</v>
      </c>
      <c r="G539" t="s">
        <v>569</v>
      </c>
      <c r="H539" t="s">
        <v>115</v>
      </c>
      <c r="I539" t="s">
        <v>316</v>
      </c>
      <c r="J539" s="13">
        <v>0.66666666666666663</v>
      </c>
      <c r="K539" s="13">
        <v>0.66180555555555554</v>
      </c>
      <c r="L539" s="13">
        <v>0.68194444444444446</v>
      </c>
      <c r="M539">
        <v>30</v>
      </c>
      <c r="N539" s="14">
        <v>65</v>
      </c>
      <c r="O539" t="s">
        <v>169</v>
      </c>
      <c r="P539">
        <v>2</v>
      </c>
      <c r="Q539" t="s">
        <v>262</v>
      </c>
      <c r="R539" t="s">
        <v>1568</v>
      </c>
      <c r="S539">
        <v>0</v>
      </c>
      <c r="T539">
        <v>0</v>
      </c>
      <c r="U539" t="s">
        <v>2294</v>
      </c>
      <c r="V539" t="s">
        <v>2295</v>
      </c>
      <c r="W539" t="s">
        <v>2296</v>
      </c>
      <c r="X539" t="s">
        <v>2297</v>
      </c>
      <c r="Y539" t="s">
        <v>2298</v>
      </c>
      <c r="Z539" t="s">
        <v>2306</v>
      </c>
      <c r="AA539">
        <v>7</v>
      </c>
      <c r="AB539" s="14">
        <v>65</v>
      </c>
      <c r="AC539" t="s">
        <v>2307</v>
      </c>
      <c r="AD539" t="s">
        <v>2308</v>
      </c>
      <c r="AE539" t="s">
        <v>2643</v>
      </c>
      <c r="AF539">
        <v>51</v>
      </c>
      <c r="AG539">
        <v>0</v>
      </c>
      <c r="AH539">
        <v>29</v>
      </c>
      <c r="AI539">
        <v>1</v>
      </c>
      <c r="AJ539">
        <v>1</v>
      </c>
      <c r="AK539">
        <v>0</v>
      </c>
      <c r="AL539">
        <v>1</v>
      </c>
      <c r="AM539" s="14">
        <v>0</v>
      </c>
      <c r="AN539" t="s">
        <v>2644</v>
      </c>
      <c r="AO539" s="12">
        <v>46113</v>
      </c>
      <c r="AP539">
        <v>2026</v>
      </c>
      <c r="AQ539">
        <v>4</v>
      </c>
      <c r="AR539" t="s">
        <v>2651</v>
      </c>
    </row>
    <row r="540" spans="1:44">
      <c r="A540" t="s">
        <v>1685</v>
      </c>
      <c r="B540" s="12">
        <v>46129</v>
      </c>
      <c r="C540" s="12">
        <v>46122</v>
      </c>
      <c r="D540" t="s">
        <v>1237</v>
      </c>
      <c r="E540" t="s">
        <v>281</v>
      </c>
      <c r="F540" t="s">
        <v>409</v>
      </c>
      <c r="G540" t="s">
        <v>496</v>
      </c>
      <c r="H540" t="s">
        <v>115</v>
      </c>
      <c r="I540" t="s">
        <v>258</v>
      </c>
      <c r="J540" s="13">
        <v>0.5625</v>
      </c>
      <c r="K540" s="13">
        <v>0.5625</v>
      </c>
      <c r="L540" s="13">
        <v>0.58333333333333337</v>
      </c>
      <c r="M540">
        <v>45</v>
      </c>
      <c r="N540" s="14">
        <v>150</v>
      </c>
      <c r="O540" t="s">
        <v>195</v>
      </c>
      <c r="P540">
        <v>4</v>
      </c>
      <c r="Q540" t="s">
        <v>262</v>
      </c>
      <c r="R540" t="s">
        <v>1568</v>
      </c>
      <c r="S540">
        <v>0</v>
      </c>
      <c r="T540">
        <v>0</v>
      </c>
      <c r="U540" t="s">
        <v>2290</v>
      </c>
      <c r="V540" t="s">
        <v>2291</v>
      </c>
      <c r="W540" t="s">
        <v>2292</v>
      </c>
      <c r="X540" t="s">
        <v>2288</v>
      </c>
      <c r="Y540" t="s">
        <v>2293</v>
      </c>
      <c r="Z540" t="s">
        <v>2318</v>
      </c>
      <c r="AA540">
        <v>28</v>
      </c>
      <c r="AB540" s="14">
        <v>150</v>
      </c>
      <c r="AC540" t="s">
        <v>2319</v>
      </c>
      <c r="AD540" t="s">
        <v>2320</v>
      </c>
      <c r="AE540" t="s">
        <v>2643</v>
      </c>
      <c r="AF540">
        <v>7</v>
      </c>
      <c r="AG540">
        <v>1</v>
      </c>
      <c r="AH540">
        <v>30</v>
      </c>
      <c r="AI540">
        <v>1</v>
      </c>
      <c r="AJ540">
        <v>1</v>
      </c>
      <c r="AK540">
        <v>0</v>
      </c>
      <c r="AL540">
        <v>1</v>
      </c>
      <c r="AM540" s="14">
        <v>0</v>
      </c>
      <c r="AN540" t="s">
        <v>2644</v>
      </c>
      <c r="AO540" s="12">
        <v>46113</v>
      </c>
      <c r="AP540">
        <v>2026</v>
      </c>
      <c r="AQ540">
        <v>4</v>
      </c>
      <c r="AR540" t="s">
        <v>2651</v>
      </c>
    </row>
    <row r="541" spans="1:44">
      <c r="A541" t="s">
        <v>1686</v>
      </c>
      <c r="B541" s="12">
        <v>46135</v>
      </c>
      <c r="C541" s="12">
        <v>46128</v>
      </c>
      <c r="D541" t="s">
        <v>1251</v>
      </c>
      <c r="E541" t="s">
        <v>268</v>
      </c>
      <c r="F541" t="s">
        <v>297</v>
      </c>
      <c r="G541" t="s">
        <v>583</v>
      </c>
      <c r="H541" t="s">
        <v>127</v>
      </c>
      <c r="I541" t="s">
        <v>316</v>
      </c>
      <c r="J541" s="13">
        <v>0.41666666666666669</v>
      </c>
      <c r="K541" s="13"/>
      <c r="L541" s="13"/>
      <c r="M541">
        <v>0</v>
      </c>
      <c r="N541" s="14">
        <v>65</v>
      </c>
      <c r="O541" t="s">
        <v>169</v>
      </c>
      <c r="Q541" t="s">
        <v>326</v>
      </c>
      <c r="R541" t="s">
        <v>1568</v>
      </c>
      <c r="S541">
        <v>0</v>
      </c>
      <c r="T541">
        <v>0</v>
      </c>
      <c r="U541" t="s">
        <v>2285</v>
      </c>
      <c r="V541" t="s">
        <v>2286</v>
      </c>
      <c r="W541" t="s">
        <v>2287</v>
      </c>
      <c r="X541" t="s">
        <v>2288</v>
      </c>
      <c r="Y541" t="s">
        <v>2289</v>
      </c>
      <c r="Z541" t="s">
        <v>2306</v>
      </c>
      <c r="AA541">
        <v>7</v>
      </c>
      <c r="AB541" s="14">
        <v>65</v>
      </c>
      <c r="AC541" t="s">
        <v>2307</v>
      </c>
      <c r="AD541" t="s">
        <v>2308</v>
      </c>
      <c r="AE541" t="s">
        <v>2643</v>
      </c>
      <c r="AF541">
        <v>7</v>
      </c>
      <c r="AG541">
        <v>1</v>
      </c>
      <c r="AJ541">
        <v>0</v>
      </c>
      <c r="AL541">
        <v>1</v>
      </c>
      <c r="AM541" s="14">
        <v>0</v>
      </c>
      <c r="AN541" t="s">
        <v>2644</v>
      </c>
      <c r="AO541" s="12">
        <v>46113</v>
      </c>
      <c r="AP541">
        <v>2026</v>
      </c>
      <c r="AQ541">
        <v>4</v>
      </c>
      <c r="AR541" t="s">
        <v>2651</v>
      </c>
    </row>
    <row r="542" spans="1:44">
      <c r="A542" t="s">
        <v>1689</v>
      </c>
      <c r="B542" s="12">
        <v>46130</v>
      </c>
      <c r="C542" s="12">
        <v>46113</v>
      </c>
      <c r="D542" t="s">
        <v>857</v>
      </c>
      <c r="E542" t="s">
        <v>281</v>
      </c>
      <c r="F542" t="s">
        <v>282</v>
      </c>
      <c r="G542" t="s">
        <v>283</v>
      </c>
      <c r="H542" t="s">
        <v>115</v>
      </c>
      <c r="I542" t="s">
        <v>271</v>
      </c>
      <c r="J542" s="13">
        <v>0.41666666666666669</v>
      </c>
      <c r="K542" s="13">
        <v>0.42083333333333334</v>
      </c>
      <c r="L542" s="13">
        <v>0.41875000000000001</v>
      </c>
      <c r="M542">
        <v>60</v>
      </c>
      <c r="N542" s="14">
        <v>120</v>
      </c>
      <c r="O542" t="s">
        <v>169</v>
      </c>
      <c r="P542">
        <v>5</v>
      </c>
      <c r="Q542" t="s">
        <v>318</v>
      </c>
      <c r="R542" t="s">
        <v>1568</v>
      </c>
      <c r="S542">
        <v>0</v>
      </c>
      <c r="T542">
        <v>0</v>
      </c>
      <c r="U542" t="s">
        <v>2290</v>
      </c>
      <c r="V542" t="s">
        <v>2291</v>
      </c>
      <c r="W542" t="s">
        <v>2292</v>
      </c>
      <c r="X542" t="s">
        <v>2288</v>
      </c>
      <c r="Y542" t="s">
        <v>2293</v>
      </c>
      <c r="Z542" t="s">
        <v>2309</v>
      </c>
      <c r="AA542">
        <v>14</v>
      </c>
      <c r="AB542" s="14">
        <v>120</v>
      </c>
      <c r="AC542" t="s">
        <v>2310</v>
      </c>
      <c r="AD542" t="s">
        <v>2311</v>
      </c>
      <c r="AE542" t="s">
        <v>2643</v>
      </c>
      <c r="AF542">
        <v>17</v>
      </c>
      <c r="AG542">
        <v>0</v>
      </c>
      <c r="AJ542">
        <v>1</v>
      </c>
      <c r="AK542">
        <v>0</v>
      </c>
      <c r="AL542">
        <v>1</v>
      </c>
      <c r="AM542" s="14">
        <v>0</v>
      </c>
      <c r="AN542" t="s">
        <v>2644</v>
      </c>
      <c r="AO542" s="12">
        <v>46113</v>
      </c>
      <c r="AP542">
        <v>2026</v>
      </c>
      <c r="AQ542">
        <v>4</v>
      </c>
      <c r="AR542" t="s">
        <v>2651</v>
      </c>
    </row>
    <row r="543" spans="1:44">
      <c r="A543" t="s">
        <v>1690</v>
      </c>
      <c r="B543" s="12">
        <v>46131</v>
      </c>
      <c r="C543" s="12">
        <v>46118</v>
      </c>
      <c r="D543" t="s">
        <v>1447</v>
      </c>
      <c r="E543" t="s">
        <v>281</v>
      </c>
      <c r="F543" t="s">
        <v>297</v>
      </c>
      <c r="G543" t="s">
        <v>298</v>
      </c>
      <c r="H543" t="s">
        <v>466</v>
      </c>
      <c r="I543" t="s">
        <v>299</v>
      </c>
      <c r="J543" s="13">
        <v>0.47916666666666669</v>
      </c>
      <c r="K543" s="13"/>
      <c r="L543" s="13"/>
      <c r="M543">
        <v>0</v>
      </c>
      <c r="N543" s="14">
        <v>65</v>
      </c>
      <c r="O543" t="s">
        <v>195</v>
      </c>
      <c r="Q543" t="s">
        <v>305</v>
      </c>
      <c r="R543" t="s">
        <v>1568</v>
      </c>
      <c r="S543">
        <v>0</v>
      </c>
      <c r="T543">
        <v>0</v>
      </c>
      <c r="U543" t="s">
        <v>2290</v>
      </c>
      <c r="V543" t="s">
        <v>2291</v>
      </c>
      <c r="W543" t="s">
        <v>2292</v>
      </c>
      <c r="X543" t="s">
        <v>2288</v>
      </c>
      <c r="Y543" t="s">
        <v>2293</v>
      </c>
      <c r="Z543" t="s">
        <v>2306</v>
      </c>
      <c r="AA543">
        <v>7</v>
      </c>
      <c r="AB543" s="14">
        <v>65</v>
      </c>
      <c r="AC543" t="s">
        <v>2307</v>
      </c>
      <c r="AD543" t="s">
        <v>2308</v>
      </c>
      <c r="AE543" t="s">
        <v>2643</v>
      </c>
      <c r="AF543">
        <v>13</v>
      </c>
      <c r="AG543">
        <v>0</v>
      </c>
      <c r="AJ543">
        <v>0</v>
      </c>
      <c r="AL543">
        <v>1</v>
      </c>
      <c r="AM543" s="14">
        <v>0</v>
      </c>
      <c r="AN543" t="s">
        <v>2644</v>
      </c>
      <c r="AO543" s="12">
        <v>46113</v>
      </c>
      <c r="AP543">
        <v>2026</v>
      </c>
      <c r="AQ543">
        <v>4</v>
      </c>
      <c r="AR543" t="s">
        <v>2651</v>
      </c>
    </row>
    <row r="544" spans="1:44">
      <c r="A544" t="s">
        <v>1691</v>
      </c>
      <c r="B544" s="12">
        <v>46115</v>
      </c>
      <c r="C544" s="12">
        <v>46066</v>
      </c>
      <c r="D544" t="s">
        <v>1525</v>
      </c>
      <c r="E544" t="s">
        <v>281</v>
      </c>
      <c r="F544" t="s">
        <v>282</v>
      </c>
      <c r="G544" t="s">
        <v>283</v>
      </c>
      <c r="H544" t="s">
        <v>466</v>
      </c>
      <c r="I544" t="s">
        <v>258</v>
      </c>
      <c r="J544" s="13">
        <v>0.5</v>
      </c>
      <c r="K544" s="13"/>
      <c r="L544" s="13"/>
      <c r="M544">
        <v>0</v>
      </c>
      <c r="N544" s="14">
        <v>120</v>
      </c>
      <c r="O544" t="s">
        <v>195</v>
      </c>
      <c r="Q544" t="s">
        <v>285</v>
      </c>
      <c r="R544" t="s">
        <v>1568</v>
      </c>
      <c r="S544">
        <v>0</v>
      </c>
      <c r="T544">
        <v>0</v>
      </c>
      <c r="U544" t="s">
        <v>2290</v>
      </c>
      <c r="V544" t="s">
        <v>2291</v>
      </c>
      <c r="W544" t="s">
        <v>2292</v>
      </c>
      <c r="X544" t="s">
        <v>2288</v>
      </c>
      <c r="Y544" t="s">
        <v>2293</v>
      </c>
      <c r="Z544" t="s">
        <v>2309</v>
      </c>
      <c r="AA544">
        <v>14</v>
      </c>
      <c r="AB544" s="14">
        <v>120</v>
      </c>
      <c r="AC544" t="s">
        <v>2310</v>
      </c>
      <c r="AD544" t="s">
        <v>2311</v>
      </c>
      <c r="AE544" t="s">
        <v>2643</v>
      </c>
      <c r="AF544">
        <v>49</v>
      </c>
      <c r="AG544">
        <v>0</v>
      </c>
      <c r="AJ544">
        <v>0</v>
      </c>
      <c r="AL544">
        <v>1</v>
      </c>
      <c r="AM544" s="14">
        <v>0</v>
      </c>
      <c r="AN544" t="s">
        <v>2644</v>
      </c>
      <c r="AO544" s="12">
        <v>46113</v>
      </c>
      <c r="AP544">
        <v>2026</v>
      </c>
      <c r="AQ544">
        <v>4</v>
      </c>
      <c r="AR544" t="s">
        <v>2651</v>
      </c>
    </row>
    <row r="545" spans="1:44">
      <c r="A545" t="s">
        <v>1692</v>
      </c>
      <c r="B545" s="12">
        <v>46122</v>
      </c>
      <c r="C545" s="12">
        <v>46092</v>
      </c>
      <c r="D545" t="s">
        <v>741</v>
      </c>
      <c r="E545" t="s">
        <v>268</v>
      </c>
      <c r="F545" t="s">
        <v>256</v>
      </c>
      <c r="G545" t="s">
        <v>886</v>
      </c>
      <c r="H545" t="s">
        <v>115</v>
      </c>
      <c r="I545" t="s">
        <v>258</v>
      </c>
      <c r="J545" s="13">
        <v>0.35416666666666669</v>
      </c>
      <c r="K545" s="13">
        <v>0.36319444444444443</v>
      </c>
      <c r="L545" s="13">
        <v>0.38194444444444442</v>
      </c>
      <c r="M545">
        <v>45</v>
      </c>
      <c r="N545" s="14">
        <v>95</v>
      </c>
      <c r="O545" t="s">
        <v>195</v>
      </c>
      <c r="P545">
        <v>5</v>
      </c>
      <c r="Q545" t="s">
        <v>318</v>
      </c>
      <c r="R545" t="s">
        <v>1568</v>
      </c>
      <c r="S545">
        <v>0</v>
      </c>
      <c r="T545">
        <v>0</v>
      </c>
      <c r="U545" t="s">
        <v>2285</v>
      </c>
      <c r="V545" t="s">
        <v>2286</v>
      </c>
      <c r="W545" t="s">
        <v>2287</v>
      </c>
      <c r="X545" t="s">
        <v>2288</v>
      </c>
      <c r="Y545" t="s">
        <v>2289</v>
      </c>
      <c r="Z545" t="s">
        <v>2312</v>
      </c>
      <c r="AA545">
        <v>21</v>
      </c>
      <c r="AB545" s="14">
        <v>95</v>
      </c>
      <c r="AC545" t="s">
        <v>2313</v>
      </c>
      <c r="AD545" t="s">
        <v>2314</v>
      </c>
      <c r="AE545" t="s">
        <v>2643</v>
      </c>
      <c r="AF545">
        <v>30</v>
      </c>
      <c r="AG545">
        <v>0</v>
      </c>
      <c r="AH545">
        <v>27</v>
      </c>
      <c r="AI545">
        <v>1</v>
      </c>
      <c r="AJ545">
        <v>1</v>
      </c>
      <c r="AK545">
        <v>0</v>
      </c>
      <c r="AL545">
        <v>1</v>
      </c>
      <c r="AM545" s="14">
        <v>0</v>
      </c>
      <c r="AN545" t="s">
        <v>2644</v>
      </c>
      <c r="AO545" s="12">
        <v>46113</v>
      </c>
      <c r="AP545">
        <v>2026</v>
      </c>
      <c r="AQ545">
        <v>4</v>
      </c>
      <c r="AR545" t="s">
        <v>2651</v>
      </c>
    </row>
    <row r="546" spans="1:44">
      <c r="A546" t="s">
        <v>1693</v>
      </c>
      <c r="B546" s="12">
        <v>46136</v>
      </c>
      <c r="C546" s="12">
        <v>46094</v>
      </c>
      <c r="D546" t="s">
        <v>1361</v>
      </c>
      <c r="E546" t="s">
        <v>281</v>
      </c>
      <c r="F546" t="s">
        <v>409</v>
      </c>
      <c r="G546" t="s">
        <v>496</v>
      </c>
      <c r="H546" t="s">
        <v>122</v>
      </c>
      <c r="I546" t="s">
        <v>316</v>
      </c>
      <c r="J546" s="13">
        <v>0.35416666666666669</v>
      </c>
      <c r="K546" s="13"/>
      <c r="L546" s="13"/>
      <c r="M546">
        <v>0</v>
      </c>
      <c r="N546" s="14">
        <v>150</v>
      </c>
      <c r="O546" t="s">
        <v>195</v>
      </c>
      <c r="Q546" t="s">
        <v>318</v>
      </c>
      <c r="R546" t="s">
        <v>1568</v>
      </c>
      <c r="S546">
        <v>0</v>
      </c>
      <c r="T546">
        <v>0</v>
      </c>
      <c r="U546" t="s">
        <v>2290</v>
      </c>
      <c r="V546" t="s">
        <v>2291</v>
      </c>
      <c r="W546" t="s">
        <v>2292</v>
      </c>
      <c r="X546" t="s">
        <v>2288</v>
      </c>
      <c r="Y546" t="s">
        <v>2293</v>
      </c>
      <c r="Z546" t="s">
        <v>2318</v>
      </c>
      <c r="AA546">
        <v>28</v>
      </c>
      <c r="AB546" s="14">
        <v>150</v>
      </c>
      <c r="AC546" t="s">
        <v>2319</v>
      </c>
      <c r="AD546" t="s">
        <v>2320</v>
      </c>
      <c r="AE546" t="s">
        <v>2643</v>
      </c>
      <c r="AF546">
        <v>42</v>
      </c>
      <c r="AG546">
        <v>0</v>
      </c>
      <c r="AJ546">
        <v>1</v>
      </c>
      <c r="AK546">
        <v>1</v>
      </c>
      <c r="AL546">
        <v>1</v>
      </c>
      <c r="AM546" s="14">
        <v>0</v>
      </c>
      <c r="AN546" t="s">
        <v>2644</v>
      </c>
      <c r="AO546" s="12">
        <v>46113</v>
      </c>
      <c r="AP546">
        <v>2026</v>
      </c>
      <c r="AQ546">
        <v>4</v>
      </c>
      <c r="AR546" t="s">
        <v>2651</v>
      </c>
    </row>
    <row r="547" spans="1:44">
      <c r="A547" t="s">
        <v>1694</v>
      </c>
      <c r="B547" s="12">
        <v>46136</v>
      </c>
      <c r="C547" s="12">
        <v>46133</v>
      </c>
      <c r="D547" t="s">
        <v>445</v>
      </c>
      <c r="E547" t="s">
        <v>339</v>
      </c>
      <c r="F547" t="s">
        <v>256</v>
      </c>
      <c r="G547" t="s">
        <v>403</v>
      </c>
      <c r="H547" t="s">
        <v>115</v>
      </c>
      <c r="I547" t="s">
        <v>299</v>
      </c>
      <c r="J547" s="13">
        <v>0.5625</v>
      </c>
      <c r="K547" s="13">
        <v>0.56736111111111109</v>
      </c>
      <c r="L547" s="13">
        <v>0.58888888888888891</v>
      </c>
      <c r="M547">
        <v>60</v>
      </c>
      <c r="N547" s="14">
        <v>95</v>
      </c>
      <c r="O547" t="s">
        <v>195</v>
      </c>
      <c r="P547">
        <v>4</v>
      </c>
      <c r="Q547" t="s">
        <v>326</v>
      </c>
      <c r="R547" t="s">
        <v>1568</v>
      </c>
      <c r="S547">
        <v>0</v>
      </c>
      <c r="T547">
        <v>0</v>
      </c>
      <c r="U547" t="s">
        <v>2294</v>
      </c>
      <c r="V547" t="s">
        <v>2295</v>
      </c>
      <c r="W547" t="s">
        <v>2296</v>
      </c>
      <c r="X547" t="s">
        <v>2297</v>
      </c>
      <c r="Y547" t="s">
        <v>2298</v>
      </c>
      <c r="Z547" t="s">
        <v>2312</v>
      </c>
      <c r="AA547">
        <v>21</v>
      </c>
      <c r="AB547" s="14">
        <v>95</v>
      </c>
      <c r="AC547" t="s">
        <v>2313</v>
      </c>
      <c r="AD547" t="s">
        <v>2314</v>
      </c>
      <c r="AE547" t="s">
        <v>2643</v>
      </c>
      <c r="AF547">
        <v>3</v>
      </c>
      <c r="AG547">
        <v>1</v>
      </c>
      <c r="AH547">
        <v>31</v>
      </c>
      <c r="AI547">
        <v>0</v>
      </c>
      <c r="AJ547">
        <v>1</v>
      </c>
      <c r="AK547">
        <v>0</v>
      </c>
      <c r="AL547">
        <v>1</v>
      </c>
      <c r="AM547" s="14">
        <v>0</v>
      </c>
      <c r="AN547" t="s">
        <v>2644</v>
      </c>
      <c r="AO547" s="12">
        <v>46113</v>
      </c>
      <c r="AP547">
        <v>2026</v>
      </c>
      <c r="AQ547">
        <v>4</v>
      </c>
      <c r="AR547" t="s">
        <v>2651</v>
      </c>
    </row>
    <row r="548" spans="1:44">
      <c r="A548" t="s">
        <v>1695</v>
      </c>
      <c r="B548" s="12">
        <v>46132</v>
      </c>
      <c r="C548" s="12">
        <v>46115</v>
      </c>
      <c r="D548" t="s">
        <v>759</v>
      </c>
      <c r="E548" t="s">
        <v>339</v>
      </c>
      <c r="F548" t="s">
        <v>409</v>
      </c>
      <c r="G548" t="s">
        <v>501</v>
      </c>
      <c r="H548" t="s">
        <v>127</v>
      </c>
      <c r="I548" t="s">
        <v>258</v>
      </c>
      <c r="J548" s="13">
        <v>0.52083333333333337</v>
      </c>
      <c r="K548" s="13"/>
      <c r="L548" s="13"/>
      <c r="M548">
        <v>0</v>
      </c>
      <c r="N548" s="14">
        <v>150</v>
      </c>
      <c r="O548" t="s">
        <v>195</v>
      </c>
      <c r="Q548" t="s">
        <v>326</v>
      </c>
      <c r="R548" t="s">
        <v>1568</v>
      </c>
      <c r="S548">
        <v>0</v>
      </c>
      <c r="T548">
        <v>0</v>
      </c>
      <c r="U548" t="s">
        <v>2294</v>
      </c>
      <c r="V548" t="s">
        <v>2295</v>
      </c>
      <c r="W548" t="s">
        <v>2296</v>
      </c>
      <c r="X548" t="s">
        <v>2297</v>
      </c>
      <c r="Y548" t="s">
        <v>2298</v>
      </c>
      <c r="Z548" t="s">
        <v>2318</v>
      </c>
      <c r="AA548">
        <v>28</v>
      </c>
      <c r="AB548" s="14">
        <v>150</v>
      </c>
      <c r="AC548" t="s">
        <v>2319</v>
      </c>
      <c r="AD548" t="s">
        <v>2320</v>
      </c>
      <c r="AE548" t="s">
        <v>2643</v>
      </c>
      <c r="AF548">
        <v>17</v>
      </c>
      <c r="AG548">
        <v>1</v>
      </c>
      <c r="AJ548">
        <v>0</v>
      </c>
      <c r="AL548">
        <v>1</v>
      </c>
      <c r="AM548" s="14">
        <v>0</v>
      </c>
      <c r="AN548" t="s">
        <v>2644</v>
      </c>
      <c r="AO548" s="12">
        <v>46113</v>
      </c>
      <c r="AP548">
        <v>2026</v>
      </c>
      <c r="AQ548">
        <v>4</v>
      </c>
      <c r="AR548" t="s">
        <v>2651</v>
      </c>
    </row>
    <row r="549" spans="1:44">
      <c r="A549" t="s">
        <v>1696</v>
      </c>
      <c r="B549" s="12">
        <v>46122</v>
      </c>
      <c r="C549" s="12">
        <v>46082</v>
      </c>
      <c r="D549" t="s">
        <v>460</v>
      </c>
      <c r="E549" t="s">
        <v>255</v>
      </c>
      <c r="F549" t="s">
        <v>409</v>
      </c>
      <c r="G549" t="s">
        <v>648</v>
      </c>
      <c r="H549" t="s">
        <v>115</v>
      </c>
      <c r="I549" t="s">
        <v>316</v>
      </c>
      <c r="J549" s="13">
        <v>0.625</v>
      </c>
      <c r="K549" s="13">
        <v>0.63055555555555554</v>
      </c>
      <c r="L549" s="13">
        <v>0.65069444444444446</v>
      </c>
      <c r="M549">
        <v>30</v>
      </c>
      <c r="N549" s="14">
        <v>150</v>
      </c>
      <c r="O549" t="s">
        <v>169</v>
      </c>
      <c r="P549">
        <v>4</v>
      </c>
      <c r="Q549" t="s">
        <v>285</v>
      </c>
      <c r="R549" t="s">
        <v>1568</v>
      </c>
      <c r="S549">
        <v>0</v>
      </c>
      <c r="T549">
        <v>0</v>
      </c>
      <c r="U549" t="s">
        <v>2299</v>
      </c>
      <c r="V549" t="s">
        <v>2295</v>
      </c>
      <c r="W549" t="s">
        <v>2300</v>
      </c>
      <c r="X549" t="s">
        <v>2288</v>
      </c>
      <c r="Y549" t="s">
        <v>2301</v>
      </c>
      <c r="Z549" t="s">
        <v>2318</v>
      </c>
      <c r="AA549">
        <v>28</v>
      </c>
      <c r="AB549" s="14">
        <v>150</v>
      </c>
      <c r="AC549" t="s">
        <v>2319</v>
      </c>
      <c r="AD549" t="s">
        <v>2320</v>
      </c>
      <c r="AE549" t="s">
        <v>2643</v>
      </c>
      <c r="AF549">
        <v>40</v>
      </c>
      <c r="AG549">
        <v>0</v>
      </c>
      <c r="AH549">
        <v>29</v>
      </c>
      <c r="AI549">
        <v>1</v>
      </c>
      <c r="AJ549">
        <v>1</v>
      </c>
      <c r="AK549">
        <v>0</v>
      </c>
      <c r="AL549">
        <v>1</v>
      </c>
      <c r="AM549" s="14">
        <v>0</v>
      </c>
      <c r="AN549" t="s">
        <v>2644</v>
      </c>
      <c r="AO549" s="12">
        <v>46113</v>
      </c>
      <c r="AP549">
        <v>2026</v>
      </c>
      <c r="AQ549">
        <v>4</v>
      </c>
      <c r="AR549" t="s">
        <v>2651</v>
      </c>
    </row>
    <row r="550" spans="1:44">
      <c r="A550" t="s">
        <v>1698</v>
      </c>
      <c r="B550" s="12">
        <v>46142</v>
      </c>
      <c r="C550" s="12">
        <v>46117</v>
      </c>
      <c r="D550" t="s">
        <v>682</v>
      </c>
      <c r="E550" t="s">
        <v>255</v>
      </c>
      <c r="F550" t="s">
        <v>297</v>
      </c>
      <c r="G550" t="s">
        <v>639</v>
      </c>
      <c r="H550" t="s">
        <v>115</v>
      </c>
      <c r="I550" t="s">
        <v>299</v>
      </c>
      <c r="J550" s="13">
        <v>0.375</v>
      </c>
      <c r="K550" s="13">
        <v>0.37291666666666667</v>
      </c>
      <c r="L550" s="13">
        <v>0.38611111111111113</v>
      </c>
      <c r="M550">
        <v>60</v>
      </c>
      <c r="N550" s="14">
        <v>65</v>
      </c>
      <c r="O550" t="s">
        <v>195</v>
      </c>
      <c r="P550">
        <v>4</v>
      </c>
      <c r="Q550" t="s">
        <v>318</v>
      </c>
      <c r="R550" t="s">
        <v>1568</v>
      </c>
      <c r="S550">
        <v>0</v>
      </c>
      <c r="T550">
        <v>0</v>
      </c>
      <c r="U550" t="s">
        <v>2299</v>
      </c>
      <c r="V550" t="s">
        <v>2295</v>
      </c>
      <c r="W550" t="s">
        <v>2300</v>
      </c>
      <c r="X550" t="s">
        <v>2288</v>
      </c>
      <c r="Y550" t="s">
        <v>2301</v>
      </c>
      <c r="Z550" t="s">
        <v>2306</v>
      </c>
      <c r="AA550">
        <v>7</v>
      </c>
      <c r="AB550" s="14">
        <v>65</v>
      </c>
      <c r="AC550" t="s">
        <v>2307</v>
      </c>
      <c r="AD550" t="s">
        <v>2308</v>
      </c>
      <c r="AE550" t="s">
        <v>2643</v>
      </c>
      <c r="AF550">
        <v>25</v>
      </c>
      <c r="AG550">
        <v>0</v>
      </c>
      <c r="AH550">
        <v>19</v>
      </c>
      <c r="AI550">
        <v>1</v>
      </c>
      <c r="AJ550">
        <v>1</v>
      </c>
      <c r="AK550">
        <v>0</v>
      </c>
      <c r="AL550">
        <v>1</v>
      </c>
      <c r="AM550" s="14">
        <v>0</v>
      </c>
      <c r="AN550" t="s">
        <v>2644</v>
      </c>
      <c r="AO550" s="12">
        <v>46113</v>
      </c>
      <c r="AP550">
        <v>2026</v>
      </c>
      <c r="AQ550">
        <v>4</v>
      </c>
      <c r="AR550" t="s">
        <v>2651</v>
      </c>
    </row>
    <row r="551" spans="1:44">
      <c r="A551" t="s">
        <v>1699</v>
      </c>
      <c r="B551" s="12">
        <v>46128</v>
      </c>
      <c r="C551" s="12">
        <v>46087</v>
      </c>
      <c r="D551" t="s">
        <v>795</v>
      </c>
      <c r="E551" t="s">
        <v>281</v>
      </c>
      <c r="F551" t="s">
        <v>409</v>
      </c>
      <c r="G551" t="s">
        <v>535</v>
      </c>
      <c r="H551" t="s">
        <v>127</v>
      </c>
      <c r="I551" t="s">
        <v>299</v>
      </c>
      <c r="J551" s="13">
        <v>0.5</v>
      </c>
      <c r="K551" s="13"/>
      <c r="L551" s="13"/>
      <c r="M551">
        <v>0</v>
      </c>
      <c r="N551" s="14">
        <v>150</v>
      </c>
      <c r="O551" t="s">
        <v>195</v>
      </c>
      <c r="Q551" t="s">
        <v>262</v>
      </c>
      <c r="R551" t="s">
        <v>1568</v>
      </c>
      <c r="S551">
        <v>0</v>
      </c>
      <c r="T551">
        <v>0</v>
      </c>
      <c r="U551" t="s">
        <v>2290</v>
      </c>
      <c r="V551" t="s">
        <v>2291</v>
      </c>
      <c r="W551" t="s">
        <v>2292</v>
      </c>
      <c r="X551" t="s">
        <v>2288</v>
      </c>
      <c r="Y551" t="s">
        <v>2293</v>
      </c>
      <c r="Z551" t="s">
        <v>2318</v>
      </c>
      <c r="AA551">
        <v>28</v>
      </c>
      <c r="AB551" s="14">
        <v>150</v>
      </c>
      <c r="AC551" t="s">
        <v>2319</v>
      </c>
      <c r="AD551" t="s">
        <v>2320</v>
      </c>
      <c r="AE551" t="s">
        <v>2643</v>
      </c>
      <c r="AF551">
        <v>41</v>
      </c>
      <c r="AG551">
        <v>0</v>
      </c>
      <c r="AJ551">
        <v>0</v>
      </c>
      <c r="AL551">
        <v>1</v>
      </c>
      <c r="AM551" s="14">
        <v>0</v>
      </c>
      <c r="AN551" t="s">
        <v>2644</v>
      </c>
      <c r="AO551" s="12">
        <v>46113</v>
      </c>
      <c r="AP551">
        <v>2026</v>
      </c>
      <c r="AQ551">
        <v>4</v>
      </c>
      <c r="AR551" t="s">
        <v>2651</v>
      </c>
    </row>
    <row r="552" spans="1:44">
      <c r="A552" t="s">
        <v>1700</v>
      </c>
      <c r="B552" s="12">
        <v>46137</v>
      </c>
      <c r="C552" s="12">
        <v>46136</v>
      </c>
      <c r="D552" t="s">
        <v>527</v>
      </c>
      <c r="E552" t="s">
        <v>281</v>
      </c>
      <c r="F552" t="s">
        <v>297</v>
      </c>
      <c r="G552" t="s">
        <v>368</v>
      </c>
      <c r="H552" t="s">
        <v>115</v>
      </c>
      <c r="I552" t="s">
        <v>271</v>
      </c>
      <c r="J552" s="13">
        <v>0.45833333333333331</v>
      </c>
      <c r="K552" s="13">
        <v>0.46805555555555556</v>
      </c>
      <c r="L552" s="13">
        <v>0.47916666666666669</v>
      </c>
      <c r="M552">
        <v>30</v>
      </c>
      <c r="N552" s="14">
        <v>65</v>
      </c>
      <c r="O552" t="s">
        <v>195</v>
      </c>
      <c r="P552">
        <v>3</v>
      </c>
      <c r="Q552" t="s">
        <v>305</v>
      </c>
      <c r="R552" t="s">
        <v>1568</v>
      </c>
      <c r="S552">
        <v>0</v>
      </c>
      <c r="T552">
        <v>0</v>
      </c>
      <c r="U552" t="s">
        <v>2290</v>
      </c>
      <c r="V552" t="s">
        <v>2291</v>
      </c>
      <c r="W552" t="s">
        <v>2292</v>
      </c>
      <c r="X552" t="s">
        <v>2288</v>
      </c>
      <c r="Y552" t="s">
        <v>2293</v>
      </c>
      <c r="Z552" t="s">
        <v>2306</v>
      </c>
      <c r="AA552">
        <v>7</v>
      </c>
      <c r="AB552" s="14">
        <v>65</v>
      </c>
      <c r="AC552" t="s">
        <v>2307</v>
      </c>
      <c r="AD552" t="s">
        <v>2308</v>
      </c>
      <c r="AE552" t="s">
        <v>2643</v>
      </c>
      <c r="AF552">
        <v>1</v>
      </c>
      <c r="AG552">
        <v>1</v>
      </c>
      <c r="AH552">
        <v>16</v>
      </c>
      <c r="AI552">
        <v>1</v>
      </c>
      <c r="AJ552">
        <v>1</v>
      </c>
      <c r="AK552">
        <v>0</v>
      </c>
      <c r="AL552">
        <v>1</v>
      </c>
      <c r="AM552" s="14">
        <v>0</v>
      </c>
      <c r="AN552" t="s">
        <v>2644</v>
      </c>
      <c r="AO552" s="12">
        <v>46113</v>
      </c>
      <c r="AP552">
        <v>2026</v>
      </c>
      <c r="AQ552">
        <v>4</v>
      </c>
      <c r="AR552" t="s">
        <v>2651</v>
      </c>
    </row>
    <row r="553" spans="1:44">
      <c r="A553" t="s">
        <v>1702</v>
      </c>
      <c r="B553" s="12">
        <v>46116</v>
      </c>
      <c r="C553" s="12">
        <v>46069</v>
      </c>
      <c r="D553" t="s">
        <v>763</v>
      </c>
      <c r="E553" t="s">
        <v>255</v>
      </c>
      <c r="F553" t="s">
        <v>297</v>
      </c>
      <c r="G553" t="s">
        <v>639</v>
      </c>
      <c r="H553" t="s">
        <v>115</v>
      </c>
      <c r="I553" t="s">
        <v>316</v>
      </c>
      <c r="J553" s="13">
        <v>0.625</v>
      </c>
      <c r="K553" s="13">
        <v>0.6333333333333333</v>
      </c>
      <c r="L553" s="13">
        <v>0.63402777777777775</v>
      </c>
      <c r="M553">
        <v>45</v>
      </c>
      <c r="N553" s="14">
        <v>65</v>
      </c>
      <c r="O553" t="s">
        <v>195</v>
      </c>
      <c r="P553">
        <v>2</v>
      </c>
      <c r="Q553" t="s">
        <v>285</v>
      </c>
      <c r="R553" t="s">
        <v>1568</v>
      </c>
      <c r="S553">
        <v>0</v>
      </c>
      <c r="T553">
        <v>0</v>
      </c>
      <c r="U553" t="s">
        <v>2299</v>
      </c>
      <c r="V553" t="s">
        <v>2295</v>
      </c>
      <c r="W553" t="s">
        <v>2300</v>
      </c>
      <c r="X553" t="s">
        <v>2288</v>
      </c>
      <c r="Y553" t="s">
        <v>2301</v>
      </c>
      <c r="Z553" t="s">
        <v>2306</v>
      </c>
      <c r="AA553">
        <v>7</v>
      </c>
      <c r="AB553" s="14">
        <v>65</v>
      </c>
      <c r="AC553" t="s">
        <v>2307</v>
      </c>
      <c r="AD553" t="s">
        <v>2308</v>
      </c>
      <c r="AE553" t="s">
        <v>2643</v>
      </c>
      <c r="AF553">
        <v>47</v>
      </c>
      <c r="AG553">
        <v>0</v>
      </c>
      <c r="AH553">
        <v>1</v>
      </c>
      <c r="AI553">
        <v>1</v>
      </c>
      <c r="AJ553">
        <v>1</v>
      </c>
      <c r="AK553">
        <v>0</v>
      </c>
      <c r="AL553">
        <v>1</v>
      </c>
      <c r="AM553" s="14">
        <v>0</v>
      </c>
      <c r="AN553" t="s">
        <v>2644</v>
      </c>
      <c r="AO553" s="12">
        <v>46113</v>
      </c>
      <c r="AP553">
        <v>2026</v>
      </c>
      <c r="AQ553">
        <v>4</v>
      </c>
      <c r="AR553" t="s">
        <v>2651</v>
      </c>
    </row>
    <row r="554" spans="1:44">
      <c r="A554" t="s">
        <v>1703</v>
      </c>
      <c r="B554" s="12">
        <v>46124</v>
      </c>
      <c r="C554" s="12">
        <v>46115</v>
      </c>
      <c r="D554" t="s">
        <v>1008</v>
      </c>
      <c r="E554" t="s">
        <v>339</v>
      </c>
      <c r="F554" t="s">
        <v>297</v>
      </c>
      <c r="G554" t="s">
        <v>780</v>
      </c>
      <c r="H554" t="s">
        <v>115</v>
      </c>
      <c r="I554" t="s">
        <v>258</v>
      </c>
      <c r="J554" s="13">
        <v>0.5625</v>
      </c>
      <c r="K554" s="13">
        <v>0.57152777777777775</v>
      </c>
      <c r="L554" s="13">
        <v>0.56527777777777777</v>
      </c>
      <c r="M554">
        <v>20</v>
      </c>
      <c r="N554" s="14">
        <v>65</v>
      </c>
      <c r="O554" t="s">
        <v>169</v>
      </c>
      <c r="P554">
        <v>5</v>
      </c>
      <c r="Q554" t="s">
        <v>305</v>
      </c>
      <c r="R554" t="s">
        <v>1568</v>
      </c>
      <c r="S554">
        <v>0</v>
      </c>
      <c r="T554">
        <v>0</v>
      </c>
      <c r="U554" t="s">
        <v>2294</v>
      </c>
      <c r="V554" t="s">
        <v>2295</v>
      </c>
      <c r="W554" t="s">
        <v>2296</v>
      </c>
      <c r="X554" t="s">
        <v>2297</v>
      </c>
      <c r="Y554" t="s">
        <v>2298</v>
      </c>
      <c r="Z554" t="s">
        <v>2306</v>
      </c>
      <c r="AA554">
        <v>7</v>
      </c>
      <c r="AB554" s="14">
        <v>65</v>
      </c>
      <c r="AC554" t="s">
        <v>2307</v>
      </c>
      <c r="AD554" t="s">
        <v>2308</v>
      </c>
      <c r="AE554" t="s">
        <v>2643</v>
      </c>
      <c r="AF554">
        <v>9</v>
      </c>
      <c r="AG554">
        <v>0</v>
      </c>
      <c r="AJ554">
        <v>1</v>
      </c>
      <c r="AK554">
        <v>0</v>
      </c>
      <c r="AL554">
        <v>1</v>
      </c>
      <c r="AM554" s="14">
        <v>0</v>
      </c>
      <c r="AN554" t="s">
        <v>2644</v>
      </c>
      <c r="AO554" s="12">
        <v>46113</v>
      </c>
      <c r="AP554">
        <v>2026</v>
      </c>
      <c r="AQ554">
        <v>4</v>
      </c>
      <c r="AR554" t="s">
        <v>2651</v>
      </c>
    </row>
    <row r="555" spans="1:44">
      <c r="A555" t="s">
        <v>1704</v>
      </c>
      <c r="B555" s="12">
        <v>46133</v>
      </c>
      <c r="C555" s="12">
        <v>46090</v>
      </c>
      <c r="D555" t="s">
        <v>786</v>
      </c>
      <c r="E555" t="s">
        <v>281</v>
      </c>
      <c r="F555" t="s">
        <v>256</v>
      </c>
      <c r="G555" t="s">
        <v>796</v>
      </c>
      <c r="H555" t="s">
        <v>115</v>
      </c>
      <c r="I555" t="s">
        <v>299</v>
      </c>
      <c r="J555" s="13">
        <v>0.60416666666666663</v>
      </c>
      <c r="K555" s="13">
        <v>0.6069444444444444</v>
      </c>
      <c r="L555" s="13">
        <v>0.61111111111111116</v>
      </c>
      <c r="M555">
        <v>45</v>
      </c>
      <c r="N555" s="14">
        <v>95</v>
      </c>
      <c r="O555" t="s">
        <v>195</v>
      </c>
      <c r="P555">
        <v>3</v>
      </c>
      <c r="Q555" t="s">
        <v>262</v>
      </c>
      <c r="R555" t="s">
        <v>1568</v>
      </c>
      <c r="S555">
        <v>0</v>
      </c>
      <c r="T555">
        <v>0</v>
      </c>
      <c r="U555" t="s">
        <v>2290</v>
      </c>
      <c r="V555" t="s">
        <v>2291</v>
      </c>
      <c r="W555" t="s">
        <v>2292</v>
      </c>
      <c r="X555" t="s">
        <v>2288</v>
      </c>
      <c r="Y555" t="s">
        <v>2293</v>
      </c>
      <c r="Z555" t="s">
        <v>2312</v>
      </c>
      <c r="AA555">
        <v>21</v>
      </c>
      <c r="AB555" s="14">
        <v>95</v>
      </c>
      <c r="AC555" t="s">
        <v>2313</v>
      </c>
      <c r="AD555" t="s">
        <v>2314</v>
      </c>
      <c r="AE555" t="s">
        <v>2643</v>
      </c>
      <c r="AF555">
        <v>43</v>
      </c>
      <c r="AG555">
        <v>0</v>
      </c>
      <c r="AH555">
        <v>6</v>
      </c>
      <c r="AI555">
        <v>1</v>
      </c>
      <c r="AJ555">
        <v>1</v>
      </c>
      <c r="AK555">
        <v>0</v>
      </c>
      <c r="AL555">
        <v>1</v>
      </c>
      <c r="AM555" s="14">
        <v>0</v>
      </c>
      <c r="AN555" t="s">
        <v>2644</v>
      </c>
      <c r="AO555" s="12">
        <v>46113</v>
      </c>
      <c r="AP555">
        <v>2026</v>
      </c>
      <c r="AQ555">
        <v>4</v>
      </c>
      <c r="AR555" t="s">
        <v>2651</v>
      </c>
    </row>
    <row r="556" spans="1:44">
      <c r="A556" t="s">
        <v>1705</v>
      </c>
      <c r="B556" s="12">
        <v>46119</v>
      </c>
      <c r="C556" s="12">
        <v>46066</v>
      </c>
      <c r="D556" t="s">
        <v>999</v>
      </c>
      <c r="E556" t="s">
        <v>268</v>
      </c>
      <c r="F556" t="s">
        <v>409</v>
      </c>
      <c r="G556" t="s">
        <v>587</v>
      </c>
      <c r="H556" t="s">
        <v>115</v>
      </c>
      <c r="I556" t="s">
        <v>316</v>
      </c>
      <c r="J556" s="13">
        <v>0.60416666666666663</v>
      </c>
      <c r="K556" s="13">
        <v>0.60138888888888886</v>
      </c>
      <c r="L556" s="13">
        <v>0.62986111111111109</v>
      </c>
      <c r="M556">
        <v>45</v>
      </c>
      <c r="N556" s="14">
        <v>150</v>
      </c>
      <c r="O556" t="s">
        <v>169</v>
      </c>
      <c r="P556">
        <v>3</v>
      </c>
      <c r="Q556" t="s">
        <v>318</v>
      </c>
      <c r="R556" t="s">
        <v>1568</v>
      </c>
      <c r="S556">
        <v>0</v>
      </c>
      <c r="T556">
        <v>0</v>
      </c>
      <c r="U556" t="s">
        <v>2285</v>
      </c>
      <c r="V556" t="s">
        <v>2286</v>
      </c>
      <c r="W556" t="s">
        <v>2287</v>
      </c>
      <c r="X556" t="s">
        <v>2288</v>
      </c>
      <c r="Y556" t="s">
        <v>2289</v>
      </c>
      <c r="Z556" t="s">
        <v>2318</v>
      </c>
      <c r="AA556">
        <v>28</v>
      </c>
      <c r="AB556" s="14">
        <v>150</v>
      </c>
      <c r="AC556" t="s">
        <v>2319</v>
      </c>
      <c r="AD556" t="s">
        <v>2320</v>
      </c>
      <c r="AE556" t="s">
        <v>2643</v>
      </c>
      <c r="AF556">
        <v>53</v>
      </c>
      <c r="AG556">
        <v>0</v>
      </c>
      <c r="AH556">
        <v>41</v>
      </c>
      <c r="AI556">
        <v>0</v>
      </c>
      <c r="AJ556">
        <v>1</v>
      </c>
      <c r="AK556">
        <v>0</v>
      </c>
      <c r="AL556">
        <v>1</v>
      </c>
      <c r="AM556" s="14">
        <v>0</v>
      </c>
      <c r="AN556" t="s">
        <v>2644</v>
      </c>
      <c r="AO556" s="12">
        <v>46113</v>
      </c>
      <c r="AP556">
        <v>2026</v>
      </c>
      <c r="AQ556">
        <v>4</v>
      </c>
      <c r="AR556" t="s">
        <v>2651</v>
      </c>
    </row>
    <row r="557" spans="1:44">
      <c r="A557" t="s">
        <v>1706</v>
      </c>
      <c r="B557" s="12">
        <v>46127</v>
      </c>
      <c r="C557" s="12">
        <v>46109</v>
      </c>
      <c r="D557" t="s">
        <v>1366</v>
      </c>
      <c r="E557" t="s">
        <v>339</v>
      </c>
      <c r="G557" t="s">
        <v>564</v>
      </c>
      <c r="H557" t="s">
        <v>115</v>
      </c>
      <c r="I557" t="s">
        <v>299</v>
      </c>
      <c r="J557" s="13">
        <v>0.41666666666666669</v>
      </c>
      <c r="K557" s="13">
        <v>0.41111111111111109</v>
      </c>
      <c r="L557" s="13">
        <v>0.42499999999999999</v>
      </c>
      <c r="M557">
        <v>60</v>
      </c>
      <c r="N557" s="14">
        <v>120</v>
      </c>
      <c r="O557" t="s">
        <v>195</v>
      </c>
      <c r="P557">
        <v>4</v>
      </c>
      <c r="Q557" t="s">
        <v>305</v>
      </c>
      <c r="R557" t="s">
        <v>1568</v>
      </c>
      <c r="S557">
        <v>0</v>
      </c>
      <c r="T557">
        <v>1</v>
      </c>
      <c r="U557" t="s">
        <v>2294</v>
      </c>
      <c r="V557" t="s">
        <v>2295</v>
      </c>
      <c r="W557" t="s">
        <v>2296</v>
      </c>
      <c r="X557" t="s">
        <v>2297</v>
      </c>
      <c r="Y557" t="s">
        <v>2298</v>
      </c>
      <c r="AE557" t="s">
        <v>2646</v>
      </c>
      <c r="AF557">
        <v>18</v>
      </c>
      <c r="AH557">
        <v>20</v>
      </c>
      <c r="AI557">
        <v>1</v>
      </c>
      <c r="AJ557">
        <v>1</v>
      </c>
      <c r="AK557">
        <v>0</v>
      </c>
      <c r="AL557">
        <v>1</v>
      </c>
      <c r="AN557" t="s">
        <v>2647</v>
      </c>
      <c r="AO557" s="12">
        <v>46113</v>
      </c>
      <c r="AP557">
        <v>2026</v>
      </c>
      <c r="AQ557">
        <v>4</v>
      </c>
      <c r="AR557" t="s">
        <v>2651</v>
      </c>
    </row>
    <row r="558" spans="1:44">
      <c r="A558" t="s">
        <v>1707</v>
      </c>
      <c r="B558" s="12">
        <v>46140</v>
      </c>
      <c r="C558" s="12">
        <v>46085</v>
      </c>
      <c r="D558" t="s">
        <v>1478</v>
      </c>
      <c r="E558" t="s">
        <v>255</v>
      </c>
      <c r="F558" t="s">
        <v>282</v>
      </c>
      <c r="G558" t="s">
        <v>290</v>
      </c>
      <c r="H558" t="s">
        <v>115</v>
      </c>
      <c r="I558" t="s">
        <v>316</v>
      </c>
      <c r="J558" s="13">
        <v>0.52083333333333337</v>
      </c>
      <c r="K558" s="13">
        <v>0.52777777777777779</v>
      </c>
      <c r="L558" s="13">
        <v>0.52847222222222223</v>
      </c>
      <c r="M558">
        <v>20</v>
      </c>
      <c r="N558" s="14">
        <v>120</v>
      </c>
      <c r="O558" t="s">
        <v>195</v>
      </c>
      <c r="P558">
        <v>4</v>
      </c>
      <c r="Q558" t="s">
        <v>305</v>
      </c>
      <c r="R558" t="s">
        <v>1568</v>
      </c>
      <c r="S558">
        <v>0</v>
      </c>
      <c r="T558">
        <v>0</v>
      </c>
      <c r="U558" t="s">
        <v>2299</v>
      </c>
      <c r="V558" t="s">
        <v>2295</v>
      </c>
      <c r="W558" t="s">
        <v>2300</v>
      </c>
      <c r="X558" t="s">
        <v>2288</v>
      </c>
      <c r="Y558" t="s">
        <v>2301</v>
      </c>
      <c r="Z558" t="s">
        <v>2309</v>
      </c>
      <c r="AA558">
        <v>14</v>
      </c>
      <c r="AB558" s="14">
        <v>120</v>
      </c>
      <c r="AC558" t="s">
        <v>2310</v>
      </c>
      <c r="AD558" t="s">
        <v>2311</v>
      </c>
      <c r="AE558" t="s">
        <v>2643</v>
      </c>
      <c r="AF558">
        <v>55</v>
      </c>
      <c r="AG558">
        <v>0</v>
      </c>
      <c r="AH558">
        <v>1</v>
      </c>
      <c r="AI558">
        <v>1</v>
      </c>
      <c r="AJ558">
        <v>1</v>
      </c>
      <c r="AK558">
        <v>0</v>
      </c>
      <c r="AL558">
        <v>1</v>
      </c>
      <c r="AM558" s="14">
        <v>0</v>
      </c>
      <c r="AN558" t="s">
        <v>2644</v>
      </c>
      <c r="AO558" s="12">
        <v>46113</v>
      </c>
      <c r="AP558">
        <v>2026</v>
      </c>
      <c r="AQ558">
        <v>4</v>
      </c>
      <c r="AR558" t="s">
        <v>2651</v>
      </c>
    </row>
    <row r="559" spans="1:44">
      <c r="A559" t="s">
        <v>1708</v>
      </c>
      <c r="B559" s="12">
        <v>46129</v>
      </c>
      <c r="C559" s="12">
        <v>46097</v>
      </c>
      <c r="D559" t="s">
        <v>704</v>
      </c>
      <c r="E559" t="s">
        <v>268</v>
      </c>
      <c r="F559" t="s">
        <v>297</v>
      </c>
      <c r="G559" t="s">
        <v>583</v>
      </c>
      <c r="H559" t="s">
        <v>127</v>
      </c>
      <c r="I559" t="s">
        <v>299</v>
      </c>
      <c r="J559" s="13">
        <v>0.5</v>
      </c>
      <c r="K559" s="13"/>
      <c r="L559" s="13"/>
      <c r="M559">
        <v>0</v>
      </c>
      <c r="N559" s="14">
        <v>65</v>
      </c>
      <c r="O559" t="s">
        <v>195</v>
      </c>
      <c r="Q559" t="s">
        <v>326</v>
      </c>
      <c r="R559" t="s">
        <v>1568</v>
      </c>
      <c r="S559">
        <v>0</v>
      </c>
      <c r="T559">
        <v>0</v>
      </c>
      <c r="U559" t="s">
        <v>2285</v>
      </c>
      <c r="V559" t="s">
        <v>2286</v>
      </c>
      <c r="W559" t="s">
        <v>2287</v>
      </c>
      <c r="X559" t="s">
        <v>2288</v>
      </c>
      <c r="Y559" t="s">
        <v>2289</v>
      </c>
      <c r="Z559" t="s">
        <v>2306</v>
      </c>
      <c r="AA559">
        <v>7</v>
      </c>
      <c r="AB559" s="14">
        <v>65</v>
      </c>
      <c r="AC559" t="s">
        <v>2307</v>
      </c>
      <c r="AD559" t="s">
        <v>2308</v>
      </c>
      <c r="AE559" t="s">
        <v>2643</v>
      </c>
      <c r="AF559">
        <v>32</v>
      </c>
      <c r="AG559">
        <v>0</v>
      </c>
      <c r="AJ559">
        <v>0</v>
      </c>
      <c r="AL559">
        <v>1</v>
      </c>
      <c r="AM559" s="14">
        <v>0</v>
      </c>
      <c r="AN559" t="s">
        <v>2644</v>
      </c>
      <c r="AO559" s="12">
        <v>46113</v>
      </c>
      <c r="AP559">
        <v>2026</v>
      </c>
      <c r="AQ559">
        <v>4</v>
      </c>
      <c r="AR559" t="s">
        <v>2651</v>
      </c>
    </row>
    <row r="560" spans="1:44">
      <c r="A560" t="s">
        <v>1709</v>
      </c>
      <c r="B560" s="12">
        <v>46118</v>
      </c>
      <c r="C560" s="12">
        <v>46094</v>
      </c>
      <c r="D560" t="s">
        <v>711</v>
      </c>
      <c r="E560" t="s">
        <v>255</v>
      </c>
      <c r="F560" t="s">
        <v>409</v>
      </c>
      <c r="G560" t="s">
        <v>648</v>
      </c>
      <c r="H560" t="s">
        <v>115</v>
      </c>
      <c r="I560" t="s">
        <v>258</v>
      </c>
      <c r="J560" s="13">
        <v>0.4375</v>
      </c>
      <c r="K560" s="13">
        <v>0.44722222222222224</v>
      </c>
      <c r="L560" s="13">
        <v>0.44861111111111113</v>
      </c>
      <c r="M560">
        <v>60</v>
      </c>
      <c r="N560" s="14">
        <v>150</v>
      </c>
      <c r="O560" t="s">
        <v>195</v>
      </c>
      <c r="P560">
        <v>4</v>
      </c>
      <c r="Q560" t="s">
        <v>318</v>
      </c>
      <c r="R560" t="s">
        <v>1568</v>
      </c>
      <c r="S560">
        <v>0</v>
      </c>
      <c r="T560">
        <v>0</v>
      </c>
      <c r="U560" t="s">
        <v>2299</v>
      </c>
      <c r="V560" t="s">
        <v>2295</v>
      </c>
      <c r="W560" t="s">
        <v>2300</v>
      </c>
      <c r="X560" t="s">
        <v>2288</v>
      </c>
      <c r="Y560" t="s">
        <v>2301</v>
      </c>
      <c r="Z560" t="s">
        <v>2318</v>
      </c>
      <c r="AA560">
        <v>28</v>
      </c>
      <c r="AB560" s="14">
        <v>150</v>
      </c>
      <c r="AC560" t="s">
        <v>2319</v>
      </c>
      <c r="AD560" t="s">
        <v>2320</v>
      </c>
      <c r="AE560" t="s">
        <v>2643</v>
      </c>
      <c r="AF560">
        <v>24</v>
      </c>
      <c r="AG560">
        <v>1</v>
      </c>
      <c r="AH560">
        <v>2</v>
      </c>
      <c r="AI560">
        <v>1</v>
      </c>
      <c r="AJ560">
        <v>1</v>
      </c>
      <c r="AK560">
        <v>0</v>
      </c>
      <c r="AL560">
        <v>1</v>
      </c>
      <c r="AM560" s="14">
        <v>0</v>
      </c>
      <c r="AN560" t="s">
        <v>2644</v>
      </c>
      <c r="AO560" s="12">
        <v>46113</v>
      </c>
      <c r="AP560">
        <v>2026</v>
      </c>
      <c r="AQ560">
        <v>4</v>
      </c>
      <c r="AR560" t="s">
        <v>2651</v>
      </c>
    </row>
    <row r="561" spans="1:44">
      <c r="A561" t="s">
        <v>1712</v>
      </c>
      <c r="B561" s="12">
        <v>46130</v>
      </c>
      <c r="C561" s="12">
        <v>46107</v>
      </c>
      <c r="D561" t="s">
        <v>1055</v>
      </c>
      <c r="E561" t="s">
        <v>268</v>
      </c>
      <c r="F561" t="s">
        <v>409</v>
      </c>
      <c r="G561" t="s">
        <v>587</v>
      </c>
      <c r="H561" t="s">
        <v>115</v>
      </c>
      <c r="I561" t="s">
        <v>316</v>
      </c>
      <c r="J561" s="13">
        <v>0.60416666666666663</v>
      </c>
      <c r="K561" s="13">
        <v>0.60902777777777772</v>
      </c>
      <c r="L561" s="13">
        <v>0.62013888888888891</v>
      </c>
      <c r="M561">
        <v>30</v>
      </c>
      <c r="N561" s="14">
        <v>150</v>
      </c>
      <c r="O561" t="s">
        <v>195</v>
      </c>
      <c r="Q561" t="s">
        <v>318</v>
      </c>
      <c r="R561" t="s">
        <v>1568</v>
      </c>
      <c r="S561">
        <v>0</v>
      </c>
      <c r="T561">
        <v>0</v>
      </c>
      <c r="U561" t="s">
        <v>2285</v>
      </c>
      <c r="V561" t="s">
        <v>2286</v>
      </c>
      <c r="W561" t="s">
        <v>2287</v>
      </c>
      <c r="X561" t="s">
        <v>2288</v>
      </c>
      <c r="Y561" t="s">
        <v>2289</v>
      </c>
      <c r="Z561" t="s">
        <v>2318</v>
      </c>
      <c r="AA561">
        <v>28</v>
      </c>
      <c r="AB561" s="14">
        <v>150</v>
      </c>
      <c r="AC561" t="s">
        <v>2319</v>
      </c>
      <c r="AD561" t="s">
        <v>2320</v>
      </c>
      <c r="AE561" t="s">
        <v>2643</v>
      </c>
      <c r="AF561">
        <v>23</v>
      </c>
      <c r="AG561">
        <v>1</v>
      </c>
      <c r="AH561">
        <v>16</v>
      </c>
      <c r="AI561">
        <v>1</v>
      </c>
      <c r="AJ561">
        <v>1</v>
      </c>
      <c r="AK561">
        <v>0</v>
      </c>
      <c r="AL561">
        <v>1</v>
      </c>
      <c r="AM561" s="14">
        <v>0</v>
      </c>
      <c r="AN561" t="s">
        <v>2644</v>
      </c>
      <c r="AO561" s="12">
        <v>46113</v>
      </c>
      <c r="AP561">
        <v>2026</v>
      </c>
      <c r="AQ561">
        <v>4</v>
      </c>
      <c r="AR561" t="s">
        <v>2651</v>
      </c>
    </row>
    <row r="562" spans="1:44">
      <c r="A562" t="s">
        <v>1713</v>
      </c>
      <c r="B562" s="12">
        <v>46120</v>
      </c>
      <c r="C562" s="12">
        <v>46084</v>
      </c>
      <c r="D562" t="s">
        <v>445</v>
      </c>
      <c r="E562" t="s">
        <v>281</v>
      </c>
      <c r="F562" t="s">
        <v>282</v>
      </c>
      <c r="G562" t="s">
        <v>283</v>
      </c>
      <c r="H562" t="s">
        <v>466</v>
      </c>
      <c r="I562" t="s">
        <v>258</v>
      </c>
      <c r="J562" s="13">
        <v>0.5</v>
      </c>
      <c r="K562" s="13"/>
      <c r="L562" s="13"/>
      <c r="M562">
        <v>0</v>
      </c>
      <c r="N562" s="14">
        <v>120</v>
      </c>
      <c r="O562" t="s">
        <v>169</v>
      </c>
      <c r="Q562" t="s">
        <v>285</v>
      </c>
      <c r="R562" t="s">
        <v>1568</v>
      </c>
      <c r="S562">
        <v>0</v>
      </c>
      <c r="T562">
        <v>0</v>
      </c>
      <c r="U562" t="s">
        <v>2290</v>
      </c>
      <c r="V562" t="s">
        <v>2291</v>
      </c>
      <c r="W562" t="s">
        <v>2292</v>
      </c>
      <c r="X562" t="s">
        <v>2288</v>
      </c>
      <c r="Y562" t="s">
        <v>2293</v>
      </c>
      <c r="Z562" t="s">
        <v>2309</v>
      </c>
      <c r="AA562">
        <v>14</v>
      </c>
      <c r="AB562" s="14">
        <v>120</v>
      </c>
      <c r="AC562" t="s">
        <v>2310</v>
      </c>
      <c r="AD562" t="s">
        <v>2311</v>
      </c>
      <c r="AE562" t="s">
        <v>2643</v>
      </c>
      <c r="AF562">
        <v>36</v>
      </c>
      <c r="AG562">
        <v>0</v>
      </c>
      <c r="AJ562">
        <v>0</v>
      </c>
      <c r="AL562">
        <v>1</v>
      </c>
      <c r="AM562" s="14">
        <v>0</v>
      </c>
      <c r="AN562" t="s">
        <v>2644</v>
      </c>
      <c r="AO562" s="12">
        <v>46113</v>
      </c>
      <c r="AP562">
        <v>2026</v>
      </c>
      <c r="AQ562">
        <v>4</v>
      </c>
      <c r="AR562" t="s">
        <v>2651</v>
      </c>
    </row>
    <row r="563" spans="1:44">
      <c r="A563" t="s">
        <v>1714</v>
      </c>
      <c r="B563" s="12">
        <v>46131</v>
      </c>
      <c r="C563" s="12">
        <v>46098</v>
      </c>
      <c r="D563" t="s">
        <v>610</v>
      </c>
      <c r="E563" t="s">
        <v>255</v>
      </c>
      <c r="F563" t="s">
        <v>282</v>
      </c>
      <c r="G563" t="s">
        <v>424</v>
      </c>
      <c r="H563" t="s">
        <v>115</v>
      </c>
      <c r="I563" t="s">
        <v>316</v>
      </c>
      <c r="J563" s="13">
        <v>0.5625</v>
      </c>
      <c r="K563" s="13">
        <v>0.55694444444444446</v>
      </c>
      <c r="L563" s="13">
        <v>0.57291666666666663</v>
      </c>
      <c r="M563">
        <v>30</v>
      </c>
      <c r="N563" s="14">
        <v>120</v>
      </c>
      <c r="O563" t="s">
        <v>195</v>
      </c>
      <c r="P563">
        <v>5</v>
      </c>
      <c r="Q563" t="s">
        <v>285</v>
      </c>
      <c r="R563" t="s">
        <v>1568</v>
      </c>
      <c r="S563">
        <v>0</v>
      </c>
      <c r="T563">
        <v>0</v>
      </c>
      <c r="U563" t="s">
        <v>2299</v>
      </c>
      <c r="V563" t="s">
        <v>2295</v>
      </c>
      <c r="W563" t="s">
        <v>2300</v>
      </c>
      <c r="X563" t="s">
        <v>2288</v>
      </c>
      <c r="Y563" t="s">
        <v>2301</v>
      </c>
      <c r="Z563" t="s">
        <v>2309</v>
      </c>
      <c r="AA563">
        <v>14</v>
      </c>
      <c r="AB563" s="14">
        <v>120</v>
      </c>
      <c r="AC563" t="s">
        <v>2310</v>
      </c>
      <c r="AD563" t="s">
        <v>2311</v>
      </c>
      <c r="AE563" t="s">
        <v>2643</v>
      </c>
      <c r="AF563">
        <v>33</v>
      </c>
      <c r="AG563">
        <v>0</v>
      </c>
      <c r="AH563">
        <v>23</v>
      </c>
      <c r="AI563">
        <v>1</v>
      </c>
      <c r="AJ563">
        <v>1</v>
      </c>
      <c r="AK563">
        <v>0</v>
      </c>
      <c r="AL563">
        <v>1</v>
      </c>
      <c r="AM563" s="14">
        <v>0</v>
      </c>
      <c r="AN563" t="s">
        <v>2644</v>
      </c>
      <c r="AO563" s="12">
        <v>46113</v>
      </c>
      <c r="AP563">
        <v>2026</v>
      </c>
      <c r="AQ563">
        <v>4</v>
      </c>
      <c r="AR563" t="s">
        <v>2651</v>
      </c>
    </row>
    <row r="564" spans="1:44">
      <c r="A564" t="s">
        <v>1715</v>
      </c>
      <c r="B564" s="12">
        <v>46125</v>
      </c>
      <c r="C564" s="12">
        <v>46086</v>
      </c>
      <c r="D564" t="s">
        <v>1042</v>
      </c>
      <c r="E564" t="s">
        <v>281</v>
      </c>
      <c r="F564" t="s">
        <v>409</v>
      </c>
      <c r="G564" t="s">
        <v>535</v>
      </c>
      <c r="H564" t="s">
        <v>115</v>
      </c>
      <c r="I564" t="s">
        <v>258</v>
      </c>
      <c r="J564" s="13">
        <v>0.58333333333333337</v>
      </c>
      <c r="K564" s="13">
        <v>0.57708333333333328</v>
      </c>
      <c r="L564" s="13">
        <v>0.58958333333333335</v>
      </c>
      <c r="M564">
        <v>60</v>
      </c>
      <c r="N564" s="14">
        <v>150</v>
      </c>
      <c r="O564" t="s">
        <v>195</v>
      </c>
      <c r="P564">
        <v>4</v>
      </c>
      <c r="Q564" t="s">
        <v>305</v>
      </c>
      <c r="R564" t="s">
        <v>1568</v>
      </c>
      <c r="S564">
        <v>0</v>
      </c>
      <c r="T564">
        <v>0</v>
      </c>
      <c r="U564" t="s">
        <v>2290</v>
      </c>
      <c r="V564" t="s">
        <v>2291</v>
      </c>
      <c r="W564" t="s">
        <v>2292</v>
      </c>
      <c r="X564" t="s">
        <v>2288</v>
      </c>
      <c r="Y564" t="s">
        <v>2293</v>
      </c>
      <c r="Z564" t="s">
        <v>2318</v>
      </c>
      <c r="AA564">
        <v>28</v>
      </c>
      <c r="AB564" s="14">
        <v>150</v>
      </c>
      <c r="AC564" t="s">
        <v>2319</v>
      </c>
      <c r="AD564" t="s">
        <v>2320</v>
      </c>
      <c r="AE564" t="s">
        <v>2643</v>
      </c>
      <c r="AF564">
        <v>39</v>
      </c>
      <c r="AG564">
        <v>0</v>
      </c>
      <c r="AH564">
        <v>18</v>
      </c>
      <c r="AI564">
        <v>1</v>
      </c>
      <c r="AJ564">
        <v>1</v>
      </c>
      <c r="AK564">
        <v>0</v>
      </c>
      <c r="AL564">
        <v>1</v>
      </c>
      <c r="AM564" s="14">
        <v>0</v>
      </c>
      <c r="AN564" t="s">
        <v>2644</v>
      </c>
      <c r="AO564" s="12">
        <v>46113</v>
      </c>
      <c r="AP564">
        <v>2026</v>
      </c>
      <c r="AQ564">
        <v>4</v>
      </c>
      <c r="AR564" t="s">
        <v>2651</v>
      </c>
    </row>
    <row r="565" spans="1:44">
      <c r="A565" t="s">
        <v>1716</v>
      </c>
      <c r="B565" s="12">
        <v>46126</v>
      </c>
      <c r="C565" s="12">
        <v>46104</v>
      </c>
      <c r="D565" t="s">
        <v>741</v>
      </c>
      <c r="E565" t="s">
        <v>255</v>
      </c>
      <c r="F565" t="s">
        <v>409</v>
      </c>
      <c r="G565" t="s">
        <v>648</v>
      </c>
      <c r="H565" t="s">
        <v>115</v>
      </c>
      <c r="I565" t="s">
        <v>299</v>
      </c>
      <c r="J565" s="13">
        <v>0.60416666666666663</v>
      </c>
      <c r="K565" s="13">
        <v>0.60486111111111107</v>
      </c>
      <c r="L565" s="13">
        <v>0.62916666666666665</v>
      </c>
      <c r="M565">
        <v>30</v>
      </c>
      <c r="N565" s="14">
        <v>150</v>
      </c>
      <c r="O565" t="s">
        <v>195</v>
      </c>
      <c r="P565">
        <v>4</v>
      </c>
      <c r="Q565" t="s">
        <v>305</v>
      </c>
      <c r="R565" t="s">
        <v>1568</v>
      </c>
      <c r="S565">
        <v>0</v>
      </c>
      <c r="T565">
        <v>0</v>
      </c>
      <c r="U565" t="s">
        <v>2299</v>
      </c>
      <c r="V565" t="s">
        <v>2295</v>
      </c>
      <c r="W565" t="s">
        <v>2300</v>
      </c>
      <c r="X565" t="s">
        <v>2288</v>
      </c>
      <c r="Y565" t="s">
        <v>2301</v>
      </c>
      <c r="Z565" t="s">
        <v>2318</v>
      </c>
      <c r="AA565">
        <v>28</v>
      </c>
      <c r="AB565" s="14">
        <v>150</v>
      </c>
      <c r="AC565" t="s">
        <v>2319</v>
      </c>
      <c r="AD565" t="s">
        <v>2320</v>
      </c>
      <c r="AE565" t="s">
        <v>2643</v>
      </c>
      <c r="AF565">
        <v>22</v>
      </c>
      <c r="AG565">
        <v>1</v>
      </c>
      <c r="AH565">
        <v>35</v>
      </c>
      <c r="AI565">
        <v>0</v>
      </c>
      <c r="AJ565">
        <v>1</v>
      </c>
      <c r="AK565">
        <v>0</v>
      </c>
      <c r="AL565">
        <v>1</v>
      </c>
      <c r="AM565" s="14">
        <v>0</v>
      </c>
      <c r="AN565" t="s">
        <v>2644</v>
      </c>
      <c r="AO565" s="12">
        <v>46113</v>
      </c>
      <c r="AP565">
        <v>2026</v>
      </c>
      <c r="AQ565">
        <v>4</v>
      </c>
      <c r="AR565" t="s">
        <v>2651</v>
      </c>
    </row>
    <row r="566" spans="1:44">
      <c r="A566" t="s">
        <v>1717</v>
      </c>
      <c r="B566" s="12">
        <v>46124</v>
      </c>
      <c r="C566" s="12">
        <v>46084</v>
      </c>
      <c r="D566" t="s">
        <v>267</v>
      </c>
      <c r="E566" t="s">
        <v>339</v>
      </c>
      <c r="F566" t="s">
        <v>256</v>
      </c>
      <c r="G566" t="s">
        <v>345</v>
      </c>
      <c r="H566" t="s">
        <v>115</v>
      </c>
      <c r="I566" t="s">
        <v>271</v>
      </c>
      <c r="J566" s="13">
        <v>0.52083333333333337</v>
      </c>
      <c r="K566" s="13">
        <v>0.5180555555555556</v>
      </c>
      <c r="L566" s="13">
        <v>0.54374999999999996</v>
      </c>
      <c r="M566">
        <v>20</v>
      </c>
      <c r="N566" s="14">
        <v>95</v>
      </c>
      <c r="O566" t="s">
        <v>169</v>
      </c>
      <c r="P566">
        <v>3</v>
      </c>
      <c r="Q566" t="s">
        <v>285</v>
      </c>
      <c r="R566" t="s">
        <v>1568</v>
      </c>
      <c r="S566">
        <v>0</v>
      </c>
      <c r="T566">
        <v>0</v>
      </c>
      <c r="U566" t="s">
        <v>2294</v>
      </c>
      <c r="V566" t="s">
        <v>2295</v>
      </c>
      <c r="W566" t="s">
        <v>2296</v>
      </c>
      <c r="X566" t="s">
        <v>2297</v>
      </c>
      <c r="Y566" t="s">
        <v>2298</v>
      </c>
      <c r="Z566" t="s">
        <v>2312</v>
      </c>
      <c r="AA566">
        <v>21</v>
      </c>
      <c r="AB566" s="14">
        <v>95</v>
      </c>
      <c r="AC566" t="s">
        <v>2313</v>
      </c>
      <c r="AD566" t="s">
        <v>2314</v>
      </c>
      <c r="AE566" t="s">
        <v>2643</v>
      </c>
      <c r="AF566">
        <v>40</v>
      </c>
      <c r="AG566">
        <v>0</v>
      </c>
      <c r="AH566">
        <v>37</v>
      </c>
      <c r="AI566">
        <v>0</v>
      </c>
      <c r="AJ566">
        <v>1</v>
      </c>
      <c r="AK566">
        <v>0</v>
      </c>
      <c r="AL566">
        <v>1</v>
      </c>
      <c r="AM566" s="14">
        <v>0</v>
      </c>
      <c r="AN566" t="s">
        <v>2644</v>
      </c>
      <c r="AO566" s="12">
        <v>46113</v>
      </c>
      <c r="AP566">
        <v>2026</v>
      </c>
      <c r="AQ566">
        <v>4</v>
      </c>
      <c r="AR566" t="s">
        <v>2651</v>
      </c>
    </row>
    <row r="567" spans="1:44">
      <c r="A567" t="s">
        <v>1719</v>
      </c>
      <c r="B567" s="12">
        <v>46132</v>
      </c>
      <c r="C567" s="12">
        <v>46083</v>
      </c>
      <c r="D567" t="s">
        <v>882</v>
      </c>
      <c r="E567" t="s">
        <v>281</v>
      </c>
      <c r="F567" t="s">
        <v>409</v>
      </c>
      <c r="G567" t="s">
        <v>496</v>
      </c>
      <c r="H567" t="s">
        <v>115</v>
      </c>
      <c r="I567" t="s">
        <v>299</v>
      </c>
      <c r="J567" s="13">
        <v>0.4375</v>
      </c>
      <c r="K567" s="13">
        <v>0.43819444444444444</v>
      </c>
      <c r="L567" s="13">
        <v>0.45208333333333334</v>
      </c>
      <c r="M567">
        <v>45</v>
      </c>
      <c r="N567" s="14">
        <v>150</v>
      </c>
      <c r="O567" t="s">
        <v>195</v>
      </c>
      <c r="P567">
        <v>3</v>
      </c>
      <c r="Q567" t="s">
        <v>318</v>
      </c>
      <c r="R567" t="s">
        <v>1568</v>
      </c>
      <c r="S567">
        <v>0</v>
      </c>
      <c r="T567">
        <v>0</v>
      </c>
      <c r="U567" t="s">
        <v>2290</v>
      </c>
      <c r="V567" t="s">
        <v>2291</v>
      </c>
      <c r="W567" t="s">
        <v>2292</v>
      </c>
      <c r="X567" t="s">
        <v>2288</v>
      </c>
      <c r="Y567" t="s">
        <v>2293</v>
      </c>
      <c r="Z567" t="s">
        <v>2318</v>
      </c>
      <c r="AA567">
        <v>28</v>
      </c>
      <c r="AB567" s="14">
        <v>150</v>
      </c>
      <c r="AC567" t="s">
        <v>2319</v>
      </c>
      <c r="AD567" t="s">
        <v>2320</v>
      </c>
      <c r="AE567" t="s">
        <v>2643</v>
      </c>
      <c r="AF567">
        <v>49</v>
      </c>
      <c r="AG567">
        <v>0</v>
      </c>
      <c r="AH567">
        <v>20</v>
      </c>
      <c r="AI567">
        <v>1</v>
      </c>
      <c r="AJ567">
        <v>1</v>
      </c>
      <c r="AK567">
        <v>0</v>
      </c>
      <c r="AL567">
        <v>1</v>
      </c>
      <c r="AM567" s="14">
        <v>0</v>
      </c>
      <c r="AN567" t="s">
        <v>2644</v>
      </c>
      <c r="AO567" s="12">
        <v>46113</v>
      </c>
      <c r="AP567">
        <v>2026</v>
      </c>
      <c r="AQ567">
        <v>4</v>
      </c>
      <c r="AR567" t="s">
        <v>2651</v>
      </c>
    </row>
    <row r="568" spans="1:44">
      <c r="A568" t="s">
        <v>1721</v>
      </c>
      <c r="B568" s="12">
        <v>46129</v>
      </c>
      <c r="C568" s="12">
        <v>46118</v>
      </c>
      <c r="D568" t="s">
        <v>541</v>
      </c>
      <c r="E568" t="s">
        <v>255</v>
      </c>
      <c r="F568" t="s">
        <v>409</v>
      </c>
      <c r="G568" t="s">
        <v>648</v>
      </c>
      <c r="H568" t="s">
        <v>115</v>
      </c>
      <c r="I568" t="s">
        <v>299</v>
      </c>
      <c r="J568" s="13">
        <v>0.45833333333333331</v>
      </c>
      <c r="K568" s="13">
        <v>0.45902777777777776</v>
      </c>
      <c r="L568" s="13">
        <v>0.48055555555555557</v>
      </c>
      <c r="M568">
        <v>30</v>
      </c>
      <c r="N568" s="14">
        <v>150</v>
      </c>
      <c r="O568" t="s">
        <v>195</v>
      </c>
      <c r="P568">
        <v>3</v>
      </c>
      <c r="Q568" t="s">
        <v>262</v>
      </c>
      <c r="R568" t="s">
        <v>1568</v>
      </c>
      <c r="S568">
        <v>0</v>
      </c>
      <c r="T568">
        <v>0</v>
      </c>
      <c r="U568" t="s">
        <v>2299</v>
      </c>
      <c r="V568" t="s">
        <v>2295</v>
      </c>
      <c r="W568" t="s">
        <v>2300</v>
      </c>
      <c r="X568" t="s">
        <v>2288</v>
      </c>
      <c r="Y568" t="s">
        <v>2301</v>
      </c>
      <c r="Z568" t="s">
        <v>2318</v>
      </c>
      <c r="AA568">
        <v>28</v>
      </c>
      <c r="AB568" s="14">
        <v>150</v>
      </c>
      <c r="AC568" t="s">
        <v>2319</v>
      </c>
      <c r="AD568" t="s">
        <v>2320</v>
      </c>
      <c r="AE568" t="s">
        <v>2643</v>
      </c>
      <c r="AF568">
        <v>11</v>
      </c>
      <c r="AG568">
        <v>1</v>
      </c>
      <c r="AH568">
        <v>31</v>
      </c>
      <c r="AI568">
        <v>0</v>
      </c>
      <c r="AJ568">
        <v>1</v>
      </c>
      <c r="AK568">
        <v>0</v>
      </c>
      <c r="AL568">
        <v>1</v>
      </c>
      <c r="AM568" s="14">
        <v>0</v>
      </c>
      <c r="AN568" t="s">
        <v>2644</v>
      </c>
      <c r="AO568" s="12">
        <v>46113</v>
      </c>
      <c r="AP568">
        <v>2026</v>
      </c>
      <c r="AQ568">
        <v>4</v>
      </c>
      <c r="AR568" t="s">
        <v>2651</v>
      </c>
    </row>
    <row r="569" spans="1:44">
      <c r="A569" t="s">
        <v>1722</v>
      </c>
      <c r="B569" s="12">
        <v>46138</v>
      </c>
      <c r="C569" s="12">
        <v>46098</v>
      </c>
      <c r="D569" t="s">
        <v>1475</v>
      </c>
      <c r="E569" t="s">
        <v>268</v>
      </c>
      <c r="F569" t="s">
        <v>269</v>
      </c>
      <c r="G569" t="s">
        <v>435</v>
      </c>
      <c r="H569" t="s">
        <v>115</v>
      </c>
      <c r="I569" t="s">
        <v>258</v>
      </c>
      <c r="J569" s="13">
        <v>0.54166666666666663</v>
      </c>
      <c r="K569" s="13">
        <v>0.55347222222222225</v>
      </c>
      <c r="L569" s="13">
        <v>0.55486111111111114</v>
      </c>
      <c r="M569">
        <v>60</v>
      </c>
      <c r="N569" s="14">
        <v>80</v>
      </c>
      <c r="O569" t="s">
        <v>195</v>
      </c>
      <c r="P569">
        <v>5</v>
      </c>
      <c r="Q569" t="s">
        <v>305</v>
      </c>
      <c r="R569" t="s">
        <v>1568</v>
      </c>
      <c r="S569">
        <v>0</v>
      </c>
      <c r="T569">
        <v>0</v>
      </c>
      <c r="U569" t="s">
        <v>2285</v>
      </c>
      <c r="V569" t="s">
        <v>2286</v>
      </c>
      <c r="W569" t="s">
        <v>2287</v>
      </c>
      <c r="X569" t="s">
        <v>2288</v>
      </c>
      <c r="Y569" t="s">
        <v>2289</v>
      </c>
      <c r="Z569" t="s">
        <v>2315</v>
      </c>
      <c r="AA569">
        <v>10</v>
      </c>
      <c r="AB569" s="14">
        <v>80</v>
      </c>
      <c r="AC569" t="s">
        <v>2316</v>
      </c>
      <c r="AD569" t="s">
        <v>2317</v>
      </c>
      <c r="AE569" t="s">
        <v>2643</v>
      </c>
      <c r="AF569">
        <v>40</v>
      </c>
      <c r="AG569">
        <v>0</v>
      </c>
      <c r="AH569">
        <v>2</v>
      </c>
      <c r="AI569">
        <v>1</v>
      </c>
      <c r="AJ569">
        <v>1</v>
      </c>
      <c r="AK569">
        <v>0</v>
      </c>
      <c r="AL569">
        <v>1</v>
      </c>
      <c r="AM569" s="14">
        <v>0</v>
      </c>
      <c r="AN569" t="s">
        <v>2644</v>
      </c>
      <c r="AO569" s="12">
        <v>46113</v>
      </c>
      <c r="AP569">
        <v>2026</v>
      </c>
      <c r="AQ569">
        <v>4</v>
      </c>
      <c r="AR569" t="s">
        <v>2651</v>
      </c>
    </row>
    <row r="570" spans="1:44">
      <c r="A570" t="s">
        <v>1724</v>
      </c>
      <c r="B570" s="12">
        <v>46120</v>
      </c>
      <c r="C570" s="12">
        <v>46083</v>
      </c>
      <c r="D570" t="s">
        <v>1189</v>
      </c>
      <c r="E570" t="s">
        <v>339</v>
      </c>
      <c r="F570" t="s">
        <v>282</v>
      </c>
      <c r="G570" t="s">
        <v>461</v>
      </c>
      <c r="H570" t="s">
        <v>127</v>
      </c>
      <c r="I570" t="s">
        <v>316</v>
      </c>
      <c r="J570" s="13">
        <v>0.375</v>
      </c>
      <c r="K570" s="13"/>
      <c r="L570" s="13"/>
      <c r="M570">
        <v>0</v>
      </c>
      <c r="N570" s="14">
        <v>120</v>
      </c>
      <c r="O570" t="s">
        <v>195</v>
      </c>
      <c r="Q570" t="s">
        <v>305</v>
      </c>
      <c r="R570" t="s">
        <v>1568</v>
      </c>
      <c r="S570">
        <v>0</v>
      </c>
      <c r="T570">
        <v>0</v>
      </c>
      <c r="U570" t="s">
        <v>2294</v>
      </c>
      <c r="V570" t="s">
        <v>2295</v>
      </c>
      <c r="W570" t="s">
        <v>2296</v>
      </c>
      <c r="X570" t="s">
        <v>2297</v>
      </c>
      <c r="Y570" t="s">
        <v>2298</v>
      </c>
      <c r="Z570" t="s">
        <v>2309</v>
      </c>
      <c r="AA570">
        <v>14</v>
      </c>
      <c r="AB570" s="14">
        <v>120</v>
      </c>
      <c r="AC570" t="s">
        <v>2310</v>
      </c>
      <c r="AD570" t="s">
        <v>2311</v>
      </c>
      <c r="AE570" t="s">
        <v>2643</v>
      </c>
      <c r="AF570">
        <v>37</v>
      </c>
      <c r="AG570">
        <v>0</v>
      </c>
      <c r="AJ570">
        <v>0</v>
      </c>
      <c r="AL570">
        <v>1</v>
      </c>
      <c r="AM570" s="14">
        <v>0</v>
      </c>
      <c r="AN570" t="s">
        <v>2644</v>
      </c>
      <c r="AO570" s="12">
        <v>46113</v>
      </c>
      <c r="AP570">
        <v>2026</v>
      </c>
      <c r="AQ570">
        <v>4</v>
      </c>
      <c r="AR570" t="s">
        <v>2651</v>
      </c>
    </row>
    <row r="571" spans="1:44">
      <c r="A571" t="s">
        <v>1725</v>
      </c>
      <c r="B571" s="12">
        <v>46134</v>
      </c>
      <c r="C571" s="12">
        <v>46128</v>
      </c>
      <c r="D571" t="s">
        <v>1726</v>
      </c>
      <c r="E571" t="s">
        <v>339</v>
      </c>
      <c r="F571" t="s">
        <v>409</v>
      </c>
      <c r="G571" t="s">
        <v>501</v>
      </c>
      <c r="H571" t="s">
        <v>127</v>
      </c>
      <c r="I571" t="s">
        <v>299</v>
      </c>
      <c r="J571" s="13">
        <v>0.60416666666666663</v>
      </c>
      <c r="K571" s="13">
        <v>0.6020833333333333</v>
      </c>
      <c r="L571" s="13">
        <v>0.60763888888888884</v>
      </c>
      <c r="M571">
        <v>60</v>
      </c>
      <c r="N571" s="14">
        <v>150</v>
      </c>
      <c r="O571" t="s">
        <v>195</v>
      </c>
      <c r="P571">
        <v>5</v>
      </c>
      <c r="Q571" t="s">
        <v>305</v>
      </c>
      <c r="R571" t="s">
        <v>1568</v>
      </c>
      <c r="S571">
        <v>0</v>
      </c>
      <c r="T571">
        <v>0</v>
      </c>
      <c r="U571" t="s">
        <v>2294</v>
      </c>
      <c r="V571" t="s">
        <v>2295</v>
      </c>
      <c r="W571" t="s">
        <v>2296</v>
      </c>
      <c r="X571" t="s">
        <v>2297</v>
      </c>
      <c r="Y571" t="s">
        <v>2298</v>
      </c>
      <c r="Z571" t="s">
        <v>2318</v>
      </c>
      <c r="AA571">
        <v>28</v>
      </c>
      <c r="AB571" s="14">
        <v>150</v>
      </c>
      <c r="AC571" t="s">
        <v>2319</v>
      </c>
      <c r="AD571" t="s">
        <v>2320</v>
      </c>
      <c r="AE571" t="s">
        <v>2643</v>
      </c>
      <c r="AF571">
        <v>6</v>
      </c>
      <c r="AG571">
        <v>1</v>
      </c>
      <c r="AJ571">
        <v>0</v>
      </c>
      <c r="AL571">
        <v>1</v>
      </c>
      <c r="AM571" s="14">
        <v>0</v>
      </c>
      <c r="AN571" t="s">
        <v>2644</v>
      </c>
      <c r="AO571" s="12">
        <v>46113</v>
      </c>
      <c r="AP571">
        <v>2026</v>
      </c>
      <c r="AQ571">
        <v>4</v>
      </c>
      <c r="AR571" t="s">
        <v>2651</v>
      </c>
    </row>
    <row r="572" spans="1:44">
      <c r="A572" t="s">
        <v>1728</v>
      </c>
      <c r="B572" s="12">
        <v>46140</v>
      </c>
      <c r="C572" s="12">
        <v>46127</v>
      </c>
      <c r="D572" t="s">
        <v>1050</v>
      </c>
      <c r="E572" t="s">
        <v>255</v>
      </c>
      <c r="F572" t="s">
        <v>282</v>
      </c>
      <c r="G572" t="s">
        <v>290</v>
      </c>
      <c r="H572" t="s">
        <v>115</v>
      </c>
      <c r="I572" t="s">
        <v>299</v>
      </c>
      <c r="J572" s="13">
        <v>0.60416666666666663</v>
      </c>
      <c r="K572" s="13">
        <v>0.60277777777777775</v>
      </c>
      <c r="L572" s="13">
        <v>0.61597222222222225</v>
      </c>
      <c r="M572">
        <v>30</v>
      </c>
      <c r="N572" s="14">
        <v>120</v>
      </c>
      <c r="O572" t="s">
        <v>169</v>
      </c>
      <c r="P572">
        <v>4</v>
      </c>
      <c r="Q572" t="s">
        <v>326</v>
      </c>
      <c r="R572" t="s">
        <v>1568</v>
      </c>
      <c r="S572">
        <v>0</v>
      </c>
      <c r="T572">
        <v>0</v>
      </c>
      <c r="U572" t="s">
        <v>2299</v>
      </c>
      <c r="V572" t="s">
        <v>2295</v>
      </c>
      <c r="W572" t="s">
        <v>2300</v>
      </c>
      <c r="X572" t="s">
        <v>2288</v>
      </c>
      <c r="Y572" t="s">
        <v>2301</v>
      </c>
      <c r="Z572" t="s">
        <v>2309</v>
      </c>
      <c r="AA572">
        <v>14</v>
      </c>
      <c r="AB572" s="14">
        <v>120</v>
      </c>
      <c r="AC572" t="s">
        <v>2310</v>
      </c>
      <c r="AD572" t="s">
        <v>2311</v>
      </c>
      <c r="AE572" t="s">
        <v>2643</v>
      </c>
      <c r="AF572">
        <v>13</v>
      </c>
      <c r="AG572">
        <v>1</v>
      </c>
      <c r="AH572">
        <v>19</v>
      </c>
      <c r="AI572">
        <v>1</v>
      </c>
      <c r="AJ572">
        <v>1</v>
      </c>
      <c r="AK572">
        <v>0</v>
      </c>
      <c r="AL572">
        <v>1</v>
      </c>
      <c r="AM572" s="14">
        <v>0</v>
      </c>
      <c r="AN572" t="s">
        <v>2644</v>
      </c>
      <c r="AO572" s="12">
        <v>46113</v>
      </c>
      <c r="AP572">
        <v>2026</v>
      </c>
      <c r="AQ572">
        <v>4</v>
      </c>
      <c r="AR572" t="s">
        <v>2651</v>
      </c>
    </row>
    <row r="573" spans="1:44">
      <c r="A573" t="s">
        <v>1729</v>
      </c>
      <c r="B573" s="12">
        <v>46138</v>
      </c>
      <c r="C573" s="12">
        <v>46119</v>
      </c>
      <c r="D573" t="s">
        <v>659</v>
      </c>
      <c r="E573" t="s">
        <v>268</v>
      </c>
      <c r="F573" t="s">
        <v>409</v>
      </c>
      <c r="G573" t="s">
        <v>587</v>
      </c>
      <c r="H573" t="s">
        <v>122</v>
      </c>
      <c r="I573" t="s">
        <v>258</v>
      </c>
      <c r="J573" s="13">
        <v>0.52083333333333337</v>
      </c>
      <c r="K573" s="13"/>
      <c r="L573" s="13"/>
      <c r="M573">
        <v>0</v>
      </c>
      <c r="N573" s="14">
        <v>150</v>
      </c>
      <c r="O573" t="s">
        <v>195</v>
      </c>
      <c r="Q573" t="s">
        <v>318</v>
      </c>
      <c r="R573" t="s">
        <v>1568</v>
      </c>
      <c r="S573">
        <v>0</v>
      </c>
      <c r="T573">
        <v>0</v>
      </c>
      <c r="U573" t="s">
        <v>2285</v>
      </c>
      <c r="V573" t="s">
        <v>2286</v>
      </c>
      <c r="W573" t="s">
        <v>2287</v>
      </c>
      <c r="X573" t="s">
        <v>2288</v>
      </c>
      <c r="Y573" t="s">
        <v>2289</v>
      </c>
      <c r="Z573" t="s">
        <v>2318</v>
      </c>
      <c r="AA573">
        <v>28</v>
      </c>
      <c r="AB573" s="14">
        <v>150</v>
      </c>
      <c r="AC573" t="s">
        <v>2319</v>
      </c>
      <c r="AD573" t="s">
        <v>2320</v>
      </c>
      <c r="AE573" t="s">
        <v>2643</v>
      </c>
      <c r="AF573">
        <v>19</v>
      </c>
      <c r="AG573">
        <v>1</v>
      </c>
      <c r="AJ573">
        <v>1</v>
      </c>
      <c r="AK573">
        <v>1</v>
      </c>
      <c r="AL573">
        <v>1</v>
      </c>
      <c r="AM573" s="14">
        <v>0</v>
      </c>
      <c r="AN573" t="s">
        <v>2644</v>
      </c>
      <c r="AO573" s="12">
        <v>46113</v>
      </c>
      <c r="AP573">
        <v>2026</v>
      </c>
      <c r="AQ573">
        <v>4</v>
      </c>
      <c r="AR573" t="s">
        <v>2651</v>
      </c>
    </row>
    <row r="574" spans="1:44">
      <c r="A574" t="s">
        <v>1730</v>
      </c>
      <c r="B574" s="12">
        <v>46117</v>
      </c>
      <c r="C574" s="12">
        <v>46093</v>
      </c>
      <c r="D574" t="s">
        <v>1246</v>
      </c>
      <c r="E574" t="s">
        <v>268</v>
      </c>
      <c r="F574" t="s">
        <v>282</v>
      </c>
      <c r="G574" t="s">
        <v>505</v>
      </c>
      <c r="H574" t="s">
        <v>115</v>
      </c>
      <c r="I574" t="s">
        <v>258</v>
      </c>
      <c r="J574" s="13">
        <v>0.5</v>
      </c>
      <c r="K574" s="13">
        <v>0.49791666666666667</v>
      </c>
      <c r="L574" s="13">
        <v>0.50694444444444442</v>
      </c>
      <c r="M574">
        <v>30</v>
      </c>
      <c r="N574" s="14">
        <v>120</v>
      </c>
      <c r="O574" t="s">
        <v>195</v>
      </c>
      <c r="P574">
        <v>5</v>
      </c>
      <c r="Q574" t="s">
        <v>305</v>
      </c>
      <c r="R574" t="s">
        <v>1568</v>
      </c>
      <c r="S574">
        <v>0</v>
      </c>
      <c r="T574">
        <v>0</v>
      </c>
      <c r="U574" t="s">
        <v>2285</v>
      </c>
      <c r="V574" t="s">
        <v>2286</v>
      </c>
      <c r="W574" t="s">
        <v>2287</v>
      </c>
      <c r="X574" t="s">
        <v>2288</v>
      </c>
      <c r="Y574" t="s">
        <v>2289</v>
      </c>
      <c r="Z574" t="s">
        <v>2309</v>
      </c>
      <c r="AA574">
        <v>14</v>
      </c>
      <c r="AB574" s="14">
        <v>120</v>
      </c>
      <c r="AC574" t="s">
        <v>2310</v>
      </c>
      <c r="AD574" t="s">
        <v>2311</v>
      </c>
      <c r="AE574" t="s">
        <v>2643</v>
      </c>
      <c r="AF574">
        <v>24</v>
      </c>
      <c r="AG574">
        <v>0</v>
      </c>
      <c r="AH574">
        <v>13</v>
      </c>
      <c r="AI574">
        <v>1</v>
      </c>
      <c r="AJ574">
        <v>1</v>
      </c>
      <c r="AK574">
        <v>0</v>
      </c>
      <c r="AL574">
        <v>1</v>
      </c>
      <c r="AM574" s="14">
        <v>0</v>
      </c>
      <c r="AN574" t="s">
        <v>2644</v>
      </c>
      <c r="AO574" s="12">
        <v>46113</v>
      </c>
      <c r="AP574">
        <v>2026</v>
      </c>
      <c r="AQ574">
        <v>4</v>
      </c>
      <c r="AR574" t="s">
        <v>2651</v>
      </c>
    </row>
    <row r="575" spans="1:44">
      <c r="A575" t="s">
        <v>1731</v>
      </c>
      <c r="B575" s="12"/>
      <c r="C575" s="12">
        <v>46086</v>
      </c>
      <c r="D575" t="s">
        <v>534</v>
      </c>
      <c r="E575" t="s">
        <v>268</v>
      </c>
      <c r="F575" t="s">
        <v>409</v>
      </c>
      <c r="G575" t="s">
        <v>587</v>
      </c>
      <c r="H575" t="s">
        <v>115</v>
      </c>
      <c r="I575" t="s">
        <v>271</v>
      </c>
      <c r="J575" s="13">
        <v>0.39583333333333331</v>
      </c>
      <c r="K575" s="13">
        <v>0.39583333333333331</v>
      </c>
      <c r="L575" s="13">
        <v>0.39791666666666664</v>
      </c>
      <c r="M575">
        <v>20</v>
      </c>
      <c r="N575" s="14">
        <v>150</v>
      </c>
      <c r="O575" t="s">
        <v>169</v>
      </c>
      <c r="P575">
        <v>5</v>
      </c>
      <c r="Q575" t="s">
        <v>305</v>
      </c>
      <c r="R575" t="s">
        <v>1568</v>
      </c>
      <c r="S575">
        <v>0</v>
      </c>
      <c r="T575">
        <v>0</v>
      </c>
      <c r="U575" t="s">
        <v>2285</v>
      </c>
      <c r="V575" t="s">
        <v>2286</v>
      </c>
      <c r="W575" t="s">
        <v>2287</v>
      </c>
      <c r="X575" t="s">
        <v>2288</v>
      </c>
      <c r="Y575" t="s">
        <v>2289</v>
      </c>
      <c r="Z575" t="s">
        <v>2318</v>
      </c>
      <c r="AA575">
        <v>28</v>
      </c>
      <c r="AB575" s="14">
        <v>150</v>
      </c>
      <c r="AC575" t="s">
        <v>2319</v>
      </c>
      <c r="AD575" t="s">
        <v>2320</v>
      </c>
      <c r="AE575" t="s">
        <v>2643</v>
      </c>
      <c r="AH575">
        <v>3</v>
      </c>
      <c r="AI575">
        <v>1</v>
      </c>
      <c r="AJ575">
        <v>1</v>
      </c>
      <c r="AK575">
        <v>0</v>
      </c>
      <c r="AL575">
        <v>1</v>
      </c>
      <c r="AM575" s="14">
        <v>0</v>
      </c>
      <c r="AN575" t="s">
        <v>2644</v>
      </c>
      <c r="AO575" s="12"/>
    </row>
    <row r="576" spans="1:44">
      <c r="A576" t="s">
        <v>1732</v>
      </c>
      <c r="B576" s="12">
        <v>46142</v>
      </c>
      <c r="C576" s="12">
        <v>46127</v>
      </c>
      <c r="D576" t="s">
        <v>1222</v>
      </c>
      <c r="E576" t="s">
        <v>339</v>
      </c>
      <c r="F576" t="s">
        <v>282</v>
      </c>
      <c r="G576" t="s">
        <v>564</v>
      </c>
      <c r="H576" t="s">
        <v>115</v>
      </c>
      <c r="I576" t="s">
        <v>316</v>
      </c>
      <c r="J576" s="13">
        <v>0.60416666666666663</v>
      </c>
      <c r="K576" s="13">
        <v>0.60763888888888884</v>
      </c>
      <c r="L576" s="13">
        <v>0.61319444444444449</v>
      </c>
      <c r="M576">
        <v>45</v>
      </c>
      <c r="N576" s="14">
        <v>120</v>
      </c>
      <c r="O576" t="s">
        <v>195</v>
      </c>
      <c r="P576">
        <v>3</v>
      </c>
      <c r="Q576" t="s">
        <v>305</v>
      </c>
      <c r="R576" t="s">
        <v>1568</v>
      </c>
      <c r="S576">
        <v>0</v>
      </c>
      <c r="T576">
        <v>0</v>
      </c>
      <c r="U576" t="s">
        <v>2294</v>
      </c>
      <c r="V576" t="s">
        <v>2295</v>
      </c>
      <c r="W576" t="s">
        <v>2296</v>
      </c>
      <c r="X576" t="s">
        <v>2297</v>
      </c>
      <c r="Y576" t="s">
        <v>2298</v>
      </c>
      <c r="Z576" t="s">
        <v>2309</v>
      </c>
      <c r="AA576">
        <v>14</v>
      </c>
      <c r="AB576" s="14">
        <v>120</v>
      </c>
      <c r="AC576" t="s">
        <v>2310</v>
      </c>
      <c r="AD576" t="s">
        <v>2311</v>
      </c>
      <c r="AE576" t="s">
        <v>2643</v>
      </c>
      <c r="AF576">
        <v>15</v>
      </c>
      <c r="AG576">
        <v>0</v>
      </c>
      <c r="AH576">
        <v>8</v>
      </c>
      <c r="AI576">
        <v>1</v>
      </c>
      <c r="AJ576">
        <v>1</v>
      </c>
      <c r="AK576">
        <v>0</v>
      </c>
      <c r="AL576">
        <v>1</v>
      </c>
      <c r="AM576" s="14">
        <v>0</v>
      </c>
      <c r="AN576" t="s">
        <v>2644</v>
      </c>
      <c r="AO576" s="12">
        <v>46113</v>
      </c>
      <c r="AP576">
        <v>2026</v>
      </c>
      <c r="AQ576">
        <v>4</v>
      </c>
      <c r="AR576" t="s">
        <v>2651</v>
      </c>
    </row>
    <row r="577" spans="1:44">
      <c r="A577" t="s">
        <v>1734</v>
      </c>
      <c r="B577" s="12">
        <v>46135</v>
      </c>
      <c r="C577" s="12">
        <v>46115</v>
      </c>
      <c r="D577" t="s">
        <v>397</v>
      </c>
      <c r="E577" t="s">
        <v>339</v>
      </c>
      <c r="F577" t="s">
        <v>282</v>
      </c>
      <c r="G577" t="s">
        <v>564</v>
      </c>
      <c r="H577" t="s">
        <v>127</v>
      </c>
      <c r="I577" t="s">
        <v>258</v>
      </c>
      <c r="J577" s="13">
        <v>0.54166666666666663</v>
      </c>
      <c r="K577" s="13"/>
      <c r="L577" s="13"/>
      <c r="M577">
        <v>0</v>
      </c>
      <c r="N577" s="14">
        <v>120</v>
      </c>
      <c r="O577" t="s">
        <v>169</v>
      </c>
      <c r="Q577" t="s">
        <v>305</v>
      </c>
      <c r="R577" t="s">
        <v>1568</v>
      </c>
      <c r="S577">
        <v>0</v>
      </c>
      <c r="T577">
        <v>0</v>
      </c>
      <c r="U577" t="s">
        <v>2294</v>
      </c>
      <c r="V577" t="s">
        <v>2295</v>
      </c>
      <c r="W577" t="s">
        <v>2296</v>
      </c>
      <c r="X577" t="s">
        <v>2297</v>
      </c>
      <c r="Y577" t="s">
        <v>2298</v>
      </c>
      <c r="Z577" t="s">
        <v>2309</v>
      </c>
      <c r="AA577">
        <v>14</v>
      </c>
      <c r="AB577" s="14">
        <v>120</v>
      </c>
      <c r="AC577" t="s">
        <v>2310</v>
      </c>
      <c r="AD577" t="s">
        <v>2311</v>
      </c>
      <c r="AE577" t="s">
        <v>2643</v>
      </c>
      <c r="AF577">
        <v>20</v>
      </c>
      <c r="AG577">
        <v>0</v>
      </c>
      <c r="AJ577">
        <v>0</v>
      </c>
      <c r="AL577">
        <v>1</v>
      </c>
      <c r="AM577" s="14">
        <v>0</v>
      </c>
      <c r="AN577" t="s">
        <v>2644</v>
      </c>
      <c r="AO577" s="12">
        <v>46113</v>
      </c>
      <c r="AP577">
        <v>2026</v>
      </c>
      <c r="AQ577">
        <v>4</v>
      </c>
      <c r="AR577" t="s">
        <v>2651</v>
      </c>
    </row>
    <row r="578" spans="1:44">
      <c r="A578" t="s">
        <v>1735</v>
      </c>
      <c r="B578" s="12">
        <v>46137</v>
      </c>
      <c r="C578" s="12">
        <v>46102</v>
      </c>
      <c r="D578" t="s">
        <v>1322</v>
      </c>
      <c r="E578" t="s">
        <v>339</v>
      </c>
      <c r="F578" t="s">
        <v>282</v>
      </c>
      <c r="G578" t="s">
        <v>564</v>
      </c>
      <c r="H578" t="s">
        <v>115</v>
      </c>
      <c r="I578" t="s">
        <v>258</v>
      </c>
      <c r="J578" s="13">
        <v>0.39583333333333331</v>
      </c>
      <c r="K578" s="13">
        <v>0.40416666666666667</v>
      </c>
      <c r="L578" s="13">
        <v>0.4</v>
      </c>
      <c r="M578">
        <v>45</v>
      </c>
      <c r="N578" s="14">
        <v>120</v>
      </c>
      <c r="O578" t="s">
        <v>169</v>
      </c>
      <c r="P578">
        <v>5</v>
      </c>
      <c r="Q578" t="s">
        <v>262</v>
      </c>
      <c r="R578" t="s">
        <v>1568</v>
      </c>
      <c r="S578">
        <v>0</v>
      </c>
      <c r="T578">
        <v>0</v>
      </c>
      <c r="U578" t="s">
        <v>2294</v>
      </c>
      <c r="V578" t="s">
        <v>2295</v>
      </c>
      <c r="W578" t="s">
        <v>2296</v>
      </c>
      <c r="X578" t="s">
        <v>2297</v>
      </c>
      <c r="Y578" t="s">
        <v>2298</v>
      </c>
      <c r="Z578" t="s">
        <v>2309</v>
      </c>
      <c r="AA578">
        <v>14</v>
      </c>
      <c r="AB578" s="14">
        <v>120</v>
      </c>
      <c r="AC578" t="s">
        <v>2310</v>
      </c>
      <c r="AD578" t="s">
        <v>2311</v>
      </c>
      <c r="AE578" t="s">
        <v>2643</v>
      </c>
      <c r="AF578">
        <v>35</v>
      </c>
      <c r="AG578">
        <v>0</v>
      </c>
      <c r="AJ578">
        <v>1</v>
      </c>
      <c r="AK578">
        <v>0</v>
      </c>
      <c r="AL578">
        <v>1</v>
      </c>
      <c r="AM578" s="14">
        <v>0</v>
      </c>
      <c r="AN578" t="s">
        <v>2644</v>
      </c>
      <c r="AO578" s="12">
        <v>46113</v>
      </c>
      <c r="AP578">
        <v>2026</v>
      </c>
      <c r="AQ578">
        <v>4</v>
      </c>
      <c r="AR578" t="s">
        <v>2651</v>
      </c>
    </row>
    <row r="579" spans="1:44">
      <c r="A579" t="s">
        <v>1736</v>
      </c>
      <c r="B579" s="12">
        <v>46123</v>
      </c>
      <c r="C579" s="12">
        <v>46087</v>
      </c>
      <c r="D579" t="s">
        <v>1097</v>
      </c>
      <c r="E579" t="s">
        <v>339</v>
      </c>
      <c r="F579" t="s">
        <v>256</v>
      </c>
      <c r="G579" t="s">
        <v>725</v>
      </c>
      <c r="H579" t="s">
        <v>115</v>
      </c>
      <c r="I579" t="s">
        <v>271</v>
      </c>
      <c r="J579" s="13">
        <v>0.35416666666666669</v>
      </c>
      <c r="K579" s="13">
        <v>0.35625000000000001</v>
      </c>
      <c r="L579" s="13">
        <v>0.37916666666666665</v>
      </c>
      <c r="M579">
        <v>20</v>
      </c>
      <c r="N579" s="14">
        <v>95</v>
      </c>
      <c r="O579" t="s">
        <v>195</v>
      </c>
      <c r="P579">
        <v>4</v>
      </c>
      <c r="Q579" t="s">
        <v>326</v>
      </c>
      <c r="R579" t="s">
        <v>1568</v>
      </c>
      <c r="S579">
        <v>0</v>
      </c>
      <c r="T579">
        <v>0</v>
      </c>
      <c r="U579" t="s">
        <v>2294</v>
      </c>
      <c r="V579" t="s">
        <v>2295</v>
      </c>
      <c r="W579" t="s">
        <v>2296</v>
      </c>
      <c r="X579" t="s">
        <v>2297</v>
      </c>
      <c r="Y579" t="s">
        <v>2298</v>
      </c>
      <c r="Z579" t="s">
        <v>2312</v>
      </c>
      <c r="AA579">
        <v>21</v>
      </c>
      <c r="AB579" s="14">
        <v>95</v>
      </c>
      <c r="AC579" t="s">
        <v>2313</v>
      </c>
      <c r="AD579" t="s">
        <v>2314</v>
      </c>
      <c r="AE579" t="s">
        <v>2643</v>
      </c>
      <c r="AF579">
        <v>36</v>
      </c>
      <c r="AG579">
        <v>0</v>
      </c>
      <c r="AH579">
        <v>33</v>
      </c>
      <c r="AI579">
        <v>0</v>
      </c>
      <c r="AJ579">
        <v>1</v>
      </c>
      <c r="AK579">
        <v>0</v>
      </c>
      <c r="AL579">
        <v>1</v>
      </c>
      <c r="AM579" s="14">
        <v>0</v>
      </c>
      <c r="AN579" t="s">
        <v>2644</v>
      </c>
      <c r="AO579" s="12">
        <v>46113</v>
      </c>
      <c r="AP579">
        <v>2026</v>
      </c>
      <c r="AQ579">
        <v>4</v>
      </c>
      <c r="AR579" t="s">
        <v>2651</v>
      </c>
    </row>
    <row r="580" spans="1:44">
      <c r="A580" t="s">
        <v>1737</v>
      </c>
      <c r="B580" s="12">
        <v>46134</v>
      </c>
      <c r="C580" s="12">
        <v>46103</v>
      </c>
      <c r="D580" t="s">
        <v>357</v>
      </c>
      <c r="E580" t="s">
        <v>255</v>
      </c>
      <c r="F580" t="s">
        <v>269</v>
      </c>
      <c r="G580" t="s">
        <v>542</v>
      </c>
      <c r="H580" t="s">
        <v>122</v>
      </c>
      <c r="I580" t="s">
        <v>299</v>
      </c>
      <c r="J580" s="13">
        <v>0.60416666666666663</v>
      </c>
      <c r="K580" s="13"/>
      <c r="L580" s="13"/>
      <c r="M580">
        <v>0</v>
      </c>
      <c r="N580" s="14">
        <v>80</v>
      </c>
      <c r="O580" t="s">
        <v>169</v>
      </c>
      <c r="Q580" t="s">
        <v>285</v>
      </c>
      <c r="R580" t="s">
        <v>1568</v>
      </c>
      <c r="S580">
        <v>0</v>
      </c>
      <c r="T580">
        <v>0</v>
      </c>
      <c r="U580" t="s">
        <v>2299</v>
      </c>
      <c r="V580" t="s">
        <v>2295</v>
      </c>
      <c r="W580" t="s">
        <v>2300</v>
      </c>
      <c r="X580" t="s">
        <v>2288</v>
      </c>
      <c r="Y580" t="s">
        <v>2301</v>
      </c>
      <c r="Z580" t="s">
        <v>2315</v>
      </c>
      <c r="AA580">
        <v>10</v>
      </c>
      <c r="AB580" s="14">
        <v>80</v>
      </c>
      <c r="AC580" t="s">
        <v>2316</v>
      </c>
      <c r="AD580" t="s">
        <v>2317</v>
      </c>
      <c r="AE580" t="s">
        <v>2643</v>
      </c>
      <c r="AF580">
        <v>31</v>
      </c>
      <c r="AG580">
        <v>0</v>
      </c>
      <c r="AJ580">
        <v>1</v>
      </c>
      <c r="AK580">
        <v>1</v>
      </c>
      <c r="AL580">
        <v>1</v>
      </c>
      <c r="AM580" s="14">
        <v>0</v>
      </c>
      <c r="AN580" t="s">
        <v>2644</v>
      </c>
      <c r="AO580" s="12">
        <v>46113</v>
      </c>
      <c r="AP580">
        <v>2026</v>
      </c>
      <c r="AQ580">
        <v>4</v>
      </c>
      <c r="AR580" t="s">
        <v>2651</v>
      </c>
    </row>
    <row r="581" spans="1:44">
      <c r="A581" t="s">
        <v>1738</v>
      </c>
      <c r="B581" s="12">
        <v>46134</v>
      </c>
      <c r="C581" s="12">
        <v>46098</v>
      </c>
      <c r="D581" t="s">
        <v>1136</v>
      </c>
      <c r="E581" t="s">
        <v>268</v>
      </c>
      <c r="F581" t="s">
        <v>409</v>
      </c>
      <c r="G581" t="s">
        <v>587</v>
      </c>
      <c r="H581" t="s">
        <v>122</v>
      </c>
      <c r="I581" t="s">
        <v>316</v>
      </c>
      <c r="J581" s="13">
        <v>0.5</v>
      </c>
      <c r="K581" s="13"/>
      <c r="L581" s="13"/>
      <c r="M581">
        <v>0</v>
      </c>
      <c r="N581" s="14">
        <v>150</v>
      </c>
      <c r="O581" t="s">
        <v>195</v>
      </c>
      <c r="Q581" t="s">
        <v>285</v>
      </c>
      <c r="R581" t="s">
        <v>1568</v>
      </c>
      <c r="S581">
        <v>0</v>
      </c>
      <c r="T581">
        <v>0</v>
      </c>
      <c r="U581" t="s">
        <v>2285</v>
      </c>
      <c r="V581" t="s">
        <v>2286</v>
      </c>
      <c r="W581" t="s">
        <v>2287</v>
      </c>
      <c r="X581" t="s">
        <v>2288</v>
      </c>
      <c r="Y581" t="s">
        <v>2289</v>
      </c>
      <c r="Z581" t="s">
        <v>2318</v>
      </c>
      <c r="AA581">
        <v>28</v>
      </c>
      <c r="AB581" s="14">
        <v>150</v>
      </c>
      <c r="AC581" t="s">
        <v>2319</v>
      </c>
      <c r="AD581" t="s">
        <v>2320</v>
      </c>
      <c r="AE581" t="s">
        <v>2643</v>
      </c>
      <c r="AF581">
        <v>36</v>
      </c>
      <c r="AG581">
        <v>0</v>
      </c>
      <c r="AJ581">
        <v>1</v>
      </c>
      <c r="AK581">
        <v>1</v>
      </c>
      <c r="AL581">
        <v>1</v>
      </c>
      <c r="AM581" s="14">
        <v>0</v>
      </c>
      <c r="AN581" t="s">
        <v>2644</v>
      </c>
      <c r="AO581" s="12">
        <v>46113</v>
      </c>
      <c r="AP581">
        <v>2026</v>
      </c>
      <c r="AQ581">
        <v>4</v>
      </c>
      <c r="AR581" t="s">
        <v>2651</v>
      </c>
    </row>
    <row r="582" spans="1:44">
      <c r="A582" t="s">
        <v>1739</v>
      </c>
      <c r="B582" s="12">
        <v>46119</v>
      </c>
      <c r="C582" s="12">
        <v>46106</v>
      </c>
      <c r="D582" t="s">
        <v>1022</v>
      </c>
      <c r="E582" t="s">
        <v>339</v>
      </c>
      <c r="F582" t="s">
        <v>269</v>
      </c>
      <c r="G582" t="s">
        <v>528</v>
      </c>
      <c r="H582" t="s">
        <v>127</v>
      </c>
      <c r="I582" t="s">
        <v>258</v>
      </c>
      <c r="J582" s="13">
        <v>0.35416666666666669</v>
      </c>
      <c r="K582" s="13"/>
      <c r="L582" s="13"/>
      <c r="M582">
        <v>0</v>
      </c>
      <c r="N582" s="14">
        <v>80</v>
      </c>
      <c r="O582" t="s">
        <v>195</v>
      </c>
      <c r="Q582" t="s">
        <v>285</v>
      </c>
      <c r="R582" t="s">
        <v>1568</v>
      </c>
      <c r="S582">
        <v>0</v>
      </c>
      <c r="T582">
        <v>0</v>
      </c>
      <c r="U582" t="s">
        <v>2294</v>
      </c>
      <c r="V582" t="s">
        <v>2295</v>
      </c>
      <c r="W582" t="s">
        <v>2296</v>
      </c>
      <c r="X582" t="s">
        <v>2297</v>
      </c>
      <c r="Y582" t="s">
        <v>2298</v>
      </c>
      <c r="Z582" t="s">
        <v>2315</v>
      </c>
      <c r="AA582">
        <v>10</v>
      </c>
      <c r="AB582" s="14">
        <v>80</v>
      </c>
      <c r="AC582" t="s">
        <v>2316</v>
      </c>
      <c r="AD582" t="s">
        <v>2317</v>
      </c>
      <c r="AE582" t="s">
        <v>2643</v>
      </c>
      <c r="AF582">
        <v>13</v>
      </c>
      <c r="AG582">
        <v>0</v>
      </c>
      <c r="AJ582">
        <v>0</v>
      </c>
      <c r="AL582">
        <v>1</v>
      </c>
      <c r="AM582" s="14">
        <v>0</v>
      </c>
      <c r="AN582" t="s">
        <v>2644</v>
      </c>
      <c r="AO582" s="12">
        <v>46113</v>
      </c>
      <c r="AP582">
        <v>2026</v>
      </c>
      <c r="AQ582">
        <v>4</v>
      </c>
      <c r="AR582" t="s">
        <v>2651</v>
      </c>
    </row>
    <row r="583" spans="1:44">
      <c r="A583" t="s">
        <v>1740</v>
      </c>
      <c r="B583" s="12">
        <v>46125</v>
      </c>
      <c r="C583" s="12">
        <v>46115</v>
      </c>
      <c r="D583" t="s">
        <v>315</v>
      </c>
      <c r="E583" t="s">
        <v>281</v>
      </c>
      <c r="F583" t="s">
        <v>297</v>
      </c>
      <c r="G583" t="s">
        <v>298</v>
      </c>
      <c r="H583" t="s">
        <v>115</v>
      </c>
      <c r="I583" t="s">
        <v>258</v>
      </c>
      <c r="J583" s="13">
        <v>0.52083333333333337</v>
      </c>
      <c r="K583" s="13">
        <v>0.52222222222222225</v>
      </c>
      <c r="L583" s="13">
        <v>0.53194444444444444</v>
      </c>
      <c r="M583">
        <v>30</v>
      </c>
      <c r="N583" s="14">
        <v>65</v>
      </c>
      <c r="O583" t="s">
        <v>195</v>
      </c>
      <c r="P583">
        <v>2</v>
      </c>
      <c r="Q583" t="s">
        <v>305</v>
      </c>
      <c r="R583" t="s">
        <v>1568</v>
      </c>
      <c r="S583">
        <v>0</v>
      </c>
      <c r="T583">
        <v>0</v>
      </c>
      <c r="U583" t="s">
        <v>2290</v>
      </c>
      <c r="V583" t="s">
        <v>2291</v>
      </c>
      <c r="W583" t="s">
        <v>2292</v>
      </c>
      <c r="X583" t="s">
        <v>2288</v>
      </c>
      <c r="Y583" t="s">
        <v>2293</v>
      </c>
      <c r="Z583" t="s">
        <v>2306</v>
      </c>
      <c r="AA583">
        <v>7</v>
      </c>
      <c r="AB583" s="14">
        <v>65</v>
      </c>
      <c r="AC583" t="s">
        <v>2307</v>
      </c>
      <c r="AD583" t="s">
        <v>2308</v>
      </c>
      <c r="AE583" t="s">
        <v>2643</v>
      </c>
      <c r="AF583">
        <v>10</v>
      </c>
      <c r="AG583">
        <v>0</v>
      </c>
      <c r="AH583">
        <v>14</v>
      </c>
      <c r="AI583">
        <v>1</v>
      </c>
      <c r="AJ583">
        <v>1</v>
      </c>
      <c r="AK583">
        <v>0</v>
      </c>
      <c r="AL583">
        <v>1</v>
      </c>
      <c r="AM583" s="14">
        <v>0</v>
      </c>
      <c r="AN583" t="s">
        <v>2644</v>
      </c>
      <c r="AO583" s="12">
        <v>46113</v>
      </c>
      <c r="AP583">
        <v>2026</v>
      </c>
      <c r="AQ583">
        <v>4</v>
      </c>
      <c r="AR583" t="s">
        <v>2651</v>
      </c>
    </row>
    <row r="584" spans="1:44">
      <c r="A584" t="s">
        <v>1742</v>
      </c>
      <c r="B584" s="12">
        <v>46136</v>
      </c>
      <c r="C584" s="12">
        <v>46091</v>
      </c>
      <c r="D584" t="s">
        <v>1475</v>
      </c>
      <c r="E584" t="s">
        <v>268</v>
      </c>
      <c r="F584" t="s">
        <v>409</v>
      </c>
      <c r="G584" t="s">
        <v>587</v>
      </c>
      <c r="H584" t="s">
        <v>115</v>
      </c>
      <c r="I584" t="s">
        <v>271</v>
      </c>
      <c r="J584" s="13">
        <v>0.4375</v>
      </c>
      <c r="K584" s="13">
        <v>0.43194444444444446</v>
      </c>
      <c r="L584" s="13">
        <v>0.45208333333333334</v>
      </c>
      <c r="M584">
        <v>45</v>
      </c>
      <c r="N584" s="14">
        <v>150</v>
      </c>
      <c r="O584" t="s">
        <v>169</v>
      </c>
      <c r="P584">
        <v>3</v>
      </c>
      <c r="Q584" t="s">
        <v>262</v>
      </c>
      <c r="R584" t="s">
        <v>1568</v>
      </c>
      <c r="S584">
        <v>0</v>
      </c>
      <c r="T584">
        <v>0</v>
      </c>
      <c r="U584" t="s">
        <v>2285</v>
      </c>
      <c r="V584" t="s">
        <v>2286</v>
      </c>
      <c r="W584" t="s">
        <v>2287</v>
      </c>
      <c r="X584" t="s">
        <v>2288</v>
      </c>
      <c r="Y584" t="s">
        <v>2289</v>
      </c>
      <c r="Z584" t="s">
        <v>2318</v>
      </c>
      <c r="AA584">
        <v>28</v>
      </c>
      <c r="AB584" s="14">
        <v>150</v>
      </c>
      <c r="AC584" t="s">
        <v>2319</v>
      </c>
      <c r="AD584" t="s">
        <v>2320</v>
      </c>
      <c r="AE584" t="s">
        <v>2643</v>
      </c>
      <c r="AF584">
        <v>45</v>
      </c>
      <c r="AG584">
        <v>0</v>
      </c>
      <c r="AH584">
        <v>29</v>
      </c>
      <c r="AI584">
        <v>1</v>
      </c>
      <c r="AJ584">
        <v>1</v>
      </c>
      <c r="AK584">
        <v>0</v>
      </c>
      <c r="AL584">
        <v>1</v>
      </c>
      <c r="AM584" s="14">
        <v>0</v>
      </c>
      <c r="AN584" t="s">
        <v>2644</v>
      </c>
      <c r="AO584" s="12">
        <v>46113</v>
      </c>
      <c r="AP584">
        <v>2026</v>
      </c>
      <c r="AQ584">
        <v>4</v>
      </c>
      <c r="AR584" t="s">
        <v>2651</v>
      </c>
    </row>
    <row r="585" spans="1:44">
      <c r="A585" t="s">
        <v>1744</v>
      </c>
      <c r="B585" s="12">
        <v>46113</v>
      </c>
      <c r="C585" s="12">
        <v>46092</v>
      </c>
      <c r="D585" t="s">
        <v>280</v>
      </c>
      <c r="E585" t="s">
        <v>255</v>
      </c>
      <c r="F585" t="s">
        <v>297</v>
      </c>
      <c r="G585" t="s">
        <v>639</v>
      </c>
      <c r="H585" t="s">
        <v>115</v>
      </c>
      <c r="I585" t="s">
        <v>271</v>
      </c>
      <c r="J585" s="13">
        <v>0.54166666666666663</v>
      </c>
      <c r="K585" s="13">
        <v>0.54583333333333328</v>
      </c>
      <c r="L585" s="13">
        <v>0.54583333333333328</v>
      </c>
      <c r="M585">
        <v>20</v>
      </c>
      <c r="O585" t="s">
        <v>195</v>
      </c>
      <c r="P585">
        <v>4</v>
      </c>
      <c r="Q585" t="s">
        <v>305</v>
      </c>
      <c r="R585" t="s">
        <v>1568</v>
      </c>
      <c r="S585">
        <v>0</v>
      </c>
      <c r="T585">
        <v>0</v>
      </c>
      <c r="U585" t="s">
        <v>2299</v>
      </c>
      <c r="V585" t="s">
        <v>2295</v>
      </c>
      <c r="W585" t="s">
        <v>2300</v>
      </c>
      <c r="X585" t="s">
        <v>2288</v>
      </c>
      <c r="Y585" t="s">
        <v>2301</v>
      </c>
      <c r="Z585" t="s">
        <v>2306</v>
      </c>
      <c r="AA585">
        <v>7</v>
      </c>
      <c r="AB585" s="14">
        <v>65</v>
      </c>
      <c r="AC585" t="s">
        <v>2307</v>
      </c>
      <c r="AD585" t="s">
        <v>2308</v>
      </c>
      <c r="AE585" t="s">
        <v>2643</v>
      </c>
      <c r="AF585">
        <v>21</v>
      </c>
      <c r="AG585">
        <v>0</v>
      </c>
      <c r="AH585">
        <v>0</v>
      </c>
      <c r="AI585">
        <v>1</v>
      </c>
      <c r="AJ585">
        <v>1</v>
      </c>
      <c r="AK585">
        <v>0</v>
      </c>
      <c r="AL585">
        <v>0</v>
      </c>
      <c r="AN585" t="s">
        <v>2648</v>
      </c>
      <c r="AO585" s="12">
        <v>46113</v>
      </c>
      <c r="AP585">
        <v>2026</v>
      </c>
      <c r="AQ585">
        <v>4</v>
      </c>
      <c r="AR585" t="s">
        <v>2651</v>
      </c>
    </row>
    <row r="586" spans="1:44">
      <c r="A586" t="s">
        <v>1745</v>
      </c>
      <c r="B586" s="12">
        <v>46141</v>
      </c>
      <c r="C586" s="12">
        <v>46091</v>
      </c>
      <c r="D586" t="s">
        <v>691</v>
      </c>
      <c r="E586" t="s">
        <v>281</v>
      </c>
      <c r="F586" t="s">
        <v>256</v>
      </c>
      <c r="G586" t="s">
        <v>796</v>
      </c>
      <c r="H586" t="s">
        <v>115</v>
      </c>
      <c r="I586" t="s">
        <v>316</v>
      </c>
      <c r="J586" s="13">
        <v>0.47916666666666669</v>
      </c>
      <c r="K586" s="13">
        <v>0.48194444444444445</v>
      </c>
      <c r="L586" s="13">
        <v>0.48541666666666666</v>
      </c>
      <c r="M586">
        <v>30</v>
      </c>
      <c r="N586" s="14">
        <v>95</v>
      </c>
      <c r="O586" t="s">
        <v>195</v>
      </c>
      <c r="P586">
        <v>5</v>
      </c>
      <c r="Q586" t="s">
        <v>318</v>
      </c>
      <c r="R586" t="s">
        <v>1568</v>
      </c>
      <c r="S586">
        <v>0</v>
      </c>
      <c r="T586">
        <v>0</v>
      </c>
      <c r="U586" t="s">
        <v>2290</v>
      </c>
      <c r="V586" t="s">
        <v>2291</v>
      </c>
      <c r="W586" t="s">
        <v>2292</v>
      </c>
      <c r="X586" t="s">
        <v>2288</v>
      </c>
      <c r="Y586" t="s">
        <v>2293</v>
      </c>
      <c r="Z586" t="s">
        <v>2312</v>
      </c>
      <c r="AA586">
        <v>21</v>
      </c>
      <c r="AB586" s="14">
        <v>95</v>
      </c>
      <c r="AC586" t="s">
        <v>2313</v>
      </c>
      <c r="AD586" t="s">
        <v>2314</v>
      </c>
      <c r="AE586" t="s">
        <v>2643</v>
      </c>
      <c r="AF586">
        <v>50</v>
      </c>
      <c r="AG586">
        <v>0</v>
      </c>
      <c r="AH586">
        <v>5</v>
      </c>
      <c r="AI586">
        <v>1</v>
      </c>
      <c r="AJ586">
        <v>1</v>
      </c>
      <c r="AK586">
        <v>0</v>
      </c>
      <c r="AL586">
        <v>1</v>
      </c>
      <c r="AM586" s="14">
        <v>0</v>
      </c>
      <c r="AN586" t="s">
        <v>2644</v>
      </c>
      <c r="AO586" s="12">
        <v>46113</v>
      </c>
      <c r="AP586">
        <v>2026</v>
      </c>
      <c r="AQ586">
        <v>4</v>
      </c>
      <c r="AR586" t="s">
        <v>2651</v>
      </c>
    </row>
    <row r="587" spans="1:44">
      <c r="A587" t="s">
        <v>1746</v>
      </c>
      <c r="B587" s="12">
        <v>46118</v>
      </c>
      <c r="C587" s="12">
        <v>46117</v>
      </c>
      <c r="E587" t="s">
        <v>281</v>
      </c>
      <c r="F587" t="s">
        <v>409</v>
      </c>
      <c r="G587" t="s">
        <v>535</v>
      </c>
      <c r="H587" t="s">
        <v>115</v>
      </c>
      <c r="I587" t="s">
        <v>299</v>
      </c>
      <c r="J587" s="13">
        <v>0.64583333333333337</v>
      </c>
      <c r="K587" s="13">
        <v>0.65</v>
      </c>
      <c r="L587" s="13">
        <v>0.6694444444444444</v>
      </c>
      <c r="M587">
        <v>20</v>
      </c>
      <c r="N587" s="14">
        <v>150</v>
      </c>
      <c r="O587" t="s">
        <v>195</v>
      </c>
      <c r="P587">
        <v>4</v>
      </c>
      <c r="Q587" t="s">
        <v>262</v>
      </c>
      <c r="R587" t="s">
        <v>1568</v>
      </c>
      <c r="S587">
        <v>1</v>
      </c>
      <c r="T587">
        <v>0</v>
      </c>
      <c r="U587" t="s">
        <v>2290</v>
      </c>
      <c r="V587" t="s">
        <v>2291</v>
      </c>
      <c r="W587" t="s">
        <v>2292</v>
      </c>
      <c r="X587" t="s">
        <v>2288</v>
      </c>
      <c r="Y587" t="s">
        <v>2293</v>
      </c>
      <c r="Z587" t="s">
        <v>2318</v>
      </c>
      <c r="AA587">
        <v>28</v>
      </c>
      <c r="AB587" s="14">
        <v>150</v>
      </c>
      <c r="AC587" t="s">
        <v>2319</v>
      </c>
      <c r="AD587" t="s">
        <v>2320</v>
      </c>
      <c r="AE587" t="s">
        <v>2643</v>
      </c>
      <c r="AF587">
        <v>1</v>
      </c>
      <c r="AG587">
        <v>1</v>
      </c>
      <c r="AH587">
        <v>28</v>
      </c>
      <c r="AI587">
        <v>1</v>
      </c>
      <c r="AJ587">
        <v>1</v>
      </c>
      <c r="AK587">
        <v>0</v>
      </c>
      <c r="AL587">
        <v>1</v>
      </c>
      <c r="AM587" s="14">
        <v>0</v>
      </c>
      <c r="AN587" t="s">
        <v>2644</v>
      </c>
      <c r="AO587" s="12">
        <v>46113</v>
      </c>
      <c r="AP587">
        <v>2026</v>
      </c>
      <c r="AQ587">
        <v>4</v>
      </c>
      <c r="AR587" t="s">
        <v>2651</v>
      </c>
    </row>
    <row r="588" spans="1:44">
      <c r="A588" t="s">
        <v>1748</v>
      </c>
      <c r="B588" s="12">
        <v>46126</v>
      </c>
      <c r="C588" s="12">
        <v>46098</v>
      </c>
      <c r="D588" t="s">
        <v>1262</v>
      </c>
      <c r="E588" t="s">
        <v>281</v>
      </c>
      <c r="F588" t="s">
        <v>297</v>
      </c>
      <c r="G588" t="s">
        <v>298</v>
      </c>
      <c r="H588" t="s">
        <v>115</v>
      </c>
      <c r="I588" t="s">
        <v>299</v>
      </c>
      <c r="J588" s="13">
        <v>0.52083333333333337</v>
      </c>
      <c r="K588" s="13">
        <v>0.51597222222222228</v>
      </c>
      <c r="L588" s="13">
        <v>0.53402777777777777</v>
      </c>
      <c r="M588">
        <v>20</v>
      </c>
      <c r="N588" s="14">
        <v>65</v>
      </c>
      <c r="O588" t="s">
        <v>195</v>
      </c>
      <c r="P588">
        <v>3</v>
      </c>
      <c r="Q588" t="s">
        <v>326</v>
      </c>
      <c r="R588" t="s">
        <v>1568</v>
      </c>
      <c r="S588">
        <v>0</v>
      </c>
      <c r="T588">
        <v>0</v>
      </c>
      <c r="U588" t="s">
        <v>2290</v>
      </c>
      <c r="V588" t="s">
        <v>2291</v>
      </c>
      <c r="W588" t="s">
        <v>2292</v>
      </c>
      <c r="X588" t="s">
        <v>2288</v>
      </c>
      <c r="Y588" t="s">
        <v>2293</v>
      </c>
      <c r="Z588" t="s">
        <v>2306</v>
      </c>
      <c r="AA588">
        <v>7</v>
      </c>
      <c r="AB588" s="14">
        <v>65</v>
      </c>
      <c r="AC588" t="s">
        <v>2307</v>
      </c>
      <c r="AD588" t="s">
        <v>2308</v>
      </c>
      <c r="AE588" t="s">
        <v>2643</v>
      </c>
      <c r="AF588">
        <v>28</v>
      </c>
      <c r="AG588">
        <v>0</v>
      </c>
      <c r="AH588">
        <v>26</v>
      </c>
      <c r="AI588">
        <v>1</v>
      </c>
      <c r="AJ588">
        <v>1</v>
      </c>
      <c r="AK588">
        <v>0</v>
      </c>
      <c r="AL588">
        <v>1</v>
      </c>
      <c r="AM588" s="14">
        <v>0</v>
      </c>
      <c r="AN588" t="s">
        <v>2644</v>
      </c>
      <c r="AO588" s="12">
        <v>46113</v>
      </c>
      <c r="AP588">
        <v>2026</v>
      </c>
      <c r="AQ588">
        <v>4</v>
      </c>
      <c r="AR588" t="s">
        <v>2651</v>
      </c>
    </row>
    <row r="589" spans="1:44">
      <c r="A589" t="s">
        <v>1750</v>
      </c>
      <c r="B589" s="12">
        <v>46121</v>
      </c>
      <c r="C589" s="12">
        <v>46120</v>
      </c>
      <c r="D589" t="s">
        <v>1344</v>
      </c>
      <c r="E589" t="s">
        <v>255</v>
      </c>
      <c r="F589" t="s">
        <v>297</v>
      </c>
      <c r="G589" t="s">
        <v>639</v>
      </c>
      <c r="H589" t="s">
        <v>115</v>
      </c>
      <c r="I589" t="s">
        <v>299</v>
      </c>
      <c r="J589" s="13">
        <v>0.4375</v>
      </c>
      <c r="K589" s="13">
        <v>0.44930555555555557</v>
      </c>
      <c r="L589" s="13">
        <v>0.4465277777777778</v>
      </c>
      <c r="M589">
        <v>20</v>
      </c>
      <c r="N589" s="14">
        <v>65</v>
      </c>
      <c r="O589" t="s">
        <v>195</v>
      </c>
      <c r="P589">
        <v>2</v>
      </c>
      <c r="Q589" t="s">
        <v>305</v>
      </c>
      <c r="R589" t="s">
        <v>1568</v>
      </c>
      <c r="S589">
        <v>0</v>
      </c>
      <c r="T589">
        <v>0</v>
      </c>
      <c r="U589" t="s">
        <v>2299</v>
      </c>
      <c r="V589" t="s">
        <v>2295</v>
      </c>
      <c r="W589" t="s">
        <v>2300</v>
      </c>
      <c r="X589" t="s">
        <v>2288</v>
      </c>
      <c r="Y589" t="s">
        <v>2301</v>
      </c>
      <c r="Z589" t="s">
        <v>2306</v>
      </c>
      <c r="AA589">
        <v>7</v>
      </c>
      <c r="AB589" s="14">
        <v>65</v>
      </c>
      <c r="AC589" t="s">
        <v>2307</v>
      </c>
      <c r="AD589" t="s">
        <v>2308</v>
      </c>
      <c r="AE589" t="s">
        <v>2643</v>
      </c>
      <c r="AF589">
        <v>1</v>
      </c>
      <c r="AG589">
        <v>1</v>
      </c>
      <c r="AJ589">
        <v>1</v>
      </c>
      <c r="AK589">
        <v>0</v>
      </c>
      <c r="AL589">
        <v>1</v>
      </c>
      <c r="AM589" s="14">
        <v>0</v>
      </c>
      <c r="AN589" t="s">
        <v>2644</v>
      </c>
      <c r="AO589" s="12">
        <v>46113</v>
      </c>
      <c r="AP589">
        <v>2026</v>
      </c>
      <c r="AQ589">
        <v>4</v>
      </c>
      <c r="AR589" t="s">
        <v>2651</v>
      </c>
    </row>
    <row r="590" spans="1:44">
      <c r="A590" t="s">
        <v>1751</v>
      </c>
      <c r="B590" s="12">
        <v>46118</v>
      </c>
      <c r="C590" s="12">
        <v>46112</v>
      </c>
      <c r="D590" t="s">
        <v>634</v>
      </c>
      <c r="E590" t="s">
        <v>281</v>
      </c>
      <c r="F590" t="s">
        <v>256</v>
      </c>
      <c r="G590" t="s">
        <v>429</v>
      </c>
      <c r="H590" t="s">
        <v>115</v>
      </c>
      <c r="I590" t="s">
        <v>299</v>
      </c>
      <c r="J590" s="13">
        <v>0.4375</v>
      </c>
      <c r="K590" s="13">
        <v>0.44236111111111109</v>
      </c>
      <c r="L590" s="13">
        <v>0.45624999999999999</v>
      </c>
      <c r="M590">
        <v>60</v>
      </c>
      <c r="N590" s="14">
        <v>95</v>
      </c>
      <c r="O590" t="s">
        <v>195</v>
      </c>
      <c r="P590">
        <v>5</v>
      </c>
      <c r="Q590" t="s">
        <v>326</v>
      </c>
      <c r="R590" t="s">
        <v>1568</v>
      </c>
      <c r="S590">
        <v>0</v>
      </c>
      <c r="T590">
        <v>0</v>
      </c>
      <c r="U590" t="s">
        <v>2290</v>
      </c>
      <c r="V590" t="s">
        <v>2291</v>
      </c>
      <c r="W590" t="s">
        <v>2292</v>
      </c>
      <c r="X590" t="s">
        <v>2288</v>
      </c>
      <c r="Y590" t="s">
        <v>2293</v>
      </c>
      <c r="Z590" t="s">
        <v>2312</v>
      </c>
      <c r="AA590">
        <v>21</v>
      </c>
      <c r="AB590" s="14">
        <v>95</v>
      </c>
      <c r="AC590" t="s">
        <v>2313</v>
      </c>
      <c r="AD590" t="s">
        <v>2314</v>
      </c>
      <c r="AE590" t="s">
        <v>2643</v>
      </c>
      <c r="AF590">
        <v>6</v>
      </c>
      <c r="AG590">
        <v>1</v>
      </c>
      <c r="AH590">
        <v>20</v>
      </c>
      <c r="AI590">
        <v>1</v>
      </c>
      <c r="AJ590">
        <v>1</v>
      </c>
      <c r="AK590">
        <v>0</v>
      </c>
      <c r="AL590">
        <v>1</v>
      </c>
      <c r="AM590" s="14">
        <v>0</v>
      </c>
      <c r="AN590" t="s">
        <v>2644</v>
      </c>
      <c r="AO590" s="12">
        <v>46113</v>
      </c>
      <c r="AP590">
        <v>2026</v>
      </c>
      <c r="AQ590">
        <v>4</v>
      </c>
      <c r="AR590" t="s">
        <v>2651</v>
      </c>
    </row>
    <row r="591" spans="1:44">
      <c r="A591" t="s">
        <v>1753</v>
      </c>
      <c r="B591" s="12">
        <v>46142</v>
      </c>
      <c r="C591" s="12"/>
      <c r="D591" t="s">
        <v>1251</v>
      </c>
      <c r="E591" t="s">
        <v>281</v>
      </c>
      <c r="F591" t="s">
        <v>269</v>
      </c>
      <c r="G591" t="s">
        <v>363</v>
      </c>
      <c r="H591" t="s">
        <v>115</v>
      </c>
      <c r="I591" t="s">
        <v>316</v>
      </c>
      <c r="J591" s="13">
        <v>0.54166666666666663</v>
      </c>
      <c r="K591" s="13">
        <v>0.53749999999999998</v>
      </c>
      <c r="L591" s="13">
        <v>0.54166666666666663</v>
      </c>
      <c r="M591">
        <v>30</v>
      </c>
      <c r="N591" s="14">
        <v>80</v>
      </c>
      <c r="O591" t="s">
        <v>195</v>
      </c>
      <c r="P591">
        <v>4</v>
      </c>
      <c r="Q591" t="s">
        <v>285</v>
      </c>
      <c r="R591" t="s">
        <v>1568</v>
      </c>
      <c r="S591">
        <v>0</v>
      </c>
      <c r="T591">
        <v>0</v>
      </c>
      <c r="U591" t="s">
        <v>2290</v>
      </c>
      <c r="V591" t="s">
        <v>2291</v>
      </c>
      <c r="W591" t="s">
        <v>2292</v>
      </c>
      <c r="X591" t="s">
        <v>2288</v>
      </c>
      <c r="Y591" t="s">
        <v>2293</v>
      </c>
      <c r="Z591" t="s">
        <v>2315</v>
      </c>
      <c r="AA591">
        <v>10</v>
      </c>
      <c r="AB591" s="14">
        <v>80</v>
      </c>
      <c r="AC591" t="s">
        <v>2316</v>
      </c>
      <c r="AD591" t="s">
        <v>2317</v>
      </c>
      <c r="AE591" t="s">
        <v>2643</v>
      </c>
      <c r="AH591">
        <v>6</v>
      </c>
      <c r="AI591">
        <v>1</v>
      </c>
      <c r="AJ591">
        <v>1</v>
      </c>
      <c r="AK591">
        <v>0</v>
      </c>
      <c r="AL591">
        <v>1</v>
      </c>
      <c r="AM591" s="14">
        <v>0</v>
      </c>
      <c r="AN591" t="s">
        <v>2644</v>
      </c>
      <c r="AO591" s="12">
        <v>46113</v>
      </c>
      <c r="AP591">
        <v>2026</v>
      </c>
      <c r="AQ591">
        <v>4</v>
      </c>
      <c r="AR591" t="s">
        <v>2651</v>
      </c>
    </row>
    <row r="592" spans="1:44">
      <c r="A592" t="s">
        <v>1754</v>
      </c>
      <c r="B592" s="12">
        <v>46125</v>
      </c>
      <c r="C592" s="12">
        <v>46080</v>
      </c>
      <c r="D592" t="s">
        <v>1755</v>
      </c>
      <c r="E592" t="s">
        <v>281</v>
      </c>
      <c r="F592" t="s">
        <v>297</v>
      </c>
      <c r="G592" t="s">
        <v>298</v>
      </c>
      <c r="H592" t="s">
        <v>115</v>
      </c>
      <c r="I592" t="s">
        <v>316</v>
      </c>
      <c r="J592" s="13">
        <v>0.375</v>
      </c>
      <c r="K592" s="13">
        <v>0.37291666666666667</v>
      </c>
      <c r="L592" s="13">
        <v>0.39305555555555555</v>
      </c>
      <c r="M592">
        <v>20</v>
      </c>
      <c r="N592" s="14">
        <v>65</v>
      </c>
      <c r="O592" t="s">
        <v>195</v>
      </c>
      <c r="P592">
        <v>5</v>
      </c>
      <c r="Q592" t="s">
        <v>326</v>
      </c>
      <c r="R592" t="s">
        <v>1568</v>
      </c>
      <c r="S592">
        <v>0</v>
      </c>
      <c r="T592">
        <v>0</v>
      </c>
      <c r="U592" t="s">
        <v>2290</v>
      </c>
      <c r="V592" t="s">
        <v>2291</v>
      </c>
      <c r="W592" t="s">
        <v>2292</v>
      </c>
      <c r="X592" t="s">
        <v>2288</v>
      </c>
      <c r="Y592" t="s">
        <v>2293</v>
      </c>
      <c r="Z592" t="s">
        <v>2306</v>
      </c>
      <c r="AA592">
        <v>7</v>
      </c>
      <c r="AB592" s="14">
        <v>65</v>
      </c>
      <c r="AC592" t="s">
        <v>2307</v>
      </c>
      <c r="AD592" t="s">
        <v>2308</v>
      </c>
      <c r="AE592" t="s">
        <v>2643</v>
      </c>
      <c r="AF592">
        <v>45</v>
      </c>
      <c r="AG592">
        <v>0</v>
      </c>
      <c r="AH592">
        <v>29</v>
      </c>
      <c r="AI592">
        <v>1</v>
      </c>
      <c r="AJ592">
        <v>1</v>
      </c>
      <c r="AK592">
        <v>0</v>
      </c>
      <c r="AL592">
        <v>1</v>
      </c>
      <c r="AM592" s="14">
        <v>0</v>
      </c>
      <c r="AN592" t="s">
        <v>2644</v>
      </c>
      <c r="AO592" s="12">
        <v>46113</v>
      </c>
      <c r="AP592">
        <v>2026</v>
      </c>
      <c r="AQ592">
        <v>4</v>
      </c>
      <c r="AR592" t="s">
        <v>2651</v>
      </c>
    </row>
    <row r="593" spans="1:44">
      <c r="A593" t="s">
        <v>1756</v>
      </c>
      <c r="B593" s="12">
        <v>46136</v>
      </c>
      <c r="C593" s="12">
        <v>46095</v>
      </c>
      <c r="D593" t="s">
        <v>1378</v>
      </c>
      <c r="E593" t="s">
        <v>339</v>
      </c>
      <c r="F593" t="s">
        <v>297</v>
      </c>
      <c r="G593" t="s">
        <v>780</v>
      </c>
      <c r="H593" t="s">
        <v>115</v>
      </c>
      <c r="I593" t="s">
        <v>316</v>
      </c>
      <c r="J593" s="13">
        <v>0.41666666666666669</v>
      </c>
      <c r="K593" s="13">
        <v>0.40972222222222221</v>
      </c>
      <c r="L593" s="13">
        <v>0.42291666666666666</v>
      </c>
      <c r="M593">
        <v>45</v>
      </c>
      <c r="N593" s="14">
        <v>65</v>
      </c>
      <c r="O593" t="s">
        <v>195</v>
      </c>
      <c r="P593">
        <v>4</v>
      </c>
      <c r="Q593" t="s">
        <v>262</v>
      </c>
      <c r="R593" t="s">
        <v>1568</v>
      </c>
      <c r="S593">
        <v>0</v>
      </c>
      <c r="T593">
        <v>0</v>
      </c>
      <c r="U593" t="s">
        <v>2294</v>
      </c>
      <c r="V593" t="s">
        <v>2295</v>
      </c>
      <c r="W593" t="s">
        <v>2296</v>
      </c>
      <c r="X593" t="s">
        <v>2297</v>
      </c>
      <c r="Y593" t="s">
        <v>2298</v>
      </c>
      <c r="Z593" t="s">
        <v>2306</v>
      </c>
      <c r="AA593">
        <v>7</v>
      </c>
      <c r="AB593" s="14">
        <v>65</v>
      </c>
      <c r="AC593" t="s">
        <v>2307</v>
      </c>
      <c r="AD593" t="s">
        <v>2308</v>
      </c>
      <c r="AE593" t="s">
        <v>2643</v>
      </c>
      <c r="AF593">
        <v>41</v>
      </c>
      <c r="AG593">
        <v>0</v>
      </c>
      <c r="AH593">
        <v>19</v>
      </c>
      <c r="AI593">
        <v>1</v>
      </c>
      <c r="AJ593">
        <v>1</v>
      </c>
      <c r="AK593">
        <v>0</v>
      </c>
      <c r="AL593">
        <v>1</v>
      </c>
      <c r="AM593" s="14">
        <v>0</v>
      </c>
      <c r="AN593" t="s">
        <v>2644</v>
      </c>
      <c r="AO593" s="12">
        <v>46113</v>
      </c>
      <c r="AP593">
        <v>2026</v>
      </c>
      <c r="AQ593">
        <v>4</v>
      </c>
      <c r="AR593" t="s">
        <v>2651</v>
      </c>
    </row>
    <row r="594" spans="1:44">
      <c r="A594" t="s">
        <v>1758</v>
      </c>
      <c r="B594" s="12">
        <v>46114</v>
      </c>
      <c r="C594" s="12">
        <v>46068</v>
      </c>
      <c r="D594" t="s">
        <v>1116</v>
      </c>
      <c r="E594" t="s">
        <v>281</v>
      </c>
      <c r="F594" t="s">
        <v>269</v>
      </c>
      <c r="G594" t="s">
        <v>322</v>
      </c>
      <c r="H594" t="s">
        <v>127</v>
      </c>
      <c r="I594" t="s">
        <v>271</v>
      </c>
      <c r="J594" s="13">
        <v>0.4375</v>
      </c>
      <c r="K594" s="13"/>
      <c r="L594" s="13"/>
      <c r="M594">
        <v>0</v>
      </c>
      <c r="N594" s="14">
        <v>80</v>
      </c>
      <c r="O594" t="s">
        <v>169</v>
      </c>
      <c r="Q594" t="s">
        <v>305</v>
      </c>
      <c r="R594" t="s">
        <v>1568</v>
      </c>
      <c r="S594">
        <v>0</v>
      </c>
      <c r="T594">
        <v>0</v>
      </c>
      <c r="U594" t="s">
        <v>2290</v>
      </c>
      <c r="V594" t="s">
        <v>2291</v>
      </c>
      <c r="W594" t="s">
        <v>2292</v>
      </c>
      <c r="X594" t="s">
        <v>2288</v>
      </c>
      <c r="Y594" t="s">
        <v>2293</v>
      </c>
      <c r="Z594" t="s">
        <v>2315</v>
      </c>
      <c r="AA594">
        <v>10</v>
      </c>
      <c r="AB594" s="14">
        <v>80</v>
      </c>
      <c r="AC594" t="s">
        <v>2316</v>
      </c>
      <c r="AD594" t="s">
        <v>2317</v>
      </c>
      <c r="AE594" t="s">
        <v>2643</v>
      </c>
      <c r="AF594">
        <v>46</v>
      </c>
      <c r="AG594">
        <v>0</v>
      </c>
      <c r="AJ594">
        <v>0</v>
      </c>
      <c r="AL594">
        <v>1</v>
      </c>
      <c r="AM594" s="14">
        <v>0</v>
      </c>
      <c r="AN594" t="s">
        <v>2644</v>
      </c>
      <c r="AO594" s="12">
        <v>46113</v>
      </c>
      <c r="AP594">
        <v>2026</v>
      </c>
      <c r="AQ594">
        <v>4</v>
      </c>
      <c r="AR594" t="s">
        <v>2651</v>
      </c>
    </row>
    <row r="595" spans="1:44">
      <c r="A595" t="s">
        <v>1759</v>
      </c>
      <c r="B595" s="12">
        <v>46118</v>
      </c>
      <c r="C595" s="12">
        <v>46101</v>
      </c>
      <c r="D595" t="s">
        <v>1760</v>
      </c>
      <c r="E595" t="s">
        <v>255</v>
      </c>
      <c r="F595" t="s">
        <v>256</v>
      </c>
      <c r="G595" t="s">
        <v>398</v>
      </c>
      <c r="H595" t="s">
        <v>115</v>
      </c>
      <c r="I595" t="s">
        <v>316</v>
      </c>
      <c r="J595" s="13">
        <v>0.54166666666666663</v>
      </c>
      <c r="K595" s="13">
        <v>0.5395833333333333</v>
      </c>
      <c r="L595" s="13">
        <v>0.55972222222222223</v>
      </c>
      <c r="M595">
        <v>45</v>
      </c>
      <c r="N595" s="14">
        <v>95</v>
      </c>
      <c r="O595" t="s">
        <v>195</v>
      </c>
      <c r="P595">
        <v>2</v>
      </c>
      <c r="Q595" t="s">
        <v>318</v>
      </c>
      <c r="R595" t="s">
        <v>1568</v>
      </c>
      <c r="S595">
        <v>0</v>
      </c>
      <c r="T595">
        <v>0</v>
      </c>
      <c r="U595" t="s">
        <v>2299</v>
      </c>
      <c r="V595" t="s">
        <v>2295</v>
      </c>
      <c r="W595" t="s">
        <v>2300</v>
      </c>
      <c r="X595" t="s">
        <v>2288</v>
      </c>
      <c r="Y595" t="s">
        <v>2301</v>
      </c>
      <c r="Z595" t="s">
        <v>2312</v>
      </c>
      <c r="AA595">
        <v>21</v>
      </c>
      <c r="AB595" s="14">
        <v>95</v>
      </c>
      <c r="AC595" t="s">
        <v>2313</v>
      </c>
      <c r="AD595" t="s">
        <v>2314</v>
      </c>
      <c r="AE595" t="s">
        <v>2643</v>
      </c>
      <c r="AF595">
        <v>17</v>
      </c>
      <c r="AG595">
        <v>1</v>
      </c>
      <c r="AH595">
        <v>29</v>
      </c>
      <c r="AI595">
        <v>1</v>
      </c>
      <c r="AJ595">
        <v>1</v>
      </c>
      <c r="AK595">
        <v>0</v>
      </c>
      <c r="AL595">
        <v>1</v>
      </c>
      <c r="AM595" s="14">
        <v>0</v>
      </c>
      <c r="AN595" t="s">
        <v>2644</v>
      </c>
      <c r="AO595" s="12">
        <v>46113</v>
      </c>
      <c r="AP595">
        <v>2026</v>
      </c>
      <c r="AQ595">
        <v>4</v>
      </c>
      <c r="AR595" t="s">
        <v>2651</v>
      </c>
    </row>
    <row r="596" spans="1:44">
      <c r="A596" t="s">
        <v>1761</v>
      </c>
      <c r="B596" s="12">
        <v>46113</v>
      </c>
      <c r="C596" s="12">
        <v>46089</v>
      </c>
      <c r="D596" t="s">
        <v>904</v>
      </c>
      <c r="E596" t="s">
        <v>339</v>
      </c>
      <c r="F596" t="s">
        <v>256</v>
      </c>
      <c r="G596" t="s">
        <v>403</v>
      </c>
      <c r="H596" t="s">
        <v>122</v>
      </c>
      <c r="I596" t="s">
        <v>271</v>
      </c>
      <c r="J596" s="13">
        <v>0.375</v>
      </c>
      <c r="K596" s="13"/>
      <c r="L596" s="13"/>
      <c r="M596">
        <v>0</v>
      </c>
      <c r="N596" s="14">
        <v>95</v>
      </c>
      <c r="O596" t="s">
        <v>195</v>
      </c>
      <c r="Q596" t="s">
        <v>326</v>
      </c>
      <c r="R596" t="s">
        <v>1568</v>
      </c>
      <c r="S596">
        <v>0</v>
      </c>
      <c r="T596">
        <v>0</v>
      </c>
      <c r="U596" t="s">
        <v>2294</v>
      </c>
      <c r="V596" t="s">
        <v>2295</v>
      </c>
      <c r="W596" t="s">
        <v>2296</v>
      </c>
      <c r="X596" t="s">
        <v>2297</v>
      </c>
      <c r="Y596" t="s">
        <v>2298</v>
      </c>
      <c r="Z596" t="s">
        <v>2312</v>
      </c>
      <c r="AA596">
        <v>21</v>
      </c>
      <c r="AB596" s="14">
        <v>95</v>
      </c>
      <c r="AC596" t="s">
        <v>2313</v>
      </c>
      <c r="AD596" t="s">
        <v>2314</v>
      </c>
      <c r="AE596" t="s">
        <v>2643</v>
      </c>
      <c r="AF596">
        <v>24</v>
      </c>
      <c r="AG596">
        <v>0</v>
      </c>
      <c r="AJ596">
        <v>1</v>
      </c>
      <c r="AK596">
        <v>1</v>
      </c>
      <c r="AL596">
        <v>1</v>
      </c>
      <c r="AM596" s="14">
        <v>0</v>
      </c>
      <c r="AN596" t="s">
        <v>2644</v>
      </c>
      <c r="AO596" s="12">
        <v>46113</v>
      </c>
      <c r="AP596">
        <v>2026</v>
      </c>
      <c r="AQ596">
        <v>4</v>
      </c>
      <c r="AR596" t="s">
        <v>2651</v>
      </c>
    </row>
    <row r="597" spans="1:44">
      <c r="A597" t="s">
        <v>1763</v>
      </c>
      <c r="B597" s="12">
        <v>46116</v>
      </c>
      <c r="C597" s="12">
        <v>46073</v>
      </c>
      <c r="D597" t="s">
        <v>1268</v>
      </c>
      <c r="E597" t="s">
        <v>281</v>
      </c>
      <c r="F597" t="s">
        <v>282</v>
      </c>
      <c r="G597" t="s">
        <v>283</v>
      </c>
      <c r="H597" t="s">
        <v>115</v>
      </c>
      <c r="I597" t="s">
        <v>299</v>
      </c>
      <c r="J597" s="13">
        <v>0.39583333333333331</v>
      </c>
      <c r="K597" s="13">
        <v>0.39583333333333331</v>
      </c>
      <c r="L597" s="13">
        <v>0.39861111111111114</v>
      </c>
      <c r="M597">
        <v>45</v>
      </c>
      <c r="N597" s="14">
        <v>120</v>
      </c>
      <c r="O597" t="s">
        <v>169</v>
      </c>
      <c r="P597">
        <v>2</v>
      </c>
      <c r="Q597" t="s">
        <v>262</v>
      </c>
      <c r="R597" t="s">
        <v>1568</v>
      </c>
      <c r="S597">
        <v>0</v>
      </c>
      <c r="T597">
        <v>0</v>
      </c>
      <c r="U597" t="s">
        <v>2290</v>
      </c>
      <c r="V597" t="s">
        <v>2291</v>
      </c>
      <c r="W597" t="s">
        <v>2292</v>
      </c>
      <c r="X597" t="s">
        <v>2288</v>
      </c>
      <c r="Y597" t="s">
        <v>2293</v>
      </c>
      <c r="Z597" t="s">
        <v>2309</v>
      </c>
      <c r="AA597">
        <v>14</v>
      </c>
      <c r="AB597" s="14">
        <v>120</v>
      </c>
      <c r="AC597" t="s">
        <v>2310</v>
      </c>
      <c r="AD597" t="s">
        <v>2311</v>
      </c>
      <c r="AE597" t="s">
        <v>2643</v>
      </c>
      <c r="AF597">
        <v>43</v>
      </c>
      <c r="AG597">
        <v>0</v>
      </c>
      <c r="AH597">
        <v>4</v>
      </c>
      <c r="AI597">
        <v>1</v>
      </c>
      <c r="AJ597">
        <v>1</v>
      </c>
      <c r="AK597">
        <v>0</v>
      </c>
      <c r="AL597">
        <v>1</v>
      </c>
      <c r="AM597" s="14">
        <v>0</v>
      </c>
      <c r="AN597" t="s">
        <v>2644</v>
      </c>
      <c r="AO597" s="12">
        <v>46113</v>
      </c>
      <c r="AP597">
        <v>2026</v>
      </c>
      <c r="AQ597">
        <v>4</v>
      </c>
      <c r="AR597" t="s">
        <v>2651</v>
      </c>
    </row>
    <row r="598" spans="1:44">
      <c r="A598" t="s">
        <v>1764</v>
      </c>
      <c r="B598" s="12">
        <v>46115</v>
      </c>
      <c r="C598" s="12">
        <v>46101</v>
      </c>
      <c r="D598" t="s">
        <v>586</v>
      </c>
      <c r="E598" t="s">
        <v>255</v>
      </c>
      <c r="F598" t="s">
        <v>269</v>
      </c>
      <c r="G598" t="s">
        <v>391</v>
      </c>
      <c r="H598" t="s">
        <v>115</v>
      </c>
      <c r="I598" t="s">
        <v>299</v>
      </c>
      <c r="J598" s="13">
        <v>0.375</v>
      </c>
      <c r="K598" s="13">
        <v>0.37291666666666667</v>
      </c>
      <c r="L598" s="13">
        <v>0.39374999999999999</v>
      </c>
      <c r="M598">
        <v>30</v>
      </c>
      <c r="N598" s="14">
        <v>80</v>
      </c>
      <c r="O598" t="s">
        <v>195</v>
      </c>
      <c r="P598">
        <v>5</v>
      </c>
      <c r="Q598" t="s">
        <v>305</v>
      </c>
      <c r="R598" t="s">
        <v>1568</v>
      </c>
      <c r="S598">
        <v>0</v>
      </c>
      <c r="T598">
        <v>0</v>
      </c>
      <c r="U598" t="s">
        <v>2299</v>
      </c>
      <c r="V598" t="s">
        <v>2295</v>
      </c>
      <c r="W598" t="s">
        <v>2300</v>
      </c>
      <c r="X598" t="s">
        <v>2288</v>
      </c>
      <c r="Y598" t="s">
        <v>2301</v>
      </c>
      <c r="Z598" t="s">
        <v>2315</v>
      </c>
      <c r="AA598">
        <v>10</v>
      </c>
      <c r="AB598" s="14">
        <v>80</v>
      </c>
      <c r="AC598" t="s">
        <v>2316</v>
      </c>
      <c r="AD598" t="s">
        <v>2317</v>
      </c>
      <c r="AE598" t="s">
        <v>2643</v>
      </c>
      <c r="AF598">
        <v>14</v>
      </c>
      <c r="AG598">
        <v>0</v>
      </c>
      <c r="AH598">
        <v>30</v>
      </c>
      <c r="AI598">
        <v>1</v>
      </c>
      <c r="AJ598">
        <v>1</v>
      </c>
      <c r="AK598">
        <v>0</v>
      </c>
      <c r="AL598">
        <v>1</v>
      </c>
      <c r="AM598" s="14">
        <v>0</v>
      </c>
      <c r="AN598" t="s">
        <v>2644</v>
      </c>
      <c r="AO598" s="12">
        <v>46113</v>
      </c>
      <c r="AP598">
        <v>2026</v>
      </c>
      <c r="AQ598">
        <v>4</v>
      </c>
      <c r="AR598" t="s">
        <v>2651</v>
      </c>
    </row>
    <row r="599" spans="1:44">
      <c r="A599" t="s">
        <v>1766</v>
      </c>
      <c r="B599" s="12">
        <v>46134</v>
      </c>
      <c r="C599" s="12">
        <v>46103</v>
      </c>
      <c r="D599" t="s">
        <v>622</v>
      </c>
      <c r="E599" t="s">
        <v>281</v>
      </c>
      <c r="F599" t="s">
        <v>409</v>
      </c>
      <c r="G599" t="s">
        <v>496</v>
      </c>
      <c r="H599" t="s">
        <v>115</v>
      </c>
      <c r="I599" t="s">
        <v>271</v>
      </c>
      <c r="J599" s="13">
        <v>0.41666666666666669</v>
      </c>
      <c r="K599" s="13">
        <v>0.42291666666666666</v>
      </c>
      <c r="L599" s="13">
        <v>0.41944444444444445</v>
      </c>
      <c r="M599">
        <v>60</v>
      </c>
      <c r="N599" s="14">
        <v>150</v>
      </c>
      <c r="O599" t="s">
        <v>195</v>
      </c>
      <c r="P599">
        <v>3</v>
      </c>
      <c r="Q599" t="s">
        <v>262</v>
      </c>
      <c r="R599" t="s">
        <v>1568</v>
      </c>
      <c r="S599">
        <v>0</v>
      </c>
      <c r="T599">
        <v>0</v>
      </c>
      <c r="U599" t="s">
        <v>2290</v>
      </c>
      <c r="V599" t="s">
        <v>2291</v>
      </c>
      <c r="W599" t="s">
        <v>2292</v>
      </c>
      <c r="X599" t="s">
        <v>2288</v>
      </c>
      <c r="Y599" t="s">
        <v>2293</v>
      </c>
      <c r="Z599" t="s">
        <v>2318</v>
      </c>
      <c r="AA599">
        <v>28</v>
      </c>
      <c r="AB599" s="14">
        <v>150</v>
      </c>
      <c r="AC599" t="s">
        <v>2319</v>
      </c>
      <c r="AD599" t="s">
        <v>2320</v>
      </c>
      <c r="AE599" t="s">
        <v>2643</v>
      </c>
      <c r="AF599">
        <v>31</v>
      </c>
      <c r="AG599">
        <v>0</v>
      </c>
      <c r="AJ599">
        <v>1</v>
      </c>
      <c r="AK599">
        <v>0</v>
      </c>
      <c r="AL599">
        <v>1</v>
      </c>
      <c r="AM599" s="14">
        <v>0</v>
      </c>
      <c r="AN599" t="s">
        <v>2644</v>
      </c>
      <c r="AO599" s="12">
        <v>46113</v>
      </c>
      <c r="AP599">
        <v>2026</v>
      </c>
      <c r="AQ599">
        <v>4</v>
      </c>
      <c r="AR599" t="s">
        <v>2651</v>
      </c>
    </row>
    <row r="600" spans="1:44">
      <c r="A600" t="s">
        <v>1768</v>
      </c>
      <c r="B600" s="12">
        <v>46131</v>
      </c>
      <c r="C600" s="12">
        <v>46088</v>
      </c>
      <c r="D600" t="s">
        <v>1537</v>
      </c>
      <c r="E600" t="s">
        <v>281</v>
      </c>
      <c r="F600" t="s">
        <v>256</v>
      </c>
      <c r="G600" t="s">
        <v>429</v>
      </c>
      <c r="H600" t="s">
        <v>127</v>
      </c>
      <c r="I600" t="s">
        <v>299</v>
      </c>
      <c r="J600" s="13">
        <v>0.41666666666666669</v>
      </c>
      <c r="K600" s="13"/>
      <c r="L600" s="13"/>
      <c r="M600">
        <v>0</v>
      </c>
      <c r="N600" s="14">
        <v>95</v>
      </c>
      <c r="O600" t="s">
        <v>195</v>
      </c>
      <c r="Q600" t="s">
        <v>305</v>
      </c>
      <c r="R600" t="s">
        <v>1568</v>
      </c>
      <c r="S600">
        <v>0</v>
      </c>
      <c r="T600">
        <v>0</v>
      </c>
      <c r="U600" t="s">
        <v>2290</v>
      </c>
      <c r="V600" t="s">
        <v>2291</v>
      </c>
      <c r="W600" t="s">
        <v>2292</v>
      </c>
      <c r="X600" t="s">
        <v>2288</v>
      </c>
      <c r="Y600" t="s">
        <v>2293</v>
      </c>
      <c r="Z600" t="s">
        <v>2312</v>
      </c>
      <c r="AA600">
        <v>21</v>
      </c>
      <c r="AB600" s="14">
        <v>95</v>
      </c>
      <c r="AC600" t="s">
        <v>2313</v>
      </c>
      <c r="AD600" t="s">
        <v>2314</v>
      </c>
      <c r="AE600" t="s">
        <v>2643</v>
      </c>
      <c r="AF600">
        <v>43</v>
      </c>
      <c r="AG600">
        <v>0</v>
      </c>
      <c r="AJ600">
        <v>0</v>
      </c>
      <c r="AL600">
        <v>1</v>
      </c>
      <c r="AM600" s="14">
        <v>0</v>
      </c>
      <c r="AN600" t="s">
        <v>2644</v>
      </c>
      <c r="AO600" s="12">
        <v>46113</v>
      </c>
      <c r="AP600">
        <v>2026</v>
      </c>
      <c r="AQ600">
        <v>4</v>
      </c>
      <c r="AR600" t="s">
        <v>2651</v>
      </c>
    </row>
    <row r="601" spans="1:44">
      <c r="A601" t="s">
        <v>1770</v>
      </c>
      <c r="B601" s="12">
        <v>46133</v>
      </c>
      <c r="C601" s="12">
        <v>46101</v>
      </c>
      <c r="D601" t="s">
        <v>820</v>
      </c>
      <c r="E601" t="s">
        <v>281</v>
      </c>
      <c r="F601" t="s">
        <v>269</v>
      </c>
      <c r="G601" t="s">
        <v>322</v>
      </c>
      <c r="H601" t="s">
        <v>115</v>
      </c>
      <c r="I601" t="s">
        <v>299</v>
      </c>
      <c r="J601" s="13">
        <v>0.41666666666666669</v>
      </c>
      <c r="K601" s="13">
        <v>0.41597222222222224</v>
      </c>
      <c r="L601" s="13">
        <v>0.42430555555555555</v>
      </c>
      <c r="M601">
        <v>20</v>
      </c>
      <c r="N601" s="14">
        <v>80</v>
      </c>
      <c r="O601" t="s">
        <v>195</v>
      </c>
      <c r="P601">
        <v>4</v>
      </c>
      <c r="Q601" t="s">
        <v>262</v>
      </c>
      <c r="R601" t="s">
        <v>1568</v>
      </c>
      <c r="S601">
        <v>0</v>
      </c>
      <c r="T601">
        <v>0</v>
      </c>
      <c r="U601" t="s">
        <v>2290</v>
      </c>
      <c r="V601" t="s">
        <v>2291</v>
      </c>
      <c r="W601" t="s">
        <v>2292</v>
      </c>
      <c r="X601" t="s">
        <v>2288</v>
      </c>
      <c r="Y601" t="s">
        <v>2293</v>
      </c>
      <c r="Z601" t="s">
        <v>2315</v>
      </c>
      <c r="AA601">
        <v>10</v>
      </c>
      <c r="AB601" s="14">
        <v>80</v>
      </c>
      <c r="AC601" t="s">
        <v>2316</v>
      </c>
      <c r="AD601" t="s">
        <v>2317</v>
      </c>
      <c r="AE601" t="s">
        <v>2643</v>
      </c>
      <c r="AF601">
        <v>32</v>
      </c>
      <c r="AG601">
        <v>0</v>
      </c>
      <c r="AH601">
        <v>12</v>
      </c>
      <c r="AI601">
        <v>1</v>
      </c>
      <c r="AJ601">
        <v>1</v>
      </c>
      <c r="AK601">
        <v>0</v>
      </c>
      <c r="AL601">
        <v>1</v>
      </c>
      <c r="AM601" s="14">
        <v>0</v>
      </c>
      <c r="AN601" t="s">
        <v>2644</v>
      </c>
      <c r="AO601" s="12">
        <v>46113</v>
      </c>
      <c r="AP601">
        <v>2026</v>
      </c>
      <c r="AQ601">
        <v>4</v>
      </c>
      <c r="AR601" t="s">
        <v>2651</v>
      </c>
    </row>
    <row r="602" spans="1:44">
      <c r="A602" t="s">
        <v>1772</v>
      </c>
      <c r="B602" s="12">
        <v>46130</v>
      </c>
      <c r="C602" s="12">
        <v>46080</v>
      </c>
      <c r="D602" t="s">
        <v>1110</v>
      </c>
      <c r="E602" t="s">
        <v>281</v>
      </c>
      <c r="F602" t="s">
        <v>282</v>
      </c>
      <c r="G602" t="s">
        <v>446</v>
      </c>
      <c r="H602" t="s">
        <v>122</v>
      </c>
      <c r="I602" t="s">
        <v>316</v>
      </c>
      <c r="J602" s="13">
        <v>0.45833333333333331</v>
      </c>
      <c r="K602" s="13">
        <v>0.45624999999999999</v>
      </c>
      <c r="L602" s="13">
        <v>0.46250000000000002</v>
      </c>
      <c r="M602">
        <v>45</v>
      </c>
      <c r="N602" s="14">
        <v>120</v>
      </c>
      <c r="O602" t="s">
        <v>195</v>
      </c>
      <c r="P602">
        <v>5</v>
      </c>
      <c r="Q602" t="s">
        <v>285</v>
      </c>
      <c r="R602" t="s">
        <v>1568</v>
      </c>
      <c r="S602">
        <v>0</v>
      </c>
      <c r="T602">
        <v>0</v>
      </c>
      <c r="U602" t="s">
        <v>2290</v>
      </c>
      <c r="V602" t="s">
        <v>2291</v>
      </c>
      <c r="W602" t="s">
        <v>2292</v>
      </c>
      <c r="X602" t="s">
        <v>2288</v>
      </c>
      <c r="Y602" t="s">
        <v>2293</v>
      </c>
      <c r="Z602" t="s">
        <v>2309</v>
      </c>
      <c r="AA602">
        <v>14</v>
      </c>
      <c r="AB602" s="14">
        <v>120</v>
      </c>
      <c r="AC602" t="s">
        <v>2310</v>
      </c>
      <c r="AD602" t="s">
        <v>2311</v>
      </c>
      <c r="AE602" t="s">
        <v>2643</v>
      </c>
      <c r="AF602">
        <v>50</v>
      </c>
      <c r="AG602">
        <v>0</v>
      </c>
      <c r="AJ602">
        <v>1</v>
      </c>
      <c r="AK602">
        <v>1</v>
      </c>
      <c r="AL602">
        <v>1</v>
      </c>
      <c r="AM602" s="14">
        <v>0</v>
      </c>
      <c r="AN602" t="s">
        <v>2644</v>
      </c>
      <c r="AO602" s="12">
        <v>46113</v>
      </c>
      <c r="AP602">
        <v>2026</v>
      </c>
      <c r="AQ602">
        <v>4</v>
      </c>
      <c r="AR602" t="s">
        <v>2651</v>
      </c>
    </row>
    <row r="603" spans="1:44">
      <c r="A603" t="s">
        <v>1773</v>
      </c>
      <c r="B603" s="12">
        <v>46142</v>
      </c>
      <c r="C603" s="12">
        <v>46126</v>
      </c>
      <c r="D603" t="s">
        <v>1494</v>
      </c>
      <c r="E603" t="s">
        <v>255</v>
      </c>
      <c r="F603" t="s">
        <v>409</v>
      </c>
      <c r="G603" t="s">
        <v>410</v>
      </c>
      <c r="H603" t="s">
        <v>115</v>
      </c>
      <c r="I603" t="s">
        <v>299</v>
      </c>
      <c r="J603" s="13">
        <v>0.5625</v>
      </c>
      <c r="K603" s="13">
        <v>0.55555555555555558</v>
      </c>
      <c r="L603" s="13">
        <v>0.5756944444444444</v>
      </c>
      <c r="M603">
        <v>30</v>
      </c>
      <c r="N603" s="14">
        <v>150</v>
      </c>
      <c r="O603" t="s">
        <v>195</v>
      </c>
      <c r="P603">
        <v>5</v>
      </c>
      <c r="Q603" t="s">
        <v>326</v>
      </c>
      <c r="R603" t="s">
        <v>1568</v>
      </c>
      <c r="S603">
        <v>0</v>
      </c>
      <c r="T603">
        <v>0</v>
      </c>
      <c r="U603" t="s">
        <v>2299</v>
      </c>
      <c r="V603" t="s">
        <v>2295</v>
      </c>
      <c r="W603" t="s">
        <v>2300</v>
      </c>
      <c r="X603" t="s">
        <v>2288</v>
      </c>
      <c r="Y603" t="s">
        <v>2301</v>
      </c>
      <c r="Z603" t="s">
        <v>2318</v>
      </c>
      <c r="AA603">
        <v>28</v>
      </c>
      <c r="AB603" s="14">
        <v>150</v>
      </c>
      <c r="AC603" t="s">
        <v>2319</v>
      </c>
      <c r="AD603" t="s">
        <v>2320</v>
      </c>
      <c r="AE603" t="s">
        <v>2643</v>
      </c>
      <c r="AF603">
        <v>16</v>
      </c>
      <c r="AG603">
        <v>1</v>
      </c>
      <c r="AH603">
        <v>29</v>
      </c>
      <c r="AI603">
        <v>1</v>
      </c>
      <c r="AJ603">
        <v>1</v>
      </c>
      <c r="AK603">
        <v>0</v>
      </c>
      <c r="AL603">
        <v>1</v>
      </c>
      <c r="AM603" s="14">
        <v>0</v>
      </c>
      <c r="AN603" t="s">
        <v>2644</v>
      </c>
      <c r="AO603" s="12">
        <v>46113</v>
      </c>
      <c r="AP603">
        <v>2026</v>
      </c>
      <c r="AQ603">
        <v>4</v>
      </c>
      <c r="AR603" t="s">
        <v>2651</v>
      </c>
    </row>
    <row r="604" spans="1:44">
      <c r="A604" t="s">
        <v>1775</v>
      </c>
      <c r="B604" s="12">
        <v>46132</v>
      </c>
      <c r="C604" s="12">
        <v>46109</v>
      </c>
      <c r="D604" t="s">
        <v>1503</v>
      </c>
      <c r="E604" t="s">
        <v>281</v>
      </c>
      <c r="F604" t="s">
        <v>409</v>
      </c>
      <c r="G604" t="s">
        <v>535</v>
      </c>
      <c r="H604" t="s">
        <v>115</v>
      </c>
      <c r="I604" t="s">
        <v>316</v>
      </c>
      <c r="J604" s="13">
        <v>0.52083333333333337</v>
      </c>
      <c r="K604" s="13">
        <v>0.52222222222222225</v>
      </c>
      <c r="L604" s="13">
        <v>0.52569444444444446</v>
      </c>
      <c r="M604">
        <v>20</v>
      </c>
      <c r="N604" s="14">
        <v>150</v>
      </c>
      <c r="O604" t="s">
        <v>195</v>
      </c>
      <c r="P604">
        <v>3</v>
      </c>
      <c r="Q604" t="s">
        <v>262</v>
      </c>
      <c r="R604" t="s">
        <v>1568</v>
      </c>
      <c r="S604">
        <v>0</v>
      </c>
      <c r="T604">
        <v>0</v>
      </c>
      <c r="U604" t="s">
        <v>2290</v>
      </c>
      <c r="V604" t="s">
        <v>2291</v>
      </c>
      <c r="W604" t="s">
        <v>2292</v>
      </c>
      <c r="X604" t="s">
        <v>2288</v>
      </c>
      <c r="Y604" t="s">
        <v>2293</v>
      </c>
      <c r="Z604" t="s">
        <v>2318</v>
      </c>
      <c r="AA604">
        <v>28</v>
      </c>
      <c r="AB604" s="14">
        <v>150</v>
      </c>
      <c r="AC604" t="s">
        <v>2319</v>
      </c>
      <c r="AD604" t="s">
        <v>2320</v>
      </c>
      <c r="AE604" t="s">
        <v>2643</v>
      </c>
      <c r="AF604">
        <v>23</v>
      </c>
      <c r="AG604">
        <v>1</v>
      </c>
      <c r="AH604">
        <v>5</v>
      </c>
      <c r="AI604">
        <v>1</v>
      </c>
      <c r="AJ604">
        <v>1</v>
      </c>
      <c r="AK604">
        <v>0</v>
      </c>
      <c r="AL604">
        <v>1</v>
      </c>
      <c r="AM604" s="14">
        <v>0</v>
      </c>
      <c r="AN604" t="s">
        <v>2644</v>
      </c>
      <c r="AO604" s="12">
        <v>46113</v>
      </c>
      <c r="AP604">
        <v>2026</v>
      </c>
      <c r="AQ604">
        <v>4</v>
      </c>
      <c r="AR604" t="s">
        <v>2651</v>
      </c>
    </row>
    <row r="605" spans="1:44">
      <c r="A605" t="s">
        <v>1776</v>
      </c>
      <c r="B605" s="12">
        <v>46120</v>
      </c>
      <c r="C605" s="12">
        <v>46069</v>
      </c>
      <c r="D605" t="s">
        <v>1126</v>
      </c>
      <c r="E605" t="s">
        <v>339</v>
      </c>
      <c r="F605" t="s">
        <v>269</v>
      </c>
      <c r="G605" t="s">
        <v>528</v>
      </c>
      <c r="H605" t="s">
        <v>115</v>
      </c>
      <c r="I605" t="s">
        <v>299</v>
      </c>
      <c r="J605" s="13">
        <v>0.625</v>
      </c>
      <c r="K605" s="13">
        <v>0.63680555555555551</v>
      </c>
      <c r="L605" s="13">
        <v>0.64166666666666672</v>
      </c>
      <c r="M605">
        <v>30</v>
      </c>
      <c r="N605" s="14">
        <v>80</v>
      </c>
      <c r="O605" t="s">
        <v>195</v>
      </c>
      <c r="Q605" t="s">
        <v>262</v>
      </c>
      <c r="R605" t="s">
        <v>1568</v>
      </c>
      <c r="S605">
        <v>0</v>
      </c>
      <c r="T605">
        <v>0</v>
      </c>
      <c r="U605" t="s">
        <v>2294</v>
      </c>
      <c r="V605" t="s">
        <v>2295</v>
      </c>
      <c r="W605" t="s">
        <v>2296</v>
      </c>
      <c r="X605" t="s">
        <v>2297</v>
      </c>
      <c r="Y605" t="s">
        <v>2298</v>
      </c>
      <c r="Z605" t="s">
        <v>2315</v>
      </c>
      <c r="AA605">
        <v>10</v>
      </c>
      <c r="AB605" s="14">
        <v>80</v>
      </c>
      <c r="AC605" t="s">
        <v>2316</v>
      </c>
      <c r="AD605" t="s">
        <v>2317</v>
      </c>
      <c r="AE605" t="s">
        <v>2643</v>
      </c>
      <c r="AF605">
        <v>51</v>
      </c>
      <c r="AG605">
        <v>0</v>
      </c>
      <c r="AH605">
        <v>7</v>
      </c>
      <c r="AI605">
        <v>1</v>
      </c>
      <c r="AJ605">
        <v>1</v>
      </c>
      <c r="AK605">
        <v>0</v>
      </c>
      <c r="AL605">
        <v>1</v>
      </c>
      <c r="AM605" s="14">
        <v>0</v>
      </c>
      <c r="AN605" t="s">
        <v>2644</v>
      </c>
      <c r="AO605" s="12">
        <v>46113</v>
      </c>
      <c r="AP605">
        <v>2026</v>
      </c>
      <c r="AQ605">
        <v>4</v>
      </c>
      <c r="AR605" t="s">
        <v>2651</v>
      </c>
    </row>
    <row r="606" spans="1:44">
      <c r="A606" t="s">
        <v>1779</v>
      </c>
      <c r="B606" s="12">
        <v>46133</v>
      </c>
      <c r="C606" s="12">
        <v>46092</v>
      </c>
      <c r="D606" t="s">
        <v>551</v>
      </c>
      <c r="E606" t="s">
        <v>281</v>
      </c>
      <c r="F606" t="s">
        <v>297</v>
      </c>
      <c r="G606" t="s">
        <v>368</v>
      </c>
      <c r="H606" t="s">
        <v>115</v>
      </c>
      <c r="I606" t="s">
        <v>258</v>
      </c>
      <c r="J606" s="13">
        <v>0.41666666666666669</v>
      </c>
      <c r="K606" s="13">
        <v>0.42916666666666664</v>
      </c>
      <c r="L606" s="13">
        <v>0.43263888888888891</v>
      </c>
      <c r="M606">
        <v>60</v>
      </c>
      <c r="N606" s="14">
        <v>65</v>
      </c>
      <c r="O606" t="s">
        <v>169</v>
      </c>
      <c r="P606">
        <v>4</v>
      </c>
      <c r="Q606" t="s">
        <v>262</v>
      </c>
      <c r="R606" t="s">
        <v>1568</v>
      </c>
      <c r="S606">
        <v>0</v>
      </c>
      <c r="T606">
        <v>0</v>
      </c>
      <c r="U606" t="s">
        <v>2290</v>
      </c>
      <c r="V606" t="s">
        <v>2291</v>
      </c>
      <c r="W606" t="s">
        <v>2292</v>
      </c>
      <c r="X606" t="s">
        <v>2288</v>
      </c>
      <c r="Y606" t="s">
        <v>2293</v>
      </c>
      <c r="Z606" t="s">
        <v>2306</v>
      </c>
      <c r="AA606">
        <v>7</v>
      </c>
      <c r="AB606" s="14">
        <v>65</v>
      </c>
      <c r="AC606" t="s">
        <v>2307</v>
      </c>
      <c r="AD606" t="s">
        <v>2308</v>
      </c>
      <c r="AE606" t="s">
        <v>2643</v>
      </c>
      <c r="AF606">
        <v>41</v>
      </c>
      <c r="AG606">
        <v>0</v>
      </c>
      <c r="AH606">
        <v>5</v>
      </c>
      <c r="AI606">
        <v>1</v>
      </c>
      <c r="AJ606">
        <v>1</v>
      </c>
      <c r="AK606">
        <v>0</v>
      </c>
      <c r="AL606">
        <v>1</v>
      </c>
      <c r="AM606" s="14">
        <v>0</v>
      </c>
      <c r="AN606" t="s">
        <v>2644</v>
      </c>
      <c r="AO606" s="12">
        <v>46113</v>
      </c>
      <c r="AP606">
        <v>2026</v>
      </c>
      <c r="AQ606">
        <v>4</v>
      </c>
      <c r="AR606" t="s">
        <v>2651</v>
      </c>
    </row>
    <row r="607" spans="1:44">
      <c r="A607" t="s">
        <v>1781</v>
      </c>
      <c r="B607" s="12">
        <v>46129</v>
      </c>
      <c r="C607" s="12">
        <v>46117</v>
      </c>
      <c r="D607" t="s">
        <v>634</v>
      </c>
      <c r="E607" t="s">
        <v>339</v>
      </c>
      <c r="F607" t="s">
        <v>282</v>
      </c>
      <c r="G607" t="s">
        <v>564</v>
      </c>
      <c r="H607" t="s">
        <v>122</v>
      </c>
      <c r="I607" t="s">
        <v>271</v>
      </c>
      <c r="J607" s="13">
        <v>0.47916666666666669</v>
      </c>
      <c r="K607" s="13"/>
      <c r="L607" s="13"/>
      <c r="M607">
        <v>0</v>
      </c>
      <c r="N607" s="14">
        <v>120</v>
      </c>
      <c r="O607" t="s">
        <v>195</v>
      </c>
      <c r="Q607" t="s">
        <v>305</v>
      </c>
      <c r="R607" t="s">
        <v>1568</v>
      </c>
      <c r="S607">
        <v>0</v>
      </c>
      <c r="T607">
        <v>0</v>
      </c>
      <c r="U607" t="s">
        <v>2294</v>
      </c>
      <c r="V607" t="s">
        <v>2295</v>
      </c>
      <c r="W607" t="s">
        <v>2296</v>
      </c>
      <c r="X607" t="s">
        <v>2297</v>
      </c>
      <c r="Y607" t="s">
        <v>2298</v>
      </c>
      <c r="Z607" t="s">
        <v>2309</v>
      </c>
      <c r="AA607">
        <v>14</v>
      </c>
      <c r="AB607" s="14">
        <v>120</v>
      </c>
      <c r="AC607" t="s">
        <v>2310</v>
      </c>
      <c r="AD607" t="s">
        <v>2311</v>
      </c>
      <c r="AE607" t="s">
        <v>2643</v>
      </c>
      <c r="AF607">
        <v>12</v>
      </c>
      <c r="AG607">
        <v>1</v>
      </c>
      <c r="AJ607">
        <v>1</v>
      </c>
      <c r="AK607">
        <v>1</v>
      </c>
      <c r="AL607">
        <v>1</v>
      </c>
      <c r="AM607" s="14">
        <v>0</v>
      </c>
      <c r="AN607" t="s">
        <v>2644</v>
      </c>
      <c r="AO607" s="12">
        <v>46113</v>
      </c>
      <c r="AP607">
        <v>2026</v>
      </c>
      <c r="AQ607">
        <v>4</v>
      </c>
      <c r="AR607" t="s">
        <v>2651</v>
      </c>
    </row>
    <row r="608" spans="1:44">
      <c r="A608" t="s">
        <v>1782</v>
      </c>
      <c r="B608" s="12">
        <v>46116</v>
      </c>
      <c r="C608" s="12">
        <v>46111</v>
      </c>
      <c r="D608" t="s">
        <v>592</v>
      </c>
      <c r="E608" t="s">
        <v>339</v>
      </c>
      <c r="F608" t="s">
        <v>409</v>
      </c>
      <c r="G608" t="s">
        <v>476</v>
      </c>
      <c r="H608" t="s">
        <v>122</v>
      </c>
      <c r="I608" t="s">
        <v>258</v>
      </c>
      <c r="J608" s="13">
        <v>0.66666666666666663</v>
      </c>
      <c r="K608" s="13"/>
      <c r="L608" s="13"/>
      <c r="M608">
        <v>0</v>
      </c>
      <c r="N608" s="14">
        <v>150</v>
      </c>
      <c r="O608" t="s">
        <v>169</v>
      </c>
      <c r="Q608" t="s">
        <v>326</v>
      </c>
      <c r="R608" t="s">
        <v>1568</v>
      </c>
      <c r="S608">
        <v>0</v>
      </c>
      <c r="T608">
        <v>0</v>
      </c>
      <c r="U608" t="s">
        <v>2294</v>
      </c>
      <c r="V608" t="s">
        <v>2295</v>
      </c>
      <c r="W608" t="s">
        <v>2296</v>
      </c>
      <c r="X608" t="s">
        <v>2297</v>
      </c>
      <c r="Y608" t="s">
        <v>2298</v>
      </c>
      <c r="Z608" t="s">
        <v>2318</v>
      </c>
      <c r="AA608">
        <v>28</v>
      </c>
      <c r="AB608" s="14">
        <v>150</v>
      </c>
      <c r="AC608" t="s">
        <v>2319</v>
      </c>
      <c r="AD608" t="s">
        <v>2320</v>
      </c>
      <c r="AE608" t="s">
        <v>2643</v>
      </c>
      <c r="AF608">
        <v>5</v>
      </c>
      <c r="AG608">
        <v>1</v>
      </c>
      <c r="AJ608">
        <v>1</v>
      </c>
      <c r="AK608">
        <v>1</v>
      </c>
      <c r="AL608">
        <v>1</v>
      </c>
      <c r="AM608" s="14">
        <v>0</v>
      </c>
      <c r="AN608" t="s">
        <v>2644</v>
      </c>
      <c r="AO608" s="12">
        <v>46113</v>
      </c>
      <c r="AP608">
        <v>2026</v>
      </c>
      <c r="AQ608">
        <v>4</v>
      </c>
      <c r="AR608" t="s">
        <v>2651</v>
      </c>
    </row>
    <row r="609" spans="1:44">
      <c r="A609" t="s">
        <v>1783</v>
      </c>
      <c r="B609" s="12">
        <v>46120</v>
      </c>
      <c r="C609" s="12">
        <v>46114</v>
      </c>
      <c r="D609" t="s">
        <v>813</v>
      </c>
      <c r="E609" t="s">
        <v>255</v>
      </c>
      <c r="F609" t="s">
        <v>282</v>
      </c>
      <c r="G609" t="s">
        <v>424</v>
      </c>
      <c r="H609" t="s">
        <v>115</v>
      </c>
      <c r="I609" t="s">
        <v>299</v>
      </c>
      <c r="J609" s="13">
        <v>0.58333333333333337</v>
      </c>
      <c r="K609" s="13">
        <v>0.59375</v>
      </c>
      <c r="L609" s="13">
        <v>0.60763888888888884</v>
      </c>
      <c r="M609">
        <v>45</v>
      </c>
      <c r="N609" s="14">
        <v>120</v>
      </c>
      <c r="O609" t="s">
        <v>169</v>
      </c>
      <c r="P609">
        <v>4</v>
      </c>
      <c r="Q609" t="s">
        <v>262</v>
      </c>
      <c r="R609" t="s">
        <v>1568</v>
      </c>
      <c r="S609">
        <v>0</v>
      </c>
      <c r="T609">
        <v>0</v>
      </c>
      <c r="U609" t="s">
        <v>2299</v>
      </c>
      <c r="V609" t="s">
        <v>2295</v>
      </c>
      <c r="W609" t="s">
        <v>2300</v>
      </c>
      <c r="X609" t="s">
        <v>2288</v>
      </c>
      <c r="Y609" t="s">
        <v>2301</v>
      </c>
      <c r="Z609" t="s">
        <v>2309</v>
      </c>
      <c r="AA609">
        <v>14</v>
      </c>
      <c r="AB609" s="14">
        <v>120</v>
      </c>
      <c r="AC609" t="s">
        <v>2310</v>
      </c>
      <c r="AD609" t="s">
        <v>2311</v>
      </c>
      <c r="AE609" t="s">
        <v>2643</v>
      </c>
      <c r="AF609">
        <v>6</v>
      </c>
      <c r="AG609">
        <v>1</v>
      </c>
      <c r="AH609">
        <v>20</v>
      </c>
      <c r="AI609">
        <v>1</v>
      </c>
      <c r="AJ609">
        <v>1</v>
      </c>
      <c r="AK609">
        <v>0</v>
      </c>
      <c r="AL609">
        <v>1</v>
      </c>
      <c r="AM609" s="14">
        <v>0</v>
      </c>
      <c r="AN609" t="s">
        <v>2644</v>
      </c>
      <c r="AO609" s="12">
        <v>46113</v>
      </c>
      <c r="AP609">
        <v>2026</v>
      </c>
      <c r="AQ609">
        <v>4</v>
      </c>
      <c r="AR609" t="s">
        <v>2651</v>
      </c>
    </row>
    <row r="610" spans="1:44">
      <c r="A610" t="s">
        <v>1784</v>
      </c>
      <c r="B610" s="12">
        <v>46126</v>
      </c>
      <c r="C610" s="12">
        <v>46110</v>
      </c>
      <c r="D610" t="s">
        <v>877</v>
      </c>
      <c r="E610" t="s">
        <v>255</v>
      </c>
      <c r="F610" t="s">
        <v>297</v>
      </c>
      <c r="G610" t="s">
        <v>331</v>
      </c>
      <c r="H610" t="s">
        <v>122</v>
      </c>
      <c r="I610" t="s">
        <v>316</v>
      </c>
      <c r="J610" s="13">
        <v>0.41666666666666669</v>
      </c>
      <c r="K610" s="13"/>
      <c r="L610" s="13"/>
      <c r="M610">
        <v>0</v>
      </c>
      <c r="N610" s="14">
        <v>65</v>
      </c>
      <c r="O610" t="s">
        <v>195</v>
      </c>
      <c r="Q610" t="s">
        <v>285</v>
      </c>
      <c r="R610" t="s">
        <v>1568</v>
      </c>
      <c r="S610">
        <v>0</v>
      </c>
      <c r="T610">
        <v>0</v>
      </c>
      <c r="U610" t="s">
        <v>2299</v>
      </c>
      <c r="V610" t="s">
        <v>2295</v>
      </c>
      <c r="W610" t="s">
        <v>2300</v>
      </c>
      <c r="X610" t="s">
        <v>2288</v>
      </c>
      <c r="Y610" t="s">
        <v>2301</v>
      </c>
      <c r="Z610" t="s">
        <v>2306</v>
      </c>
      <c r="AA610">
        <v>7</v>
      </c>
      <c r="AB610" s="14">
        <v>65</v>
      </c>
      <c r="AC610" t="s">
        <v>2307</v>
      </c>
      <c r="AD610" t="s">
        <v>2308</v>
      </c>
      <c r="AE610" t="s">
        <v>2643</v>
      </c>
      <c r="AF610">
        <v>16</v>
      </c>
      <c r="AG610">
        <v>0</v>
      </c>
      <c r="AJ610">
        <v>1</v>
      </c>
      <c r="AK610">
        <v>1</v>
      </c>
      <c r="AL610">
        <v>1</v>
      </c>
      <c r="AM610" s="14">
        <v>0</v>
      </c>
      <c r="AN610" t="s">
        <v>2644</v>
      </c>
      <c r="AO610" s="12">
        <v>46113</v>
      </c>
      <c r="AP610">
        <v>2026</v>
      </c>
      <c r="AQ610">
        <v>4</v>
      </c>
      <c r="AR610" t="s">
        <v>2651</v>
      </c>
    </row>
    <row r="611" spans="1:44">
      <c r="A611" t="s">
        <v>1785</v>
      </c>
      <c r="B611" s="12">
        <v>46124</v>
      </c>
      <c r="C611" s="12">
        <v>46073</v>
      </c>
      <c r="D611" t="s">
        <v>694</v>
      </c>
      <c r="E611" t="s">
        <v>255</v>
      </c>
      <c r="F611" t="s">
        <v>269</v>
      </c>
      <c r="G611" t="s">
        <v>542</v>
      </c>
      <c r="H611" t="s">
        <v>466</v>
      </c>
      <c r="I611" t="s">
        <v>271</v>
      </c>
      <c r="J611" s="13">
        <v>0.60416666666666663</v>
      </c>
      <c r="K611" s="13"/>
      <c r="L611" s="13"/>
      <c r="M611">
        <v>0</v>
      </c>
      <c r="N611" s="14">
        <v>80</v>
      </c>
      <c r="O611" t="s">
        <v>169</v>
      </c>
      <c r="Q611" t="s">
        <v>318</v>
      </c>
      <c r="R611" t="s">
        <v>1568</v>
      </c>
      <c r="S611">
        <v>0</v>
      </c>
      <c r="T611">
        <v>0</v>
      </c>
      <c r="U611" t="s">
        <v>2299</v>
      </c>
      <c r="V611" t="s">
        <v>2295</v>
      </c>
      <c r="W611" t="s">
        <v>2300</v>
      </c>
      <c r="X611" t="s">
        <v>2288</v>
      </c>
      <c r="Y611" t="s">
        <v>2301</v>
      </c>
      <c r="Z611" t="s">
        <v>2315</v>
      </c>
      <c r="AA611">
        <v>10</v>
      </c>
      <c r="AB611" s="14">
        <v>80</v>
      </c>
      <c r="AC611" t="s">
        <v>2316</v>
      </c>
      <c r="AD611" t="s">
        <v>2317</v>
      </c>
      <c r="AE611" t="s">
        <v>2643</v>
      </c>
      <c r="AF611">
        <v>51</v>
      </c>
      <c r="AG611">
        <v>0</v>
      </c>
      <c r="AJ611">
        <v>0</v>
      </c>
      <c r="AL611">
        <v>1</v>
      </c>
      <c r="AM611" s="14">
        <v>0</v>
      </c>
      <c r="AN611" t="s">
        <v>2644</v>
      </c>
      <c r="AO611" s="12">
        <v>46113</v>
      </c>
      <c r="AP611">
        <v>2026</v>
      </c>
      <c r="AQ611">
        <v>4</v>
      </c>
      <c r="AR611" t="s">
        <v>2651</v>
      </c>
    </row>
    <row r="612" spans="1:44">
      <c r="A612" t="s">
        <v>1786</v>
      </c>
      <c r="B612" s="12">
        <v>46119</v>
      </c>
      <c r="C612" s="12">
        <v>46104</v>
      </c>
      <c r="D612" t="s">
        <v>450</v>
      </c>
      <c r="E612" t="s">
        <v>255</v>
      </c>
      <c r="F612" t="s">
        <v>409</v>
      </c>
      <c r="G612" t="s">
        <v>648</v>
      </c>
      <c r="H612" t="s">
        <v>115</v>
      </c>
      <c r="I612" t="s">
        <v>271</v>
      </c>
      <c r="J612" s="13">
        <v>0.58333333333333337</v>
      </c>
      <c r="K612" s="13">
        <v>0.57986111111111116</v>
      </c>
      <c r="L612" s="13">
        <v>0.58611111111111114</v>
      </c>
      <c r="M612">
        <v>45</v>
      </c>
      <c r="N612" s="14">
        <v>150</v>
      </c>
      <c r="O612" t="s">
        <v>195</v>
      </c>
      <c r="P612">
        <v>5</v>
      </c>
      <c r="Q612" t="s">
        <v>285</v>
      </c>
      <c r="R612" t="s">
        <v>1568</v>
      </c>
      <c r="S612">
        <v>0</v>
      </c>
      <c r="T612">
        <v>0</v>
      </c>
      <c r="U612" t="s">
        <v>2299</v>
      </c>
      <c r="V612" t="s">
        <v>2295</v>
      </c>
      <c r="W612" t="s">
        <v>2300</v>
      </c>
      <c r="X612" t="s">
        <v>2288</v>
      </c>
      <c r="Y612" t="s">
        <v>2301</v>
      </c>
      <c r="Z612" t="s">
        <v>2318</v>
      </c>
      <c r="AA612">
        <v>28</v>
      </c>
      <c r="AB612" s="14">
        <v>150</v>
      </c>
      <c r="AC612" t="s">
        <v>2319</v>
      </c>
      <c r="AD612" t="s">
        <v>2320</v>
      </c>
      <c r="AE612" t="s">
        <v>2643</v>
      </c>
      <c r="AF612">
        <v>15</v>
      </c>
      <c r="AG612">
        <v>1</v>
      </c>
      <c r="AH612">
        <v>9</v>
      </c>
      <c r="AI612">
        <v>1</v>
      </c>
      <c r="AJ612">
        <v>1</v>
      </c>
      <c r="AK612">
        <v>0</v>
      </c>
      <c r="AL612">
        <v>1</v>
      </c>
      <c r="AM612" s="14">
        <v>0</v>
      </c>
      <c r="AN612" t="s">
        <v>2644</v>
      </c>
      <c r="AO612" s="12">
        <v>46113</v>
      </c>
      <c r="AP612">
        <v>2026</v>
      </c>
      <c r="AQ612">
        <v>4</v>
      </c>
      <c r="AR612" t="s">
        <v>2651</v>
      </c>
    </row>
    <row r="613" spans="1:44">
      <c r="A613" t="s">
        <v>1787</v>
      </c>
      <c r="B613" s="12">
        <v>46121</v>
      </c>
      <c r="C613" s="12">
        <v>46066</v>
      </c>
      <c r="D613" t="s">
        <v>1280</v>
      </c>
      <c r="E613" t="s">
        <v>339</v>
      </c>
      <c r="F613" t="s">
        <v>269</v>
      </c>
      <c r="G613" t="s">
        <v>528</v>
      </c>
      <c r="H613" t="s">
        <v>115</v>
      </c>
      <c r="I613" t="s">
        <v>299</v>
      </c>
      <c r="J613" s="13">
        <v>0.35416666666666669</v>
      </c>
      <c r="K613" s="13">
        <v>0.35694444444444445</v>
      </c>
      <c r="L613" s="13">
        <v>0.36180555555555555</v>
      </c>
      <c r="M613">
        <v>30</v>
      </c>
      <c r="N613" s="14">
        <v>80</v>
      </c>
      <c r="O613" t="s">
        <v>195</v>
      </c>
      <c r="P613">
        <v>5</v>
      </c>
      <c r="Q613" t="s">
        <v>285</v>
      </c>
      <c r="R613" t="s">
        <v>1568</v>
      </c>
      <c r="S613">
        <v>0</v>
      </c>
      <c r="T613">
        <v>0</v>
      </c>
      <c r="U613" t="s">
        <v>2294</v>
      </c>
      <c r="V613" t="s">
        <v>2295</v>
      </c>
      <c r="W613" t="s">
        <v>2296</v>
      </c>
      <c r="X613" t="s">
        <v>2297</v>
      </c>
      <c r="Y613" t="s">
        <v>2298</v>
      </c>
      <c r="Z613" t="s">
        <v>2315</v>
      </c>
      <c r="AA613">
        <v>10</v>
      </c>
      <c r="AB613" s="14">
        <v>80</v>
      </c>
      <c r="AC613" t="s">
        <v>2316</v>
      </c>
      <c r="AD613" t="s">
        <v>2317</v>
      </c>
      <c r="AE613" t="s">
        <v>2643</v>
      </c>
      <c r="AF613">
        <v>55</v>
      </c>
      <c r="AG613">
        <v>0</v>
      </c>
      <c r="AH613">
        <v>7</v>
      </c>
      <c r="AI613">
        <v>1</v>
      </c>
      <c r="AJ613">
        <v>1</v>
      </c>
      <c r="AK613">
        <v>0</v>
      </c>
      <c r="AL613">
        <v>1</v>
      </c>
      <c r="AM613" s="14">
        <v>0</v>
      </c>
      <c r="AN613" t="s">
        <v>2644</v>
      </c>
      <c r="AO613" s="12">
        <v>46113</v>
      </c>
      <c r="AP613">
        <v>2026</v>
      </c>
      <c r="AQ613">
        <v>4</v>
      </c>
      <c r="AR613" t="s">
        <v>2651</v>
      </c>
    </row>
    <row r="614" spans="1:44">
      <c r="A614" t="s">
        <v>1788</v>
      </c>
      <c r="B614" s="12">
        <v>46130</v>
      </c>
      <c r="C614" s="12">
        <v>46087</v>
      </c>
      <c r="D614" t="s">
        <v>1065</v>
      </c>
      <c r="E614" t="s">
        <v>339</v>
      </c>
      <c r="F614" t="s">
        <v>256</v>
      </c>
      <c r="G614" t="s">
        <v>345</v>
      </c>
      <c r="H614" t="s">
        <v>115</v>
      </c>
      <c r="I614" t="s">
        <v>316</v>
      </c>
      <c r="J614" s="13">
        <v>0.33333333333333331</v>
      </c>
      <c r="K614" s="13">
        <v>0.34236111111111112</v>
      </c>
      <c r="L614" s="13">
        <v>0.33611111111111114</v>
      </c>
      <c r="M614">
        <v>30</v>
      </c>
      <c r="N614" s="14">
        <v>95</v>
      </c>
      <c r="O614" t="s">
        <v>195</v>
      </c>
      <c r="P614">
        <v>5</v>
      </c>
      <c r="Q614" t="s">
        <v>262</v>
      </c>
      <c r="R614" t="s">
        <v>1568</v>
      </c>
      <c r="S614">
        <v>0</v>
      </c>
      <c r="T614">
        <v>0</v>
      </c>
      <c r="U614" t="s">
        <v>2294</v>
      </c>
      <c r="V614" t="s">
        <v>2295</v>
      </c>
      <c r="W614" t="s">
        <v>2296</v>
      </c>
      <c r="X614" t="s">
        <v>2297</v>
      </c>
      <c r="Y614" t="s">
        <v>2298</v>
      </c>
      <c r="Z614" t="s">
        <v>2312</v>
      </c>
      <c r="AA614">
        <v>21</v>
      </c>
      <c r="AB614" s="14">
        <v>95</v>
      </c>
      <c r="AC614" t="s">
        <v>2313</v>
      </c>
      <c r="AD614" t="s">
        <v>2314</v>
      </c>
      <c r="AE614" t="s">
        <v>2643</v>
      </c>
      <c r="AF614">
        <v>43</v>
      </c>
      <c r="AG614">
        <v>0</v>
      </c>
      <c r="AJ614">
        <v>1</v>
      </c>
      <c r="AK614">
        <v>0</v>
      </c>
      <c r="AL614">
        <v>1</v>
      </c>
      <c r="AM614" s="14">
        <v>0</v>
      </c>
      <c r="AN614" t="s">
        <v>2644</v>
      </c>
      <c r="AO614" s="12">
        <v>46113</v>
      </c>
      <c r="AP614">
        <v>2026</v>
      </c>
      <c r="AQ614">
        <v>4</v>
      </c>
      <c r="AR614" t="s">
        <v>2651</v>
      </c>
    </row>
    <row r="615" spans="1:44">
      <c r="A615" t="s">
        <v>1790</v>
      </c>
      <c r="B615" s="12">
        <v>46131</v>
      </c>
      <c r="C615" s="12">
        <v>46112</v>
      </c>
      <c r="D615" t="s">
        <v>1036</v>
      </c>
      <c r="E615" t="s">
        <v>339</v>
      </c>
      <c r="F615" t="s">
        <v>409</v>
      </c>
      <c r="G615" t="s">
        <v>501</v>
      </c>
      <c r="H615" t="s">
        <v>115</v>
      </c>
      <c r="I615" t="s">
        <v>258</v>
      </c>
      <c r="J615" s="13">
        <v>0.64583333333333337</v>
      </c>
      <c r="K615" s="13">
        <v>0.65555555555555556</v>
      </c>
      <c r="L615" s="13">
        <v>0.6694444444444444</v>
      </c>
      <c r="N615" s="14">
        <v>150</v>
      </c>
      <c r="O615" t="s">
        <v>169</v>
      </c>
      <c r="P615">
        <v>5</v>
      </c>
      <c r="Q615" t="s">
        <v>318</v>
      </c>
      <c r="R615" t="s">
        <v>1568</v>
      </c>
      <c r="S615">
        <v>0</v>
      </c>
      <c r="T615">
        <v>0</v>
      </c>
      <c r="U615" t="s">
        <v>2294</v>
      </c>
      <c r="V615" t="s">
        <v>2295</v>
      </c>
      <c r="W615" t="s">
        <v>2296</v>
      </c>
      <c r="X615" t="s">
        <v>2297</v>
      </c>
      <c r="Y615" t="s">
        <v>2298</v>
      </c>
      <c r="Z615" t="s">
        <v>2318</v>
      </c>
      <c r="AA615">
        <v>28</v>
      </c>
      <c r="AB615" s="14">
        <v>150</v>
      </c>
      <c r="AC615" t="s">
        <v>2319</v>
      </c>
      <c r="AD615" t="s">
        <v>2320</v>
      </c>
      <c r="AE615" t="s">
        <v>2643</v>
      </c>
      <c r="AF615">
        <v>19</v>
      </c>
      <c r="AG615">
        <v>1</v>
      </c>
      <c r="AH615">
        <v>20</v>
      </c>
      <c r="AI615">
        <v>1</v>
      </c>
      <c r="AJ615">
        <v>1</v>
      </c>
      <c r="AK615">
        <v>0</v>
      </c>
      <c r="AL615">
        <v>1</v>
      </c>
      <c r="AM615" s="14">
        <v>0</v>
      </c>
      <c r="AN615" t="s">
        <v>2644</v>
      </c>
      <c r="AO615" s="12">
        <v>46113</v>
      </c>
      <c r="AP615">
        <v>2026</v>
      </c>
      <c r="AQ615">
        <v>4</v>
      </c>
      <c r="AR615" t="s">
        <v>2651</v>
      </c>
    </row>
    <row r="616" spans="1:44">
      <c r="A616" t="s">
        <v>1791</v>
      </c>
      <c r="B616" s="12">
        <v>46119</v>
      </c>
      <c r="C616" s="12">
        <v>46090</v>
      </c>
      <c r="D616" t="s">
        <v>756</v>
      </c>
      <c r="E616" t="s">
        <v>339</v>
      </c>
      <c r="F616" t="s">
        <v>282</v>
      </c>
      <c r="G616" t="s">
        <v>564</v>
      </c>
      <c r="H616" t="s">
        <v>115</v>
      </c>
      <c r="I616" t="s">
        <v>258</v>
      </c>
      <c r="J616" s="13">
        <v>0.5</v>
      </c>
      <c r="K616" s="13">
        <v>0.49791666666666667</v>
      </c>
      <c r="L616" s="13">
        <v>0.50694444444444442</v>
      </c>
      <c r="M616">
        <v>30</v>
      </c>
      <c r="N616" s="14">
        <v>120</v>
      </c>
      <c r="O616" t="s">
        <v>195</v>
      </c>
      <c r="P616">
        <v>4</v>
      </c>
      <c r="Q616" t="s">
        <v>305</v>
      </c>
      <c r="R616" t="s">
        <v>1568</v>
      </c>
      <c r="S616">
        <v>0</v>
      </c>
      <c r="T616">
        <v>0</v>
      </c>
      <c r="U616" t="s">
        <v>2294</v>
      </c>
      <c r="V616" t="s">
        <v>2295</v>
      </c>
      <c r="W616" t="s">
        <v>2296</v>
      </c>
      <c r="X616" t="s">
        <v>2297</v>
      </c>
      <c r="Y616" t="s">
        <v>2298</v>
      </c>
      <c r="Z616" t="s">
        <v>2309</v>
      </c>
      <c r="AA616">
        <v>14</v>
      </c>
      <c r="AB616" s="14">
        <v>120</v>
      </c>
      <c r="AC616" t="s">
        <v>2310</v>
      </c>
      <c r="AD616" t="s">
        <v>2311</v>
      </c>
      <c r="AE616" t="s">
        <v>2643</v>
      </c>
      <c r="AF616">
        <v>29</v>
      </c>
      <c r="AG616">
        <v>0</v>
      </c>
      <c r="AH616">
        <v>13</v>
      </c>
      <c r="AI616">
        <v>1</v>
      </c>
      <c r="AJ616">
        <v>1</v>
      </c>
      <c r="AK616">
        <v>0</v>
      </c>
      <c r="AL616">
        <v>1</v>
      </c>
      <c r="AM616" s="14">
        <v>0</v>
      </c>
      <c r="AN616" t="s">
        <v>2644</v>
      </c>
      <c r="AO616" s="12">
        <v>46113</v>
      </c>
      <c r="AP616">
        <v>2026</v>
      </c>
      <c r="AQ616">
        <v>4</v>
      </c>
      <c r="AR616" t="s">
        <v>2651</v>
      </c>
    </row>
    <row r="617" spans="1:44">
      <c r="A617" t="s">
        <v>1792</v>
      </c>
      <c r="B617" s="12">
        <v>46118</v>
      </c>
      <c r="C617" s="12">
        <v>46107</v>
      </c>
      <c r="D617" t="s">
        <v>769</v>
      </c>
      <c r="E617" t="s">
        <v>268</v>
      </c>
      <c r="F617" t="s">
        <v>269</v>
      </c>
      <c r="G617" t="s">
        <v>270</v>
      </c>
      <c r="H617" t="s">
        <v>115</v>
      </c>
      <c r="I617" t="s">
        <v>271</v>
      </c>
      <c r="J617" s="13">
        <v>0.66666666666666663</v>
      </c>
      <c r="K617" s="13">
        <v>0.66249999999999998</v>
      </c>
      <c r="L617" s="13">
        <v>0.67847222222222225</v>
      </c>
      <c r="M617">
        <v>45</v>
      </c>
      <c r="N617" s="14">
        <v>80</v>
      </c>
      <c r="O617" t="s">
        <v>195</v>
      </c>
      <c r="P617">
        <v>3</v>
      </c>
      <c r="Q617" t="s">
        <v>262</v>
      </c>
      <c r="R617" t="s">
        <v>1568</v>
      </c>
      <c r="S617">
        <v>0</v>
      </c>
      <c r="T617">
        <v>0</v>
      </c>
      <c r="U617" t="s">
        <v>2285</v>
      </c>
      <c r="V617" t="s">
        <v>2286</v>
      </c>
      <c r="W617" t="s">
        <v>2287</v>
      </c>
      <c r="X617" t="s">
        <v>2288</v>
      </c>
      <c r="Y617" t="s">
        <v>2289</v>
      </c>
      <c r="Z617" t="s">
        <v>2315</v>
      </c>
      <c r="AA617">
        <v>10</v>
      </c>
      <c r="AB617" s="14">
        <v>80</v>
      </c>
      <c r="AC617" t="s">
        <v>2316</v>
      </c>
      <c r="AD617" t="s">
        <v>2317</v>
      </c>
      <c r="AE617" t="s">
        <v>2643</v>
      </c>
      <c r="AF617">
        <v>11</v>
      </c>
      <c r="AG617">
        <v>0</v>
      </c>
      <c r="AH617">
        <v>23</v>
      </c>
      <c r="AI617">
        <v>1</v>
      </c>
      <c r="AJ617">
        <v>1</v>
      </c>
      <c r="AK617">
        <v>0</v>
      </c>
      <c r="AL617">
        <v>1</v>
      </c>
      <c r="AM617" s="14">
        <v>0</v>
      </c>
      <c r="AN617" t="s">
        <v>2644</v>
      </c>
      <c r="AO617" s="12">
        <v>46113</v>
      </c>
      <c r="AP617">
        <v>2026</v>
      </c>
      <c r="AQ617">
        <v>4</v>
      </c>
      <c r="AR617" t="s">
        <v>2651</v>
      </c>
    </row>
    <row r="618" spans="1:44">
      <c r="A618" t="s">
        <v>1794</v>
      </c>
      <c r="B618" s="12">
        <v>46120</v>
      </c>
      <c r="C618" s="12">
        <v>46102</v>
      </c>
      <c r="D618" t="s">
        <v>1239</v>
      </c>
      <c r="E618" t="s">
        <v>255</v>
      </c>
      <c r="F618" t="s">
        <v>269</v>
      </c>
      <c r="G618" t="s">
        <v>542</v>
      </c>
      <c r="H618" t="s">
        <v>115</v>
      </c>
      <c r="I618" t="s">
        <v>271</v>
      </c>
      <c r="J618" s="13">
        <v>0.4375</v>
      </c>
      <c r="K618" s="13">
        <v>0.44305555555555554</v>
      </c>
      <c r="L618" s="13">
        <v>0.45</v>
      </c>
      <c r="M618">
        <v>30</v>
      </c>
      <c r="N618" s="14">
        <v>80</v>
      </c>
      <c r="O618" t="s">
        <v>195</v>
      </c>
      <c r="P618">
        <v>4</v>
      </c>
      <c r="Q618" t="s">
        <v>285</v>
      </c>
      <c r="R618" t="s">
        <v>1568</v>
      </c>
      <c r="S618">
        <v>0</v>
      </c>
      <c r="T618">
        <v>0</v>
      </c>
      <c r="U618" t="s">
        <v>2299</v>
      </c>
      <c r="V618" t="s">
        <v>2295</v>
      </c>
      <c r="W618" t="s">
        <v>2300</v>
      </c>
      <c r="X618" t="s">
        <v>2288</v>
      </c>
      <c r="Y618" t="s">
        <v>2301</v>
      </c>
      <c r="Z618" t="s">
        <v>2315</v>
      </c>
      <c r="AA618">
        <v>10</v>
      </c>
      <c r="AB618" s="14">
        <v>80</v>
      </c>
      <c r="AC618" t="s">
        <v>2316</v>
      </c>
      <c r="AD618" t="s">
        <v>2317</v>
      </c>
      <c r="AE618" t="s">
        <v>2643</v>
      </c>
      <c r="AF618">
        <v>18</v>
      </c>
      <c r="AG618">
        <v>0</v>
      </c>
      <c r="AH618">
        <v>10</v>
      </c>
      <c r="AI618">
        <v>1</v>
      </c>
      <c r="AJ618">
        <v>1</v>
      </c>
      <c r="AK618">
        <v>0</v>
      </c>
      <c r="AL618">
        <v>1</v>
      </c>
      <c r="AM618" s="14">
        <v>0</v>
      </c>
      <c r="AN618" t="s">
        <v>2644</v>
      </c>
      <c r="AO618" s="12">
        <v>46113</v>
      </c>
      <c r="AP618">
        <v>2026</v>
      </c>
      <c r="AQ618">
        <v>4</v>
      </c>
      <c r="AR618" t="s">
        <v>2651</v>
      </c>
    </row>
    <row r="619" spans="1:44">
      <c r="A619" t="s">
        <v>1795</v>
      </c>
      <c r="B619" s="12">
        <v>46141</v>
      </c>
      <c r="C619" s="12">
        <v>46125</v>
      </c>
      <c r="D619" t="s">
        <v>909</v>
      </c>
      <c r="E619" t="s">
        <v>268</v>
      </c>
      <c r="F619" t="s">
        <v>297</v>
      </c>
      <c r="G619" t="s">
        <v>628</v>
      </c>
      <c r="H619" t="s">
        <v>127</v>
      </c>
      <c r="I619" t="s">
        <v>316</v>
      </c>
      <c r="J619" s="13">
        <v>0.33333333333333331</v>
      </c>
      <c r="K619" s="13"/>
      <c r="L619" s="13"/>
      <c r="M619">
        <v>0</v>
      </c>
      <c r="N619" s="14">
        <v>65</v>
      </c>
      <c r="O619" t="s">
        <v>195</v>
      </c>
      <c r="Q619" t="s">
        <v>285</v>
      </c>
      <c r="R619" t="s">
        <v>1568</v>
      </c>
      <c r="S619">
        <v>0</v>
      </c>
      <c r="T619">
        <v>0</v>
      </c>
      <c r="U619" t="s">
        <v>2285</v>
      </c>
      <c r="V619" t="s">
        <v>2286</v>
      </c>
      <c r="W619" t="s">
        <v>2287</v>
      </c>
      <c r="X619" t="s">
        <v>2288</v>
      </c>
      <c r="Y619" t="s">
        <v>2289</v>
      </c>
      <c r="Z619" t="s">
        <v>2306</v>
      </c>
      <c r="AA619">
        <v>7</v>
      </c>
      <c r="AB619" s="14">
        <v>65</v>
      </c>
      <c r="AC619" t="s">
        <v>2307</v>
      </c>
      <c r="AD619" t="s">
        <v>2308</v>
      </c>
      <c r="AE619" t="s">
        <v>2643</v>
      </c>
      <c r="AF619">
        <v>16</v>
      </c>
      <c r="AG619">
        <v>0</v>
      </c>
      <c r="AJ619">
        <v>0</v>
      </c>
      <c r="AL619">
        <v>1</v>
      </c>
      <c r="AM619" s="14">
        <v>0</v>
      </c>
      <c r="AN619" t="s">
        <v>2644</v>
      </c>
      <c r="AO619" s="12">
        <v>46113</v>
      </c>
      <c r="AP619">
        <v>2026</v>
      </c>
      <c r="AQ619">
        <v>4</v>
      </c>
      <c r="AR619" t="s">
        <v>2651</v>
      </c>
    </row>
    <row r="620" spans="1:44">
      <c r="A620" t="s">
        <v>1796</v>
      </c>
      <c r="B620" s="12">
        <v>46138</v>
      </c>
      <c r="C620" s="12">
        <v>46096</v>
      </c>
      <c r="D620" t="s">
        <v>527</v>
      </c>
      <c r="E620" t="s">
        <v>281</v>
      </c>
      <c r="F620" t="s">
        <v>409</v>
      </c>
      <c r="G620" t="s">
        <v>535</v>
      </c>
      <c r="H620" t="s">
        <v>127</v>
      </c>
      <c r="I620" t="s">
        <v>299</v>
      </c>
      <c r="J620" s="13">
        <v>0.52083333333333337</v>
      </c>
      <c r="K620" s="13"/>
      <c r="L620" s="13"/>
      <c r="M620">
        <v>0</v>
      </c>
      <c r="N620" s="14">
        <v>150</v>
      </c>
      <c r="O620" t="s">
        <v>169</v>
      </c>
      <c r="Q620" t="s">
        <v>318</v>
      </c>
      <c r="R620" t="s">
        <v>1568</v>
      </c>
      <c r="S620">
        <v>0</v>
      </c>
      <c r="T620">
        <v>0</v>
      </c>
      <c r="U620" t="s">
        <v>2290</v>
      </c>
      <c r="V620" t="s">
        <v>2291</v>
      </c>
      <c r="W620" t="s">
        <v>2292</v>
      </c>
      <c r="X620" t="s">
        <v>2288</v>
      </c>
      <c r="Y620" t="s">
        <v>2293</v>
      </c>
      <c r="Z620" t="s">
        <v>2318</v>
      </c>
      <c r="AA620">
        <v>28</v>
      </c>
      <c r="AB620" s="14">
        <v>150</v>
      </c>
      <c r="AC620" t="s">
        <v>2319</v>
      </c>
      <c r="AD620" t="s">
        <v>2320</v>
      </c>
      <c r="AE620" t="s">
        <v>2643</v>
      </c>
      <c r="AF620">
        <v>42</v>
      </c>
      <c r="AG620">
        <v>0</v>
      </c>
      <c r="AJ620">
        <v>0</v>
      </c>
      <c r="AL620">
        <v>1</v>
      </c>
      <c r="AM620" s="14">
        <v>0</v>
      </c>
      <c r="AN620" t="s">
        <v>2644</v>
      </c>
      <c r="AO620" s="12">
        <v>46113</v>
      </c>
      <c r="AP620">
        <v>2026</v>
      </c>
      <c r="AQ620">
        <v>4</v>
      </c>
      <c r="AR620" t="s">
        <v>2651</v>
      </c>
    </row>
    <row r="621" spans="1:44">
      <c r="A621" t="s">
        <v>1797</v>
      </c>
      <c r="B621" s="12">
        <v>46119</v>
      </c>
      <c r="C621" s="12">
        <v>46101</v>
      </c>
      <c r="D621" t="s">
        <v>909</v>
      </c>
      <c r="E621" t="s">
        <v>339</v>
      </c>
      <c r="F621" t="s">
        <v>297</v>
      </c>
      <c r="G621" t="s">
        <v>569</v>
      </c>
      <c r="H621" t="s">
        <v>115</v>
      </c>
      <c r="I621" t="s">
        <v>271</v>
      </c>
      <c r="J621" s="13">
        <v>0.41666666666666669</v>
      </c>
      <c r="K621" s="13">
        <v>0.4201388888888889</v>
      </c>
      <c r="L621" s="13">
        <v>0.42083333333333334</v>
      </c>
      <c r="M621">
        <v>20</v>
      </c>
      <c r="N621" s="14">
        <v>65</v>
      </c>
      <c r="O621" t="s">
        <v>195</v>
      </c>
      <c r="P621">
        <v>5</v>
      </c>
      <c r="Q621" t="s">
        <v>326</v>
      </c>
      <c r="R621" t="s">
        <v>1568</v>
      </c>
      <c r="S621">
        <v>0</v>
      </c>
      <c r="T621">
        <v>0</v>
      </c>
      <c r="U621" t="s">
        <v>2294</v>
      </c>
      <c r="V621" t="s">
        <v>2295</v>
      </c>
      <c r="W621" t="s">
        <v>2296</v>
      </c>
      <c r="X621" t="s">
        <v>2297</v>
      </c>
      <c r="Y621" t="s">
        <v>2298</v>
      </c>
      <c r="Z621" t="s">
        <v>2306</v>
      </c>
      <c r="AA621">
        <v>7</v>
      </c>
      <c r="AB621" s="14">
        <v>65</v>
      </c>
      <c r="AC621" t="s">
        <v>2307</v>
      </c>
      <c r="AD621" t="s">
        <v>2308</v>
      </c>
      <c r="AE621" t="s">
        <v>2643</v>
      </c>
      <c r="AF621">
        <v>18</v>
      </c>
      <c r="AG621">
        <v>0</v>
      </c>
      <c r="AH621">
        <v>1</v>
      </c>
      <c r="AI621">
        <v>1</v>
      </c>
      <c r="AJ621">
        <v>1</v>
      </c>
      <c r="AK621">
        <v>0</v>
      </c>
      <c r="AL621">
        <v>1</v>
      </c>
      <c r="AM621" s="14">
        <v>0</v>
      </c>
      <c r="AN621" t="s">
        <v>2644</v>
      </c>
      <c r="AO621" s="12">
        <v>46113</v>
      </c>
      <c r="AP621">
        <v>2026</v>
      </c>
      <c r="AQ621">
        <v>4</v>
      </c>
      <c r="AR621" t="s">
        <v>2651</v>
      </c>
    </row>
    <row r="622" spans="1:44">
      <c r="A622" t="s">
        <v>1798</v>
      </c>
      <c r="B622" s="12">
        <v>46140</v>
      </c>
      <c r="C622" s="12">
        <v>46091</v>
      </c>
      <c r="D622" t="s">
        <v>1405</v>
      </c>
      <c r="E622" t="s">
        <v>339</v>
      </c>
      <c r="F622" t="s">
        <v>409</v>
      </c>
      <c r="G622" t="s">
        <v>501</v>
      </c>
      <c r="H622" t="s">
        <v>115</v>
      </c>
      <c r="I622" t="s">
        <v>299</v>
      </c>
      <c r="J622" s="13">
        <v>0.35416666666666669</v>
      </c>
      <c r="K622" s="13">
        <v>0.35902777777777778</v>
      </c>
      <c r="L622" s="13">
        <v>0.37916666666666665</v>
      </c>
      <c r="M622">
        <v>20</v>
      </c>
      <c r="N622" s="14">
        <v>150</v>
      </c>
      <c r="O622" t="s">
        <v>195</v>
      </c>
      <c r="P622">
        <v>5</v>
      </c>
      <c r="Q622" t="s">
        <v>318</v>
      </c>
      <c r="R622" t="s">
        <v>1568</v>
      </c>
      <c r="S622">
        <v>0</v>
      </c>
      <c r="T622">
        <v>0</v>
      </c>
      <c r="U622" t="s">
        <v>2294</v>
      </c>
      <c r="V622" t="s">
        <v>2295</v>
      </c>
      <c r="W622" t="s">
        <v>2296</v>
      </c>
      <c r="X622" t="s">
        <v>2297</v>
      </c>
      <c r="Y622" t="s">
        <v>2298</v>
      </c>
      <c r="Z622" t="s">
        <v>2318</v>
      </c>
      <c r="AA622">
        <v>28</v>
      </c>
      <c r="AB622" s="14">
        <v>150</v>
      </c>
      <c r="AC622" t="s">
        <v>2319</v>
      </c>
      <c r="AD622" t="s">
        <v>2320</v>
      </c>
      <c r="AE622" t="s">
        <v>2643</v>
      </c>
      <c r="AF622">
        <v>49</v>
      </c>
      <c r="AG622">
        <v>0</v>
      </c>
      <c r="AH622">
        <v>29</v>
      </c>
      <c r="AI622">
        <v>1</v>
      </c>
      <c r="AJ622">
        <v>1</v>
      </c>
      <c r="AK622">
        <v>0</v>
      </c>
      <c r="AL622">
        <v>1</v>
      </c>
      <c r="AM622" s="14">
        <v>0</v>
      </c>
      <c r="AN622" t="s">
        <v>2644</v>
      </c>
      <c r="AO622" s="12">
        <v>46113</v>
      </c>
      <c r="AP622">
        <v>2026</v>
      </c>
      <c r="AQ622">
        <v>4</v>
      </c>
      <c r="AR622" t="s">
        <v>2651</v>
      </c>
    </row>
    <row r="623" spans="1:44">
      <c r="A623" t="s">
        <v>1799</v>
      </c>
      <c r="B623" s="12">
        <v>46116</v>
      </c>
      <c r="C623" s="12">
        <v>46067</v>
      </c>
      <c r="D623" t="s">
        <v>1393</v>
      </c>
      <c r="E623" t="s">
        <v>339</v>
      </c>
      <c r="F623" t="s">
        <v>269</v>
      </c>
      <c r="G623" t="s">
        <v>340</v>
      </c>
      <c r="H623" t="s">
        <v>115</v>
      </c>
      <c r="I623" t="s">
        <v>299</v>
      </c>
      <c r="J623" s="13">
        <v>0.58333333333333337</v>
      </c>
      <c r="K623" s="13">
        <v>0.59236111111111112</v>
      </c>
      <c r="L623" s="13">
        <v>0.58958333333333335</v>
      </c>
      <c r="M623">
        <v>30</v>
      </c>
      <c r="N623" s="14">
        <v>80</v>
      </c>
      <c r="O623" t="s">
        <v>195</v>
      </c>
      <c r="P623">
        <v>5</v>
      </c>
      <c r="Q623" t="s">
        <v>326</v>
      </c>
      <c r="R623" t="s">
        <v>1568</v>
      </c>
      <c r="S623">
        <v>0</v>
      </c>
      <c r="T623">
        <v>0</v>
      </c>
      <c r="U623" t="s">
        <v>2294</v>
      </c>
      <c r="V623" t="s">
        <v>2295</v>
      </c>
      <c r="W623" t="s">
        <v>2296</v>
      </c>
      <c r="X623" t="s">
        <v>2297</v>
      </c>
      <c r="Y623" t="s">
        <v>2298</v>
      </c>
      <c r="Z623" t="s">
        <v>2315</v>
      </c>
      <c r="AA623">
        <v>10</v>
      </c>
      <c r="AB623" s="14">
        <v>80</v>
      </c>
      <c r="AC623" t="s">
        <v>2316</v>
      </c>
      <c r="AD623" t="s">
        <v>2317</v>
      </c>
      <c r="AE623" t="s">
        <v>2643</v>
      </c>
      <c r="AF623">
        <v>49</v>
      </c>
      <c r="AG623">
        <v>0</v>
      </c>
      <c r="AJ623">
        <v>1</v>
      </c>
      <c r="AK623">
        <v>0</v>
      </c>
      <c r="AL623">
        <v>1</v>
      </c>
      <c r="AM623" s="14">
        <v>0</v>
      </c>
      <c r="AN623" t="s">
        <v>2644</v>
      </c>
      <c r="AO623" s="12">
        <v>46113</v>
      </c>
      <c r="AP623">
        <v>2026</v>
      </c>
      <c r="AQ623">
        <v>4</v>
      </c>
      <c r="AR623" t="s">
        <v>2651</v>
      </c>
    </row>
    <row r="624" spans="1:44">
      <c r="A624" t="s">
        <v>1800</v>
      </c>
      <c r="B624" s="12">
        <v>46115</v>
      </c>
      <c r="C624" s="12">
        <v>46091</v>
      </c>
      <c r="D624" t="s">
        <v>1650</v>
      </c>
      <c r="E624" t="s">
        <v>255</v>
      </c>
      <c r="F624" t="s">
        <v>409</v>
      </c>
      <c r="G624" t="s">
        <v>648</v>
      </c>
      <c r="H624" t="s">
        <v>127</v>
      </c>
      <c r="I624" t="s">
        <v>299</v>
      </c>
      <c r="J624" s="13">
        <v>0.54166666666666663</v>
      </c>
      <c r="K624" s="13"/>
      <c r="L624" s="13"/>
      <c r="M624">
        <v>0</v>
      </c>
      <c r="N624" s="14">
        <v>150</v>
      </c>
      <c r="O624" t="s">
        <v>195</v>
      </c>
      <c r="Q624" t="s">
        <v>326</v>
      </c>
      <c r="R624" t="s">
        <v>1568</v>
      </c>
      <c r="S624">
        <v>0</v>
      </c>
      <c r="T624">
        <v>0</v>
      </c>
      <c r="U624" t="s">
        <v>2299</v>
      </c>
      <c r="V624" t="s">
        <v>2295</v>
      </c>
      <c r="W624" t="s">
        <v>2300</v>
      </c>
      <c r="X624" t="s">
        <v>2288</v>
      </c>
      <c r="Y624" t="s">
        <v>2301</v>
      </c>
      <c r="Z624" t="s">
        <v>2318</v>
      </c>
      <c r="AA624">
        <v>28</v>
      </c>
      <c r="AB624" s="14">
        <v>150</v>
      </c>
      <c r="AC624" t="s">
        <v>2319</v>
      </c>
      <c r="AD624" t="s">
        <v>2320</v>
      </c>
      <c r="AE624" t="s">
        <v>2643</v>
      </c>
      <c r="AF624">
        <v>24</v>
      </c>
      <c r="AG624">
        <v>1</v>
      </c>
      <c r="AJ624">
        <v>0</v>
      </c>
      <c r="AL624">
        <v>1</v>
      </c>
      <c r="AM624" s="14">
        <v>0</v>
      </c>
      <c r="AN624" t="s">
        <v>2644</v>
      </c>
      <c r="AO624" s="12">
        <v>46113</v>
      </c>
      <c r="AP624">
        <v>2026</v>
      </c>
      <c r="AQ624">
        <v>4</v>
      </c>
      <c r="AR624" t="s">
        <v>2651</v>
      </c>
    </row>
    <row r="625" spans="1:44">
      <c r="A625" t="s">
        <v>1801</v>
      </c>
      <c r="B625" s="12">
        <v>46133</v>
      </c>
      <c r="C625" s="12">
        <v>46128</v>
      </c>
      <c r="D625" t="s">
        <v>673</v>
      </c>
      <c r="E625" t="s">
        <v>255</v>
      </c>
      <c r="F625" t="s">
        <v>256</v>
      </c>
      <c r="G625" t="s">
        <v>257</v>
      </c>
      <c r="H625" t="s">
        <v>115</v>
      </c>
      <c r="I625" t="s">
        <v>299</v>
      </c>
      <c r="J625" s="13">
        <v>0.58333333333333337</v>
      </c>
      <c r="K625" s="13">
        <v>0.57777777777777772</v>
      </c>
      <c r="L625" s="13">
        <v>0.59722222222222221</v>
      </c>
      <c r="M625">
        <v>45</v>
      </c>
      <c r="N625" s="14">
        <v>95</v>
      </c>
      <c r="O625" t="s">
        <v>195</v>
      </c>
      <c r="P625">
        <v>3</v>
      </c>
      <c r="Q625" t="s">
        <v>326</v>
      </c>
      <c r="R625" t="s">
        <v>1568</v>
      </c>
      <c r="S625">
        <v>0</v>
      </c>
      <c r="T625">
        <v>0</v>
      </c>
      <c r="U625" t="s">
        <v>2299</v>
      </c>
      <c r="V625" t="s">
        <v>2295</v>
      </c>
      <c r="W625" t="s">
        <v>2300</v>
      </c>
      <c r="X625" t="s">
        <v>2288</v>
      </c>
      <c r="Y625" t="s">
        <v>2301</v>
      </c>
      <c r="Z625" t="s">
        <v>2312</v>
      </c>
      <c r="AA625">
        <v>21</v>
      </c>
      <c r="AB625" s="14">
        <v>95</v>
      </c>
      <c r="AC625" t="s">
        <v>2313</v>
      </c>
      <c r="AD625" t="s">
        <v>2314</v>
      </c>
      <c r="AE625" t="s">
        <v>2643</v>
      </c>
      <c r="AF625">
        <v>5</v>
      </c>
      <c r="AG625">
        <v>1</v>
      </c>
      <c r="AH625">
        <v>28</v>
      </c>
      <c r="AI625">
        <v>1</v>
      </c>
      <c r="AJ625">
        <v>1</v>
      </c>
      <c r="AK625">
        <v>0</v>
      </c>
      <c r="AL625">
        <v>1</v>
      </c>
      <c r="AM625" s="14">
        <v>0</v>
      </c>
      <c r="AN625" t="s">
        <v>2644</v>
      </c>
      <c r="AO625" s="12">
        <v>46113</v>
      </c>
      <c r="AP625">
        <v>2026</v>
      </c>
      <c r="AQ625">
        <v>4</v>
      </c>
      <c r="AR625" t="s">
        <v>2651</v>
      </c>
    </row>
    <row r="626" spans="1:44">
      <c r="A626" t="s">
        <v>1802</v>
      </c>
      <c r="B626" s="12">
        <v>46139</v>
      </c>
      <c r="C626" s="12">
        <v>46085</v>
      </c>
      <c r="D626" t="s">
        <v>1077</v>
      </c>
      <c r="E626" t="s">
        <v>281</v>
      </c>
      <c r="F626" t="s">
        <v>409</v>
      </c>
      <c r="G626" t="s">
        <v>496</v>
      </c>
      <c r="H626" t="s">
        <v>115</v>
      </c>
      <c r="I626" t="s">
        <v>316</v>
      </c>
      <c r="J626" s="13">
        <v>0.33333333333333331</v>
      </c>
      <c r="K626" s="13">
        <v>0.33819444444444446</v>
      </c>
      <c r="L626" s="13">
        <v>0.33750000000000002</v>
      </c>
      <c r="M626">
        <v>45</v>
      </c>
      <c r="O626" t="s">
        <v>169</v>
      </c>
      <c r="P626">
        <v>3</v>
      </c>
      <c r="Q626" t="s">
        <v>285</v>
      </c>
      <c r="R626" t="s">
        <v>1568</v>
      </c>
      <c r="S626">
        <v>0</v>
      </c>
      <c r="T626">
        <v>0</v>
      </c>
      <c r="U626" t="s">
        <v>2290</v>
      </c>
      <c r="V626" t="s">
        <v>2291</v>
      </c>
      <c r="W626" t="s">
        <v>2292</v>
      </c>
      <c r="X626" t="s">
        <v>2288</v>
      </c>
      <c r="Y626" t="s">
        <v>2293</v>
      </c>
      <c r="Z626" t="s">
        <v>2318</v>
      </c>
      <c r="AA626">
        <v>28</v>
      </c>
      <c r="AB626" s="14">
        <v>150</v>
      </c>
      <c r="AC626" t="s">
        <v>2319</v>
      </c>
      <c r="AD626" t="s">
        <v>2320</v>
      </c>
      <c r="AE626" t="s">
        <v>2643</v>
      </c>
      <c r="AF626">
        <v>54</v>
      </c>
      <c r="AG626">
        <v>0</v>
      </c>
      <c r="AJ626">
        <v>1</v>
      </c>
      <c r="AK626">
        <v>0</v>
      </c>
      <c r="AL626">
        <v>0</v>
      </c>
      <c r="AN626" t="s">
        <v>2648</v>
      </c>
      <c r="AO626" s="12">
        <v>46113</v>
      </c>
      <c r="AP626">
        <v>2026</v>
      </c>
      <c r="AQ626">
        <v>4</v>
      </c>
      <c r="AR626" t="s">
        <v>2651</v>
      </c>
    </row>
    <row r="627" spans="1:44">
      <c r="A627" t="s">
        <v>1803</v>
      </c>
      <c r="B627" s="12">
        <v>46138</v>
      </c>
      <c r="C627" s="12">
        <v>46112</v>
      </c>
      <c r="D627" t="s">
        <v>1804</v>
      </c>
      <c r="E627" t="s">
        <v>255</v>
      </c>
      <c r="F627" t="s">
        <v>282</v>
      </c>
      <c r="G627" t="s">
        <v>424</v>
      </c>
      <c r="H627" t="s">
        <v>122</v>
      </c>
      <c r="I627" t="s">
        <v>299</v>
      </c>
      <c r="J627" s="13">
        <v>0.52083333333333337</v>
      </c>
      <c r="K627" s="13"/>
      <c r="L627" s="13"/>
      <c r="M627">
        <v>0</v>
      </c>
      <c r="N627" s="14">
        <v>120</v>
      </c>
      <c r="O627" t="s">
        <v>169</v>
      </c>
      <c r="Q627" t="s">
        <v>318</v>
      </c>
      <c r="R627" t="s">
        <v>1568</v>
      </c>
      <c r="S627">
        <v>0</v>
      </c>
      <c r="T627">
        <v>0</v>
      </c>
      <c r="U627" t="s">
        <v>2299</v>
      </c>
      <c r="V627" t="s">
        <v>2295</v>
      </c>
      <c r="W627" t="s">
        <v>2300</v>
      </c>
      <c r="X627" t="s">
        <v>2288</v>
      </c>
      <c r="Y627" t="s">
        <v>2301</v>
      </c>
      <c r="Z627" t="s">
        <v>2309</v>
      </c>
      <c r="AA627">
        <v>14</v>
      </c>
      <c r="AB627" s="14">
        <v>120</v>
      </c>
      <c r="AC627" t="s">
        <v>2310</v>
      </c>
      <c r="AD627" t="s">
        <v>2311</v>
      </c>
      <c r="AE627" t="s">
        <v>2643</v>
      </c>
      <c r="AF627">
        <v>26</v>
      </c>
      <c r="AG627">
        <v>0</v>
      </c>
      <c r="AJ627">
        <v>1</v>
      </c>
      <c r="AK627">
        <v>1</v>
      </c>
      <c r="AL627">
        <v>1</v>
      </c>
      <c r="AM627" s="14">
        <v>0</v>
      </c>
      <c r="AN627" t="s">
        <v>2644</v>
      </c>
      <c r="AO627" s="12">
        <v>46113</v>
      </c>
      <c r="AP627">
        <v>2026</v>
      </c>
      <c r="AQ627">
        <v>4</v>
      </c>
      <c r="AR627" t="s">
        <v>2651</v>
      </c>
    </row>
    <row r="628" spans="1:44">
      <c r="A628" t="s">
        <v>1805</v>
      </c>
      <c r="B628" s="12">
        <v>46128</v>
      </c>
      <c r="C628" s="12">
        <v>46081</v>
      </c>
      <c r="D628" t="s">
        <v>1416</v>
      </c>
      <c r="E628" t="s">
        <v>281</v>
      </c>
      <c r="F628" t="s">
        <v>409</v>
      </c>
      <c r="G628" t="s">
        <v>496</v>
      </c>
      <c r="H628" t="s">
        <v>115</v>
      </c>
      <c r="I628" t="s">
        <v>316</v>
      </c>
      <c r="J628" s="13">
        <v>0.5625</v>
      </c>
      <c r="K628" s="13">
        <v>0.56874999999999998</v>
      </c>
      <c r="L628" s="13">
        <v>0.58888888888888891</v>
      </c>
      <c r="M628">
        <v>20</v>
      </c>
      <c r="N628" s="14">
        <v>150</v>
      </c>
      <c r="O628" t="s">
        <v>169</v>
      </c>
      <c r="P628">
        <v>5</v>
      </c>
      <c r="Q628" t="s">
        <v>305</v>
      </c>
      <c r="R628" t="s">
        <v>1568</v>
      </c>
      <c r="S628">
        <v>0</v>
      </c>
      <c r="T628">
        <v>0</v>
      </c>
      <c r="U628" t="s">
        <v>2290</v>
      </c>
      <c r="V628" t="s">
        <v>2291</v>
      </c>
      <c r="W628" t="s">
        <v>2292</v>
      </c>
      <c r="X628" t="s">
        <v>2288</v>
      </c>
      <c r="Y628" t="s">
        <v>2293</v>
      </c>
      <c r="Z628" t="s">
        <v>2318</v>
      </c>
      <c r="AA628">
        <v>28</v>
      </c>
      <c r="AB628" s="14">
        <v>150</v>
      </c>
      <c r="AC628" t="s">
        <v>2319</v>
      </c>
      <c r="AD628" t="s">
        <v>2320</v>
      </c>
      <c r="AE628" t="s">
        <v>2643</v>
      </c>
      <c r="AF628">
        <v>47</v>
      </c>
      <c r="AG628">
        <v>0</v>
      </c>
      <c r="AH628">
        <v>29</v>
      </c>
      <c r="AI628">
        <v>1</v>
      </c>
      <c r="AJ628">
        <v>1</v>
      </c>
      <c r="AK628">
        <v>0</v>
      </c>
      <c r="AL628">
        <v>1</v>
      </c>
      <c r="AM628" s="14">
        <v>0</v>
      </c>
      <c r="AN628" t="s">
        <v>2644</v>
      </c>
      <c r="AO628" s="12">
        <v>46113</v>
      </c>
      <c r="AP628">
        <v>2026</v>
      </c>
      <c r="AQ628">
        <v>4</v>
      </c>
      <c r="AR628" t="s">
        <v>2651</v>
      </c>
    </row>
    <row r="629" spans="1:44">
      <c r="A629" t="s">
        <v>1806</v>
      </c>
      <c r="B629" s="12">
        <v>46140</v>
      </c>
      <c r="C629" s="12">
        <v>46085</v>
      </c>
      <c r="D629" t="s">
        <v>667</v>
      </c>
      <c r="E629" t="s">
        <v>339</v>
      </c>
      <c r="F629" t="s">
        <v>409</v>
      </c>
      <c r="G629" t="s">
        <v>501</v>
      </c>
      <c r="H629" t="s">
        <v>466</v>
      </c>
      <c r="I629" t="s">
        <v>299</v>
      </c>
      <c r="J629" s="13">
        <v>0.41666666666666669</v>
      </c>
      <c r="K629" s="13"/>
      <c r="L629" s="13"/>
      <c r="M629">
        <v>0</v>
      </c>
      <c r="N629" s="14">
        <v>150</v>
      </c>
      <c r="O629" t="s">
        <v>195</v>
      </c>
      <c r="Q629" t="s">
        <v>305</v>
      </c>
      <c r="R629" t="s">
        <v>1568</v>
      </c>
      <c r="S629">
        <v>0</v>
      </c>
      <c r="T629">
        <v>0</v>
      </c>
      <c r="U629" t="s">
        <v>2294</v>
      </c>
      <c r="V629" t="s">
        <v>2295</v>
      </c>
      <c r="W629" t="s">
        <v>2296</v>
      </c>
      <c r="X629" t="s">
        <v>2297</v>
      </c>
      <c r="Y629" t="s">
        <v>2298</v>
      </c>
      <c r="Z629" t="s">
        <v>2318</v>
      </c>
      <c r="AA629">
        <v>28</v>
      </c>
      <c r="AB629" s="14">
        <v>150</v>
      </c>
      <c r="AC629" t="s">
        <v>2319</v>
      </c>
      <c r="AD629" t="s">
        <v>2320</v>
      </c>
      <c r="AE629" t="s">
        <v>2643</v>
      </c>
      <c r="AF629">
        <v>55</v>
      </c>
      <c r="AG629">
        <v>0</v>
      </c>
      <c r="AJ629">
        <v>0</v>
      </c>
      <c r="AL629">
        <v>1</v>
      </c>
      <c r="AM629" s="14">
        <v>0</v>
      </c>
      <c r="AN629" t="s">
        <v>2644</v>
      </c>
      <c r="AO629" s="12">
        <v>46113</v>
      </c>
      <c r="AP629">
        <v>2026</v>
      </c>
      <c r="AQ629">
        <v>4</v>
      </c>
      <c r="AR629" t="s">
        <v>2651</v>
      </c>
    </row>
    <row r="630" spans="1:44">
      <c r="A630" t="s">
        <v>1807</v>
      </c>
      <c r="B630" s="12">
        <v>46132</v>
      </c>
      <c r="C630" s="12">
        <v>46078</v>
      </c>
      <c r="D630" t="s">
        <v>772</v>
      </c>
      <c r="E630" t="s">
        <v>255</v>
      </c>
      <c r="F630" t="s">
        <v>256</v>
      </c>
      <c r="G630" t="s">
        <v>398</v>
      </c>
      <c r="H630" t="s">
        <v>115</v>
      </c>
      <c r="I630" t="s">
        <v>299</v>
      </c>
      <c r="J630" s="13">
        <v>0.58333333333333337</v>
      </c>
      <c r="K630" s="13">
        <v>0.59513888888888888</v>
      </c>
      <c r="L630" s="13">
        <v>0.59166666666666667</v>
      </c>
      <c r="M630">
        <v>45</v>
      </c>
      <c r="N630" s="14">
        <v>95</v>
      </c>
      <c r="O630" t="s">
        <v>195</v>
      </c>
      <c r="P630">
        <v>4</v>
      </c>
      <c r="Q630" t="s">
        <v>262</v>
      </c>
      <c r="R630" t="s">
        <v>1568</v>
      </c>
      <c r="S630">
        <v>0</v>
      </c>
      <c r="T630">
        <v>0</v>
      </c>
      <c r="U630" t="s">
        <v>2299</v>
      </c>
      <c r="V630" t="s">
        <v>2295</v>
      </c>
      <c r="W630" t="s">
        <v>2300</v>
      </c>
      <c r="X630" t="s">
        <v>2288</v>
      </c>
      <c r="Y630" t="s">
        <v>2301</v>
      </c>
      <c r="Z630" t="s">
        <v>2312</v>
      </c>
      <c r="AA630">
        <v>21</v>
      </c>
      <c r="AB630" s="14">
        <v>95</v>
      </c>
      <c r="AC630" t="s">
        <v>2313</v>
      </c>
      <c r="AD630" t="s">
        <v>2314</v>
      </c>
      <c r="AE630" t="s">
        <v>2643</v>
      </c>
      <c r="AF630">
        <v>54</v>
      </c>
      <c r="AG630">
        <v>0</v>
      </c>
      <c r="AJ630">
        <v>1</v>
      </c>
      <c r="AK630">
        <v>0</v>
      </c>
      <c r="AL630">
        <v>1</v>
      </c>
      <c r="AM630" s="14">
        <v>0</v>
      </c>
      <c r="AN630" t="s">
        <v>2644</v>
      </c>
      <c r="AO630" s="12">
        <v>46113</v>
      </c>
      <c r="AP630">
        <v>2026</v>
      </c>
      <c r="AQ630">
        <v>4</v>
      </c>
      <c r="AR630" t="s">
        <v>2651</v>
      </c>
    </row>
    <row r="631" spans="1:44">
      <c r="A631" t="s">
        <v>1808</v>
      </c>
      <c r="B631" s="12">
        <v>46142</v>
      </c>
      <c r="C631" s="12">
        <v>46113</v>
      </c>
      <c r="D631" t="s">
        <v>350</v>
      </c>
      <c r="E631" t="s">
        <v>281</v>
      </c>
      <c r="F631" t="s">
        <v>409</v>
      </c>
      <c r="G631" t="s">
        <v>496</v>
      </c>
      <c r="H631" t="s">
        <v>115</v>
      </c>
      <c r="I631" t="s">
        <v>316</v>
      </c>
      <c r="J631" s="13">
        <v>0.375</v>
      </c>
      <c r="K631" s="13">
        <v>0.38541666666666669</v>
      </c>
      <c r="L631" s="13">
        <v>0.40138888888888891</v>
      </c>
      <c r="M631">
        <v>30</v>
      </c>
      <c r="N631" s="14">
        <v>150</v>
      </c>
      <c r="O631" t="s">
        <v>169</v>
      </c>
      <c r="P631">
        <v>5</v>
      </c>
      <c r="Q631" t="s">
        <v>305</v>
      </c>
      <c r="R631" t="s">
        <v>1568</v>
      </c>
      <c r="S631">
        <v>0</v>
      </c>
      <c r="T631">
        <v>0</v>
      </c>
      <c r="U631" t="s">
        <v>2290</v>
      </c>
      <c r="V631" t="s">
        <v>2291</v>
      </c>
      <c r="W631" t="s">
        <v>2292</v>
      </c>
      <c r="X631" t="s">
        <v>2288</v>
      </c>
      <c r="Y631" t="s">
        <v>2293</v>
      </c>
      <c r="Z631" t="s">
        <v>2318</v>
      </c>
      <c r="AA631">
        <v>28</v>
      </c>
      <c r="AB631" s="14">
        <v>150</v>
      </c>
      <c r="AC631" t="s">
        <v>2319</v>
      </c>
      <c r="AD631" t="s">
        <v>2320</v>
      </c>
      <c r="AE631" t="s">
        <v>2643</v>
      </c>
      <c r="AF631">
        <v>29</v>
      </c>
      <c r="AG631">
        <v>0</v>
      </c>
      <c r="AH631">
        <v>23</v>
      </c>
      <c r="AI631">
        <v>1</v>
      </c>
      <c r="AJ631">
        <v>1</v>
      </c>
      <c r="AK631">
        <v>0</v>
      </c>
      <c r="AL631">
        <v>1</v>
      </c>
      <c r="AM631" s="14">
        <v>0</v>
      </c>
      <c r="AN631" t="s">
        <v>2644</v>
      </c>
      <c r="AO631" s="12">
        <v>46113</v>
      </c>
      <c r="AP631">
        <v>2026</v>
      </c>
      <c r="AQ631">
        <v>4</v>
      </c>
      <c r="AR631" t="s">
        <v>2651</v>
      </c>
    </row>
    <row r="632" spans="1:44">
      <c r="A632" t="s">
        <v>1810</v>
      </c>
      <c r="B632" s="12">
        <v>46123</v>
      </c>
      <c r="C632" s="12">
        <v>46097</v>
      </c>
      <c r="D632" t="s">
        <v>820</v>
      </c>
      <c r="E632" t="s">
        <v>281</v>
      </c>
      <c r="F632" t="s">
        <v>256</v>
      </c>
      <c r="G632" t="s">
        <v>429</v>
      </c>
      <c r="H632" t="s">
        <v>122</v>
      </c>
      <c r="I632" t="s">
        <v>316</v>
      </c>
      <c r="J632" s="13">
        <v>0.5</v>
      </c>
      <c r="K632" s="13">
        <v>0.49444444444444446</v>
      </c>
      <c r="L632" s="13">
        <v>0.50486111111111109</v>
      </c>
      <c r="M632">
        <v>45</v>
      </c>
      <c r="N632" s="14">
        <v>95</v>
      </c>
      <c r="O632" t="s">
        <v>169</v>
      </c>
      <c r="P632">
        <v>4</v>
      </c>
      <c r="Q632" t="s">
        <v>262</v>
      </c>
      <c r="R632" t="s">
        <v>1568</v>
      </c>
      <c r="S632">
        <v>0</v>
      </c>
      <c r="T632">
        <v>0</v>
      </c>
      <c r="U632" t="s">
        <v>2290</v>
      </c>
      <c r="V632" t="s">
        <v>2291</v>
      </c>
      <c r="W632" t="s">
        <v>2292</v>
      </c>
      <c r="X632" t="s">
        <v>2288</v>
      </c>
      <c r="Y632" t="s">
        <v>2293</v>
      </c>
      <c r="Z632" t="s">
        <v>2312</v>
      </c>
      <c r="AA632">
        <v>21</v>
      </c>
      <c r="AB632" s="14">
        <v>95</v>
      </c>
      <c r="AC632" t="s">
        <v>2313</v>
      </c>
      <c r="AD632" t="s">
        <v>2314</v>
      </c>
      <c r="AE632" t="s">
        <v>2643</v>
      </c>
      <c r="AF632">
        <v>26</v>
      </c>
      <c r="AG632">
        <v>0</v>
      </c>
      <c r="AJ632">
        <v>1</v>
      </c>
      <c r="AK632">
        <v>1</v>
      </c>
      <c r="AL632">
        <v>1</v>
      </c>
      <c r="AM632" s="14">
        <v>0</v>
      </c>
      <c r="AN632" t="s">
        <v>2644</v>
      </c>
      <c r="AO632" s="12">
        <v>46113</v>
      </c>
      <c r="AP632">
        <v>2026</v>
      </c>
      <c r="AQ632">
        <v>4</v>
      </c>
      <c r="AR632" t="s">
        <v>2651</v>
      </c>
    </row>
    <row r="633" spans="1:44">
      <c r="A633" t="s">
        <v>1811</v>
      </c>
      <c r="B633" s="12">
        <v>46134</v>
      </c>
      <c r="C633" s="12">
        <v>46083</v>
      </c>
      <c r="D633" t="s">
        <v>1755</v>
      </c>
      <c r="E633" t="s">
        <v>339</v>
      </c>
      <c r="F633" t="s">
        <v>269</v>
      </c>
      <c r="G633" t="s">
        <v>340</v>
      </c>
      <c r="H633" t="s">
        <v>115</v>
      </c>
      <c r="I633" t="s">
        <v>271</v>
      </c>
      <c r="J633" s="13">
        <v>0.54166666666666663</v>
      </c>
      <c r="K633" s="13">
        <v>0.53611111111111109</v>
      </c>
      <c r="L633" s="13">
        <v>0.55208333333333337</v>
      </c>
      <c r="M633">
        <v>45</v>
      </c>
      <c r="N633" s="14">
        <v>80</v>
      </c>
      <c r="O633" t="s">
        <v>169</v>
      </c>
      <c r="P633">
        <v>5</v>
      </c>
      <c r="Q633" t="s">
        <v>305</v>
      </c>
      <c r="R633" t="s">
        <v>1568</v>
      </c>
      <c r="S633">
        <v>0</v>
      </c>
      <c r="T633">
        <v>0</v>
      </c>
      <c r="U633" t="s">
        <v>2294</v>
      </c>
      <c r="V633" t="s">
        <v>2295</v>
      </c>
      <c r="W633" t="s">
        <v>2296</v>
      </c>
      <c r="X633" t="s">
        <v>2297</v>
      </c>
      <c r="Y633" t="s">
        <v>2298</v>
      </c>
      <c r="Z633" t="s">
        <v>2315</v>
      </c>
      <c r="AA633">
        <v>10</v>
      </c>
      <c r="AB633" s="14">
        <v>80</v>
      </c>
      <c r="AC633" t="s">
        <v>2316</v>
      </c>
      <c r="AD633" t="s">
        <v>2317</v>
      </c>
      <c r="AE633" t="s">
        <v>2643</v>
      </c>
      <c r="AF633">
        <v>51</v>
      </c>
      <c r="AG633">
        <v>0</v>
      </c>
      <c r="AH633">
        <v>23</v>
      </c>
      <c r="AI633">
        <v>1</v>
      </c>
      <c r="AJ633">
        <v>1</v>
      </c>
      <c r="AK633">
        <v>0</v>
      </c>
      <c r="AL633">
        <v>1</v>
      </c>
      <c r="AM633" s="14">
        <v>0</v>
      </c>
      <c r="AN633" t="s">
        <v>2644</v>
      </c>
      <c r="AO633" s="12">
        <v>46113</v>
      </c>
      <c r="AP633">
        <v>2026</v>
      </c>
      <c r="AQ633">
        <v>4</v>
      </c>
      <c r="AR633" t="s">
        <v>2651</v>
      </c>
    </row>
    <row r="634" spans="1:44">
      <c r="A634" t="s">
        <v>1812</v>
      </c>
      <c r="B634" s="12">
        <v>46120</v>
      </c>
      <c r="C634" s="12">
        <v>46068</v>
      </c>
      <c r="D634" t="s">
        <v>1157</v>
      </c>
      <c r="E634" t="s">
        <v>255</v>
      </c>
      <c r="F634" t="s">
        <v>282</v>
      </c>
      <c r="G634" t="s">
        <v>290</v>
      </c>
      <c r="H634" t="s">
        <v>115</v>
      </c>
      <c r="I634" t="s">
        <v>271</v>
      </c>
      <c r="J634" s="13">
        <v>0.41666666666666669</v>
      </c>
      <c r="K634" s="13">
        <v>0.41180555555555554</v>
      </c>
      <c r="L634" s="13">
        <v>0.43125000000000002</v>
      </c>
      <c r="M634">
        <v>30</v>
      </c>
      <c r="N634" s="14">
        <v>120</v>
      </c>
      <c r="O634" t="s">
        <v>195</v>
      </c>
      <c r="P634">
        <v>4</v>
      </c>
      <c r="Q634" t="s">
        <v>318</v>
      </c>
      <c r="R634" t="s">
        <v>1568</v>
      </c>
      <c r="S634">
        <v>0</v>
      </c>
      <c r="T634">
        <v>0</v>
      </c>
      <c r="U634" t="s">
        <v>2299</v>
      </c>
      <c r="V634" t="s">
        <v>2295</v>
      </c>
      <c r="W634" t="s">
        <v>2300</v>
      </c>
      <c r="X634" t="s">
        <v>2288</v>
      </c>
      <c r="Y634" t="s">
        <v>2301</v>
      </c>
      <c r="Z634" t="s">
        <v>2309</v>
      </c>
      <c r="AA634">
        <v>14</v>
      </c>
      <c r="AB634" s="14">
        <v>120</v>
      </c>
      <c r="AC634" t="s">
        <v>2310</v>
      </c>
      <c r="AD634" t="s">
        <v>2311</v>
      </c>
      <c r="AE634" t="s">
        <v>2643</v>
      </c>
      <c r="AF634">
        <v>52</v>
      </c>
      <c r="AG634">
        <v>0</v>
      </c>
      <c r="AH634">
        <v>28</v>
      </c>
      <c r="AI634">
        <v>1</v>
      </c>
      <c r="AJ634">
        <v>1</v>
      </c>
      <c r="AK634">
        <v>0</v>
      </c>
      <c r="AL634">
        <v>1</v>
      </c>
      <c r="AM634" s="14">
        <v>0</v>
      </c>
      <c r="AN634" t="s">
        <v>2644</v>
      </c>
      <c r="AO634" s="12">
        <v>46113</v>
      </c>
      <c r="AP634">
        <v>2026</v>
      </c>
      <c r="AQ634">
        <v>4</v>
      </c>
      <c r="AR634" t="s">
        <v>2651</v>
      </c>
    </row>
    <row r="635" spans="1:44">
      <c r="A635" t="s">
        <v>1814</v>
      </c>
      <c r="B635" s="12">
        <v>46126</v>
      </c>
      <c r="C635" s="12">
        <v>46071</v>
      </c>
      <c r="D635" t="s">
        <v>882</v>
      </c>
      <c r="E635" t="s">
        <v>255</v>
      </c>
      <c r="G635" t="s">
        <v>290</v>
      </c>
      <c r="H635" t="s">
        <v>115</v>
      </c>
      <c r="I635" t="s">
        <v>258</v>
      </c>
      <c r="J635" s="13">
        <v>0.47916666666666669</v>
      </c>
      <c r="K635" s="13">
        <v>0.47430555555555554</v>
      </c>
      <c r="L635" s="13">
        <v>0.49791666666666667</v>
      </c>
      <c r="M635">
        <v>60</v>
      </c>
      <c r="N635" s="14">
        <v>120</v>
      </c>
      <c r="O635" t="s">
        <v>195</v>
      </c>
      <c r="P635">
        <v>4</v>
      </c>
      <c r="Q635" t="s">
        <v>305</v>
      </c>
      <c r="R635" t="s">
        <v>1568</v>
      </c>
      <c r="S635">
        <v>0</v>
      </c>
      <c r="T635">
        <v>1</v>
      </c>
      <c r="U635" t="s">
        <v>2299</v>
      </c>
      <c r="V635" t="s">
        <v>2295</v>
      </c>
      <c r="W635" t="s">
        <v>2300</v>
      </c>
      <c r="X635" t="s">
        <v>2288</v>
      </c>
      <c r="Y635" t="s">
        <v>2301</v>
      </c>
      <c r="AE635" t="s">
        <v>2646</v>
      </c>
      <c r="AF635">
        <v>55</v>
      </c>
      <c r="AH635">
        <v>34</v>
      </c>
      <c r="AI635">
        <v>0</v>
      </c>
      <c r="AJ635">
        <v>1</v>
      </c>
      <c r="AK635">
        <v>0</v>
      </c>
      <c r="AL635">
        <v>1</v>
      </c>
      <c r="AN635" t="s">
        <v>2647</v>
      </c>
      <c r="AO635" s="12">
        <v>46113</v>
      </c>
      <c r="AP635">
        <v>2026</v>
      </c>
      <c r="AQ635">
        <v>4</v>
      </c>
      <c r="AR635" t="s">
        <v>2651</v>
      </c>
    </row>
    <row r="636" spans="1:44">
      <c r="A636" t="s">
        <v>1815</v>
      </c>
      <c r="B636" s="12">
        <v>46119</v>
      </c>
      <c r="C636" s="12">
        <v>46094</v>
      </c>
      <c r="D636" t="s">
        <v>1816</v>
      </c>
      <c r="E636" t="s">
        <v>339</v>
      </c>
      <c r="F636" t="s">
        <v>256</v>
      </c>
      <c r="G636" t="s">
        <v>345</v>
      </c>
      <c r="H636" t="s">
        <v>115</v>
      </c>
      <c r="I636" t="s">
        <v>316</v>
      </c>
      <c r="J636" s="13">
        <v>0.45833333333333331</v>
      </c>
      <c r="K636" s="13">
        <v>0.46666666666666667</v>
      </c>
      <c r="L636" s="13">
        <v>0.47708333333333336</v>
      </c>
      <c r="M636">
        <v>30</v>
      </c>
      <c r="N636" s="14">
        <v>95</v>
      </c>
      <c r="O636" t="s">
        <v>169</v>
      </c>
      <c r="P636">
        <v>5</v>
      </c>
      <c r="Q636" t="s">
        <v>318</v>
      </c>
      <c r="R636" t="s">
        <v>1568</v>
      </c>
      <c r="S636">
        <v>0</v>
      </c>
      <c r="T636">
        <v>0</v>
      </c>
      <c r="U636" t="s">
        <v>2294</v>
      </c>
      <c r="V636" t="s">
        <v>2295</v>
      </c>
      <c r="W636" t="s">
        <v>2296</v>
      </c>
      <c r="X636" t="s">
        <v>2297</v>
      </c>
      <c r="Y636" t="s">
        <v>2298</v>
      </c>
      <c r="Z636" t="s">
        <v>2312</v>
      </c>
      <c r="AA636">
        <v>21</v>
      </c>
      <c r="AB636" s="14">
        <v>95</v>
      </c>
      <c r="AC636" t="s">
        <v>2313</v>
      </c>
      <c r="AD636" t="s">
        <v>2314</v>
      </c>
      <c r="AE636" t="s">
        <v>2643</v>
      </c>
      <c r="AF636">
        <v>25</v>
      </c>
      <c r="AG636">
        <v>0</v>
      </c>
      <c r="AH636">
        <v>15</v>
      </c>
      <c r="AI636">
        <v>1</v>
      </c>
      <c r="AJ636">
        <v>1</v>
      </c>
      <c r="AK636">
        <v>0</v>
      </c>
      <c r="AL636">
        <v>1</v>
      </c>
      <c r="AM636" s="14">
        <v>0</v>
      </c>
      <c r="AN636" t="s">
        <v>2644</v>
      </c>
      <c r="AO636" s="12">
        <v>46113</v>
      </c>
      <c r="AP636">
        <v>2026</v>
      </c>
      <c r="AQ636">
        <v>4</v>
      </c>
      <c r="AR636" t="s">
        <v>2651</v>
      </c>
    </row>
    <row r="637" spans="1:44">
      <c r="A637" t="s">
        <v>1817</v>
      </c>
      <c r="B637" s="12">
        <v>46140</v>
      </c>
      <c r="C637" s="12">
        <v>46122</v>
      </c>
      <c r="D637" t="s">
        <v>1508</v>
      </c>
      <c r="E637" t="s">
        <v>255</v>
      </c>
      <c r="F637" t="s">
        <v>409</v>
      </c>
      <c r="G637" t="s">
        <v>648</v>
      </c>
      <c r="H637" t="s">
        <v>127</v>
      </c>
      <c r="I637" t="s">
        <v>299</v>
      </c>
      <c r="J637" s="13">
        <v>0.45833333333333331</v>
      </c>
      <c r="K637" s="13"/>
      <c r="L637" s="13"/>
      <c r="M637">
        <v>0</v>
      </c>
      <c r="N637" s="14">
        <v>150</v>
      </c>
      <c r="O637" t="s">
        <v>195</v>
      </c>
      <c r="Q637" t="s">
        <v>305</v>
      </c>
      <c r="R637" t="s">
        <v>1568</v>
      </c>
      <c r="S637">
        <v>0</v>
      </c>
      <c r="T637">
        <v>0</v>
      </c>
      <c r="U637" t="s">
        <v>2299</v>
      </c>
      <c r="V637" t="s">
        <v>2295</v>
      </c>
      <c r="W637" t="s">
        <v>2300</v>
      </c>
      <c r="X637" t="s">
        <v>2288</v>
      </c>
      <c r="Y637" t="s">
        <v>2301</v>
      </c>
      <c r="Z637" t="s">
        <v>2318</v>
      </c>
      <c r="AA637">
        <v>28</v>
      </c>
      <c r="AB637" s="14">
        <v>150</v>
      </c>
      <c r="AC637" t="s">
        <v>2319</v>
      </c>
      <c r="AD637" t="s">
        <v>2320</v>
      </c>
      <c r="AE637" t="s">
        <v>2643</v>
      </c>
      <c r="AF637">
        <v>18</v>
      </c>
      <c r="AG637">
        <v>1</v>
      </c>
      <c r="AJ637">
        <v>0</v>
      </c>
      <c r="AL637">
        <v>1</v>
      </c>
      <c r="AM637" s="14">
        <v>0</v>
      </c>
      <c r="AN637" t="s">
        <v>2644</v>
      </c>
      <c r="AO637" s="12">
        <v>46113</v>
      </c>
      <c r="AP637">
        <v>2026</v>
      </c>
      <c r="AQ637">
        <v>4</v>
      </c>
      <c r="AR637" t="s">
        <v>2651</v>
      </c>
    </row>
    <row r="638" spans="1:44">
      <c r="A638" t="s">
        <v>1819</v>
      </c>
      <c r="B638" s="12">
        <v>46170</v>
      </c>
      <c r="C638" s="12">
        <v>46141</v>
      </c>
      <c r="D638" t="s">
        <v>551</v>
      </c>
      <c r="E638" t="s">
        <v>281</v>
      </c>
      <c r="F638" t="s">
        <v>256</v>
      </c>
      <c r="G638" t="s">
        <v>796</v>
      </c>
      <c r="H638" t="s">
        <v>127</v>
      </c>
      <c r="I638" t="s">
        <v>271</v>
      </c>
      <c r="J638" s="13">
        <v>0.60416666666666663</v>
      </c>
      <c r="K638" s="13"/>
      <c r="L638" s="13"/>
      <c r="M638">
        <v>0</v>
      </c>
      <c r="N638" s="14">
        <v>95</v>
      </c>
      <c r="O638" t="s">
        <v>195</v>
      </c>
      <c r="Q638" t="s">
        <v>326</v>
      </c>
      <c r="R638" t="s">
        <v>1821</v>
      </c>
      <c r="S638">
        <v>0</v>
      </c>
      <c r="T638">
        <v>0</v>
      </c>
      <c r="U638" t="s">
        <v>2290</v>
      </c>
      <c r="V638" t="s">
        <v>2291</v>
      </c>
      <c r="W638" t="s">
        <v>2292</v>
      </c>
      <c r="X638" t="s">
        <v>2288</v>
      </c>
      <c r="Y638" t="s">
        <v>2293</v>
      </c>
      <c r="Z638" t="s">
        <v>2312</v>
      </c>
      <c r="AA638">
        <v>21</v>
      </c>
      <c r="AB638" s="14">
        <v>95</v>
      </c>
      <c r="AC638" t="s">
        <v>2313</v>
      </c>
      <c r="AD638" t="s">
        <v>2314</v>
      </c>
      <c r="AE638" t="s">
        <v>2643</v>
      </c>
      <c r="AF638">
        <v>29</v>
      </c>
      <c r="AG638">
        <v>0</v>
      </c>
      <c r="AJ638">
        <v>0</v>
      </c>
      <c r="AL638">
        <v>1</v>
      </c>
      <c r="AM638" s="14">
        <v>0</v>
      </c>
      <c r="AN638" t="s">
        <v>2644</v>
      </c>
      <c r="AO638" s="12">
        <v>46143</v>
      </c>
      <c r="AP638">
        <v>2026</v>
      </c>
      <c r="AQ638">
        <v>5</v>
      </c>
      <c r="AR638" t="s">
        <v>2652</v>
      </c>
    </row>
    <row r="639" spans="1:44">
      <c r="A639" t="s">
        <v>1822</v>
      </c>
      <c r="B639" s="12">
        <v>46147</v>
      </c>
      <c r="C639" s="12">
        <v>46111</v>
      </c>
      <c r="D639" t="s">
        <v>1179</v>
      </c>
      <c r="E639" t="s">
        <v>339</v>
      </c>
      <c r="F639" t="s">
        <v>256</v>
      </c>
      <c r="G639" t="s">
        <v>345</v>
      </c>
      <c r="H639" t="s">
        <v>115</v>
      </c>
      <c r="I639" t="s">
        <v>316</v>
      </c>
      <c r="J639" s="13">
        <v>0.58333333333333337</v>
      </c>
      <c r="K639" s="13">
        <v>0.57986111111111116</v>
      </c>
      <c r="L639" s="13">
        <v>0.59375</v>
      </c>
      <c r="M639">
        <v>20</v>
      </c>
      <c r="N639" s="14">
        <v>95</v>
      </c>
      <c r="O639" t="s">
        <v>195</v>
      </c>
      <c r="P639">
        <v>5</v>
      </c>
      <c r="Q639" t="s">
        <v>326</v>
      </c>
      <c r="R639" t="s">
        <v>1821</v>
      </c>
      <c r="S639">
        <v>0</v>
      </c>
      <c r="T639">
        <v>0</v>
      </c>
      <c r="U639" t="s">
        <v>2294</v>
      </c>
      <c r="V639" t="s">
        <v>2295</v>
      </c>
      <c r="W639" t="s">
        <v>2296</v>
      </c>
      <c r="X639" t="s">
        <v>2297</v>
      </c>
      <c r="Y639" t="s">
        <v>2298</v>
      </c>
      <c r="Z639" t="s">
        <v>2312</v>
      </c>
      <c r="AA639">
        <v>21</v>
      </c>
      <c r="AB639" s="14">
        <v>95</v>
      </c>
      <c r="AC639" t="s">
        <v>2313</v>
      </c>
      <c r="AD639" t="s">
        <v>2314</v>
      </c>
      <c r="AE639" t="s">
        <v>2643</v>
      </c>
      <c r="AF639">
        <v>36</v>
      </c>
      <c r="AG639">
        <v>0</v>
      </c>
      <c r="AH639">
        <v>20</v>
      </c>
      <c r="AI639">
        <v>1</v>
      </c>
      <c r="AJ639">
        <v>1</v>
      </c>
      <c r="AK639">
        <v>0</v>
      </c>
      <c r="AL639">
        <v>1</v>
      </c>
      <c r="AM639" s="14">
        <v>0</v>
      </c>
      <c r="AN639" t="s">
        <v>2644</v>
      </c>
      <c r="AO639" s="12">
        <v>46143</v>
      </c>
      <c r="AP639">
        <v>2026</v>
      </c>
      <c r="AQ639">
        <v>5</v>
      </c>
      <c r="AR639" t="s">
        <v>2652</v>
      </c>
    </row>
    <row r="640" spans="1:44">
      <c r="A640" t="s">
        <v>1824</v>
      </c>
      <c r="B640" s="12">
        <v>46154</v>
      </c>
      <c r="C640" s="12">
        <v>46150</v>
      </c>
      <c r="D640" t="s">
        <v>1344</v>
      </c>
      <c r="E640" t="s">
        <v>268</v>
      </c>
      <c r="F640" t="s">
        <v>269</v>
      </c>
      <c r="G640" t="s">
        <v>435</v>
      </c>
      <c r="H640" t="s">
        <v>115</v>
      </c>
      <c r="I640" t="s">
        <v>258</v>
      </c>
      <c r="J640" s="13">
        <v>0.39583333333333331</v>
      </c>
      <c r="K640" s="13">
        <v>0.39027777777777778</v>
      </c>
      <c r="L640" s="13">
        <v>0.41111111111111109</v>
      </c>
      <c r="M640">
        <v>60</v>
      </c>
      <c r="N640" s="14">
        <v>80</v>
      </c>
      <c r="O640" t="s">
        <v>169</v>
      </c>
      <c r="P640">
        <v>3</v>
      </c>
      <c r="Q640" t="s">
        <v>318</v>
      </c>
      <c r="R640" t="s">
        <v>1821</v>
      </c>
      <c r="S640">
        <v>0</v>
      </c>
      <c r="T640">
        <v>0</v>
      </c>
      <c r="U640" t="s">
        <v>2285</v>
      </c>
      <c r="V640" t="s">
        <v>2286</v>
      </c>
      <c r="W640" t="s">
        <v>2287</v>
      </c>
      <c r="X640" t="s">
        <v>2288</v>
      </c>
      <c r="Y640" t="s">
        <v>2289</v>
      </c>
      <c r="Z640" t="s">
        <v>2315</v>
      </c>
      <c r="AA640">
        <v>10</v>
      </c>
      <c r="AB640" s="14">
        <v>80</v>
      </c>
      <c r="AC640" t="s">
        <v>2316</v>
      </c>
      <c r="AD640" t="s">
        <v>2317</v>
      </c>
      <c r="AE640" t="s">
        <v>2643</v>
      </c>
      <c r="AF640">
        <v>4</v>
      </c>
      <c r="AG640">
        <v>1</v>
      </c>
      <c r="AH640">
        <v>30</v>
      </c>
      <c r="AI640">
        <v>1</v>
      </c>
      <c r="AJ640">
        <v>1</v>
      </c>
      <c r="AK640">
        <v>0</v>
      </c>
      <c r="AL640">
        <v>1</v>
      </c>
      <c r="AM640" s="14">
        <v>0</v>
      </c>
      <c r="AN640" t="s">
        <v>2644</v>
      </c>
      <c r="AO640" s="12">
        <v>46143</v>
      </c>
      <c r="AP640">
        <v>2026</v>
      </c>
      <c r="AQ640">
        <v>5</v>
      </c>
      <c r="AR640" t="s">
        <v>2652</v>
      </c>
    </row>
    <row r="641" spans="1:44">
      <c r="A641" t="s">
        <v>1827</v>
      </c>
      <c r="B641" s="12">
        <v>46144</v>
      </c>
      <c r="C641" s="12">
        <v>46115</v>
      </c>
      <c r="D641" t="s">
        <v>946</v>
      </c>
      <c r="E641" t="s">
        <v>268</v>
      </c>
      <c r="F641" t="s">
        <v>297</v>
      </c>
      <c r="G641" t="s">
        <v>583</v>
      </c>
      <c r="H641" t="s">
        <v>115</v>
      </c>
      <c r="I641" t="s">
        <v>299</v>
      </c>
      <c r="J641" s="13">
        <v>0.5</v>
      </c>
      <c r="K641" s="13">
        <v>0.50069444444444444</v>
      </c>
      <c r="L641" s="13">
        <v>0.50416666666666665</v>
      </c>
      <c r="M641">
        <v>30</v>
      </c>
      <c r="N641" s="14">
        <v>65</v>
      </c>
      <c r="O641" t="s">
        <v>195</v>
      </c>
      <c r="P641">
        <v>2</v>
      </c>
      <c r="Q641" t="s">
        <v>262</v>
      </c>
      <c r="R641" t="s">
        <v>1821</v>
      </c>
      <c r="S641">
        <v>0</v>
      </c>
      <c r="T641">
        <v>0</v>
      </c>
      <c r="U641" t="s">
        <v>2285</v>
      </c>
      <c r="V641" t="s">
        <v>2286</v>
      </c>
      <c r="W641" t="s">
        <v>2287</v>
      </c>
      <c r="X641" t="s">
        <v>2288</v>
      </c>
      <c r="Y641" t="s">
        <v>2289</v>
      </c>
      <c r="Z641" t="s">
        <v>2306</v>
      </c>
      <c r="AA641">
        <v>7</v>
      </c>
      <c r="AB641" s="14">
        <v>65</v>
      </c>
      <c r="AC641" t="s">
        <v>2307</v>
      </c>
      <c r="AD641" t="s">
        <v>2308</v>
      </c>
      <c r="AE641" t="s">
        <v>2643</v>
      </c>
      <c r="AF641">
        <v>29</v>
      </c>
      <c r="AG641">
        <v>0</v>
      </c>
      <c r="AH641">
        <v>5</v>
      </c>
      <c r="AI641">
        <v>1</v>
      </c>
      <c r="AJ641">
        <v>1</v>
      </c>
      <c r="AK641">
        <v>0</v>
      </c>
      <c r="AL641">
        <v>1</v>
      </c>
      <c r="AM641" s="14">
        <v>0</v>
      </c>
      <c r="AN641" t="s">
        <v>2644</v>
      </c>
      <c r="AO641" s="12">
        <v>46143</v>
      </c>
      <c r="AP641">
        <v>2026</v>
      </c>
      <c r="AQ641">
        <v>5</v>
      </c>
      <c r="AR641" t="s">
        <v>2652</v>
      </c>
    </row>
    <row r="642" spans="1:44">
      <c r="A642" t="s">
        <v>1831</v>
      </c>
      <c r="B642" s="12">
        <v>46166</v>
      </c>
      <c r="C642" s="12">
        <v>46154</v>
      </c>
      <c r="D642" t="s">
        <v>468</v>
      </c>
      <c r="E642" t="s">
        <v>339</v>
      </c>
      <c r="F642" t="s">
        <v>297</v>
      </c>
      <c r="G642" t="s">
        <v>569</v>
      </c>
      <c r="H642" t="s">
        <v>115</v>
      </c>
      <c r="I642" t="s">
        <v>258</v>
      </c>
      <c r="J642" s="13">
        <v>0.41666666666666669</v>
      </c>
      <c r="K642" s="13">
        <v>0.4152777777777778</v>
      </c>
      <c r="L642" s="13">
        <v>0.42291666666666666</v>
      </c>
      <c r="M642">
        <v>45</v>
      </c>
      <c r="N642" s="14">
        <v>65</v>
      </c>
      <c r="O642" t="s">
        <v>169</v>
      </c>
      <c r="P642">
        <v>4</v>
      </c>
      <c r="Q642" t="s">
        <v>305</v>
      </c>
      <c r="R642" t="s">
        <v>1821</v>
      </c>
      <c r="S642">
        <v>0</v>
      </c>
      <c r="T642">
        <v>0</v>
      </c>
      <c r="U642" t="s">
        <v>2294</v>
      </c>
      <c r="V642" t="s">
        <v>2295</v>
      </c>
      <c r="W642" t="s">
        <v>2296</v>
      </c>
      <c r="X642" t="s">
        <v>2297</v>
      </c>
      <c r="Y642" t="s">
        <v>2298</v>
      </c>
      <c r="Z642" t="s">
        <v>2306</v>
      </c>
      <c r="AA642">
        <v>7</v>
      </c>
      <c r="AB642" s="14">
        <v>65</v>
      </c>
      <c r="AC642" t="s">
        <v>2307</v>
      </c>
      <c r="AD642" t="s">
        <v>2308</v>
      </c>
      <c r="AE642" t="s">
        <v>2643</v>
      </c>
      <c r="AF642">
        <v>12</v>
      </c>
      <c r="AG642">
        <v>0</v>
      </c>
      <c r="AH642">
        <v>11</v>
      </c>
      <c r="AI642">
        <v>1</v>
      </c>
      <c r="AJ642">
        <v>1</v>
      </c>
      <c r="AK642">
        <v>0</v>
      </c>
      <c r="AL642">
        <v>1</v>
      </c>
      <c r="AM642" s="14">
        <v>0</v>
      </c>
      <c r="AN642" t="s">
        <v>2644</v>
      </c>
      <c r="AO642" s="12">
        <v>46143</v>
      </c>
      <c r="AP642">
        <v>2026</v>
      </c>
      <c r="AQ642">
        <v>5</v>
      </c>
      <c r="AR642" t="s">
        <v>2652</v>
      </c>
    </row>
    <row r="643" spans="1:44">
      <c r="A643" t="s">
        <v>1833</v>
      </c>
      <c r="B643" s="12">
        <v>46155</v>
      </c>
      <c r="C643" s="12">
        <v>46154</v>
      </c>
      <c r="D643" t="s">
        <v>1246</v>
      </c>
      <c r="E643" t="s">
        <v>339</v>
      </c>
      <c r="F643" t="s">
        <v>282</v>
      </c>
      <c r="G643" t="s">
        <v>564</v>
      </c>
      <c r="H643" t="s">
        <v>122</v>
      </c>
      <c r="I643" t="s">
        <v>258</v>
      </c>
      <c r="J643" s="13">
        <v>0.66666666666666663</v>
      </c>
      <c r="K643" s="13"/>
      <c r="L643" s="13"/>
      <c r="M643">
        <v>0</v>
      </c>
      <c r="N643" s="14">
        <v>120</v>
      </c>
      <c r="O643" t="s">
        <v>195</v>
      </c>
      <c r="Q643" t="s">
        <v>305</v>
      </c>
      <c r="R643" t="s">
        <v>1821</v>
      </c>
      <c r="S643">
        <v>0</v>
      </c>
      <c r="T643">
        <v>0</v>
      </c>
      <c r="U643" t="s">
        <v>2294</v>
      </c>
      <c r="V643" t="s">
        <v>2295</v>
      </c>
      <c r="W643" t="s">
        <v>2296</v>
      </c>
      <c r="X643" t="s">
        <v>2297</v>
      </c>
      <c r="Y643" t="s">
        <v>2298</v>
      </c>
      <c r="Z643" t="s">
        <v>2309</v>
      </c>
      <c r="AA643">
        <v>14</v>
      </c>
      <c r="AB643" s="14">
        <v>120</v>
      </c>
      <c r="AC643" t="s">
        <v>2310</v>
      </c>
      <c r="AD643" t="s">
        <v>2311</v>
      </c>
      <c r="AE643" t="s">
        <v>2643</v>
      </c>
      <c r="AF643">
        <v>1</v>
      </c>
      <c r="AG643">
        <v>1</v>
      </c>
      <c r="AJ643">
        <v>1</v>
      </c>
      <c r="AK643">
        <v>1</v>
      </c>
      <c r="AL643">
        <v>1</v>
      </c>
      <c r="AM643" s="14">
        <v>0</v>
      </c>
      <c r="AN643" t="s">
        <v>2644</v>
      </c>
      <c r="AO643" s="12">
        <v>46143</v>
      </c>
      <c r="AP643">
        <v>2026</v>
      </c>
      <c r="AQ643">
        <v>5</v>
      </c>
      <c r="AR643" t="s">
        <v>2652</v>
      </c>
    </row>
    <row r="644" spans="1:44">
      <c r="A644" t="s">
        <v>1835</v>
      </c>
      <c r="B644" s="12">
        <v>46144</v>
      </c>
      <c r="C644" s="12">
        <v>46106</v>
      </c>
      <c r="D644" t="s">
        <v>1055</v>
      </c>
      <c r="E644" t="s">
        <v>339</v>
      </c>
      <c r="F644" t="s">
        <v>409</v>
      </c>
      <c r="G644" t="s">
        <v>476</v>
      </c>
      <c r="H644" t="s">
        <v>115</v>
      </c>
      <c r="I644" t="s">
        <v>316</v>
      </c>
      <c r="J644" s="13">
        <v>0.5625</v>
      </c>
      <c r="K644" s="13">
        <v>0.56388888888888888</v>
      </c>
      <c r="L644" s="13">
        <v>0.56597222222222221</v>
      </c>
      <c r="M644">
        <v>30</v>
      </c>
      <c r="N644" s="14">
        <v>150</v>
      </c>
      <c r="O644" t="s">
        <v>195</v>
      </c>
      <c r="P644">
        <v>2</v>
      </c>
      <c r="Q644" t="s">
        <v>305</v>
      </c>
      <c r="R644" t="s">
        <v>1821</v>
      </c>
      <c r="S644">
        <v>0</v>
      </c>
      <c r="T644">
        <v>0</v>
      </c>
      <c r="U644" t="s">
        <v>2294</v>
      </c>
      <c r="V644" t="s">
        <v>2295</v>
      </c>
      <c r="W644" t="s">
        <v>2296</v>
      </c>
      <c r="X644" t="s">
        <v>2297</v>
      </c>
      <c r="Y644" t="s">
        <v>2298</v>
      </c>
      <c r="Z644" t="s">
        <v>2318</v>
      </c>
      <c r="AA644">
        <v>28</v>
      </c>
      <c r="AB644" s="14">
        <v>150</v>
      </c>
      <c r="AC644" t="s">
        <v>2319</v>
      </c>
      <c r="AD644" t="s">
        <v>2320</v>
      </c>
      <c r="AE644" t="s">
        <v>2643</v>
      </c>
      <c r="AF644">
        <v>38</v>
      </c>
      <c r="AG644">
        <v>0</v>
      </c>
      <c r="AH644">
        <v>3</v>
      </c>
      <c r="AI644">
        <v>1</v>
      </c>
      <c r="AJ644">
        <v>1</v>
      </c>
      <c r="AK644">
        <v>0</v>
      </c>
      <c r="AL644">
        <v>1</v>
      </c>
      <c r="AM644" s="14">
        <v>0</v>
      </c>
      <c r="AN644" t="s">
        <v>2644</v>
      </c>
      <c r="AO644" s="12">
        <v>46143</v>
      </c>
      <c r="AP644">
        <v>2026</v>
      </c>
      <c r="AQ644">
        <v>5</v>
      </c>
      <c r="AR644" t="s">
        <v>2652</v>
      </c>
    </row>
    <row r="645" spans="1:44">
      <c r="A645" t="s">
        <v>1836</v>
      </c>
      <c r="B645" s="12">
        <v>46157</v>
      </c>
      <c r="C645" s="12">
        <v>46114</v>
      </c>
      <c r="D645" t="s">
        <v>882</v>
      </c>
      <c r="E645" t="s">
        <v>255</v>
      </c>
      <c r="F645" t="s">
        <v>282</v>
      </c>
      <c r="G645" t="s">
        <v>290</v>
      </c>
      <c r="H645" t="s">
        <v>115</v>
      </c>
      <c r="I645" t="s">
        <v>316</v>
      </c>
      <c r="J645" s="13">
        <v>0.58333333333333337</v>
      </c>
      <c r="K645" s="13">
        <v>0.57708333333333328</v>
      </c>
      <c r="L645" s="13">
        <v>0.61111111111111116</v>
      </c>
      <c r="M645">
        <v>45</v>
      </c>
      <c r="N645" s="14">
        <v>120</v>
      </c>
      <c r="O645" t="s">
        <v>169</v>
      </c>
      <c r="P645">
        <v>3</v>
      </c>
      <c r="Q645" t="s">
        <v>285</v>
      </c>
      <c r="R645" t="s">
        <v>1821</v>
      </c>
      <c r="S645">
        <v>0</v>
      </c>
      <c r="T645">
        <v>0</v>
      </c>
      <c r="U645" t="s">
        <v>2299</v>
      </c>
      <c r="V645" t="s">
        <v>2295</v>
      </c>
      <c r="W645" t="s">
        <v>2300</v>
      </c>
      <c r="X645" t="s">
        <v>2288</v>
      </c>
      <c r="Y645" t="s">
        <v>2301</v>
      </c>
      <c r="Z645" t="s">
        <v>2309</v>
      </c>
      <c r="AA645">
        <v>14</v>
      </c>
      <c r="AB645" s="14">
        <v>120</v>
      </c>
      <c r="AC645" t="s">
        <v>2310</v>
      </c>
      <c r="AD645" t="s">
        <v>2311</v>
      </c>
      <c r="AE645" t="s">
        <v>2643</v>
      </c>
      <c r="AF645">
        <v>43</v>
      </c>
      <c r="AG645">
        <v>0</v>
      </c>
      <c r="AH645">
        <v>49</v>
      </c>
      <c r="AI645">
        <v>0</v>
      </c>
      <c r="AJ645">
        <v>1</v>
      </c>
      <c r="AK645">
        <v>0</v>
      </c>
      <c r="AL645">
        <v>1</v>
      </c>
      <c r="AM645" s="14">
        <v>0</v>
      </c>
      <c r="AN645" t="s">
        <v>2644</v>
      </c>
      <c r="AO645" s="12">
        <v>46143</v>
      </c>
      <c r="AP645">
        <v>2026</v>
      </c>
      <c r="AQ645">
        <v>5</v>
      </c>
      <c r="AR645" t="s">
        <v>2652</v>
      </c>
    </row>
    <row r="646" spans="1:44">
      <c r="A646" t="s">
        <v>1838</v>
      </c>
      <c r="B646" s="12">
        <v>46158</v>
      </c>
      <c r="C646" s="12">
        <v>46155</v>
      </c>
      <c r="D646" t="s">
        <v>594</v>
      </c>
      <c r="E646" t="s">
        <v>255</v>
      </c>
      <c r="F646" t="s">
        <v>269</v>
      </c>
      <c r="G646" t="s">
        <v>391</v>
      </c>
      <c r="H646" t="s">
        <v>127</v>
      </c>
      <c r="I646" t="s">
        <v>258</v>
      </c>
      <c r="J646" s="13">
        <v>0.625</v>
      </c>
      <c r="K646" s="13"/>
      <c r="L646" s="13"/>
      <c r="M646">
        <v>0</v>
      </c>
      <c r="N646" s="14">
        <v>80</v>
      </c>
      <c r="O646" t="s">
        <v>195</v>
      </c>
      <c r="Q646" t="s">
        <v>318</v>
      </c>
      <c r="R646" t="s">
        <v>1821</v>
      </c>
      <c r="S646">
        <v>0</v>
      </c>
      <c r="T646">
        <v>0</v>
      </c>
      <c r="U646" t="s">
        <v>2299</v>
      </c>
      <c r="V646" t="s">
        <v>2295</v>
      </c>
      <c r="W646" t="s">
        <v>2300</v>
      </c>
      <c r="X646" t="s">
        <v>2288</v>
      </c>
      <c r="Y646" t="s">
        <v>2301</v>
      </c>
      <c r="Z646" t="s">
        <v>2315</v>
      </c>
      <c r="AA646">
        <v>10</v>
      </c>
      <c r="AB646" s="14">
        <v>80</v>
      </c>
      <c r="AC646" t="s">
        <v>2316</v>
      </c>
      <c r="AD646" t="s">
        <v>2317</v>
      </c>
      <c r="AE646" t="s">
        <v>2643</v>
      </c>
      <c r="AF646">
        <v>3</v>
      </c>
      <c r="AG646">
        <v>1</v>
      </c>
      <c r="AJ646">
        <v>0</v>
      </c>
      <c r="AL646">
        <v>1</v>
      </c>
      <c r="AM646" s="14">
        <v>0</v>
      </c>
      <c r="AN646" t="s">
        <v>2644</v>
      </c>
      <c r="AO646" s="12">
        <v>46143</v>
      </c>
      <c r="AP646">
        <v>2026</v>
      </c>
      <c r="AQ646">
        <v>5</v>
      </c>
      <c r="AR646" t="s">
        <v>2652</v>
      </c>
    </row>
    <row r="647" spans="1:44">
      <c r="A647" t="s">
        <v>1840</v>
      </c>
      <c r="B647" s="12">
        <v>46165</v>
      </c>
      <c r="C647" s="12">
        <v>46114</v>
      </c>
      <c r="D647" t="s">
        <v>468</v>
      </c>
      <c r="E647" t="s">
        <v>255</v>
      </c>
      <c r="F647" t="s">
        <v>256</v>
      </c>
      <c r="G647" t="s">
        <v>257</v>
      </c>
      <c r="H647" t="s">
        <v>115</v>
      </c>
      <c r="I647" t="s">
        <v>316</v>
      </c>
      <c r="J647" s="13">
        <v>0.66666666666666663</v>
      </c>
      <c r="K647" s="13">
        <v>0.6791666666666667</v>
      </c>
      <c r="L647" s="13">
        <v>0.6743055555555556</v>
      </c>
      <c r="M647">
        <v>30</v>
      </c>
      <c r="N647" s="14">
        <v>95</v>
      </c>
      <c r="O647" t="s">
        <v>169</v>
      </c>
      <c r="P647">
        <v>5</v>
      </c>
      <c r="Q647" t="s">
        <v>285</v>
      </c>
      <c r="R647" t="s">
        <v>1821</v>
      </c>
      <c r="S647">
        <v>0</v>
      </c>
      <c r="T647">
        <v>0</v>
      </c>
      <c r="U647" t="s">
        <v>2299</v>
      </c>
      <c r="V647" t="s">
        <v>2295</v>
      </c>
      <c r="W647" t="s">
        <v>2300</v>
      </c>
      <c r="X647" t="s">
        <v>2288</v>
      </c>
      <c r="Y647" t="s">
        <v>2301</v>
      </c>
      <c r="Z647" t="s">
        <v>2312</v>
      </c>
      <c r="AA647">
        <v>21</v>
      </c>
      <c r="AB647" s="14">
        <v>95</v>
      </c>
      <c r="AC647" t="s">
        <v>2313</v>
      </c>
      <c r="AD647" t="s">
        <v>2314</v>
      </c>
      <c r="AE647" t="s">
        <v>2643</v>
      </c>
      <c r="AF647">
        <v>51</v>
      </c>
      <c r="AG647">
        <v>0</v>
      </c>
      <c r="AJ647">
        <v>1</v>
      </c>
      <c r="AK647">
        <v>0</v>
      </c>
      <c r="AL647">
        <v>1</v>
      </c>
      <c r="AM647" s="14">
        <v>0</v>
      </c>
      <c r="AN647" t="s">
        <v>2644</v>
      </c>
      <c r="AO647" s="12">
        <v>46143</v>
      </c>
      <c r="AP647">
        <v>2026</v>
      </c>
      <c r="AQ647">
        <v>5</v>
      </c>
      <c r="AR647" t="s">
        <v>2652</v>
      </c>
    </row>
    <row r="648" spans="1:44">
      <c r="A648" t="s">
        <v>1842</v>
      </c>
      <c r="B648" s="12">
        <v>46145</v>
      </c>
      <c r="C648" s="12">
        <v>46136</v>
      </c>
      <c r="D648" t="s">
        <v>642</v>
      </c>
      <c r="E648" t="s">
        <v>339</v>
      </c>
      <c r="F648" t="s">
        <v>297</v>
      </c>
      <c r="G648" t="s">
        <v>780</v>
      </c>
      <c r="H648" t="s">
        <v>115</v>
      </c>
      <c r="I648" t="s">
        <v>299</v>
      </c>
      <c r="J648" s="13">
        <v>0.60416666666666663</v>
      </c>
      <c r="K648" s="13">
        <v>0.61458333333333337</v>
      </c>
      <c r="L648" s="13">
        <v>0.61111111111111116</v>
      </c>
      <c r="M648">
        <v>60</v>
      </c>
      <c r="N648" s="14">
        <v>65</v>
      </c>
      <c r="O648" t="s">
        <v>195</v>
      </c>
      <c r="P648">
        <v>5</v>
      </c>
      <c r="Q648" t="s">
        <v>318</v>
      </c>
      <c r="R648" t="s">
        <v>1821</v>
      </c>
      <c r="S648">
        <v>0</v>
      </c>
      <c r="T648">
        <v>0</v>
      </c>
      <c r="U648" t="s">
        <v>2294</v>
      </c>
      <c r="V648" t="s">
        <v>2295</v>
      </c>
      <c r="W648" t="s">
        <v>2296</v>
      </c>
      <c r="X648" t="s">
        <v>2297</v>
      </c>
      <c r="Y648" t="s">
        <v>2298</v>
      </c>
      <c r="Z648" t="s">
        <v>2306</v>
      </c>
      <c r="AA648">
        <v>7</v>
      </c>
      <c r="AB648" s="14">
        <v>65</v>
      </c>
      <c r="AC648" t="s">
        <v>2307</v>
      </c>
      <c r="AD648" t="s">
        <v>2308</v>
      </c>
      <c r="AE648" t="s">
        <v>2643</v>
      </c>
      <c r="AF648">
        <v>9</v>
      </c>
      <c r="AG648">
        <v>0</v>
      </c>
      <c r="AJ648">
        <v>1</v>
      </c>
      <c r="AK648">
        <v>0</v>
      </c>
      <c r="AL648">
        <v>1</v>
      </c>
      <c r="AM648" s="14">
        <v>0</v>
      </c>
      <c r="AN648" t="s">
        <v>2644</v>
      </c>
      <c r="AO648" s="12">
        <v>46143</v>
      </c>
      <c r="AP648">
        <v>2026</v>
      </c>
      <c r="AQ648">
        <v>5</v>
      </c>
      <c r="AR648" t="s">
        <v>2652</v>
      </c>
    </row>
    <row r="649" spans="1:44">
      <c r="A649" t="s">
        <v>1845</v>
      </c>
      <c r="B649" s="12">
        <v>46166</v>
      </c>
      <c r="C649" s="12">
        <v>46131</v>
      </c>
      <c r="D649" t="s">
        <v>1846</v>
      </c>
      <c r="E649" t="s">
        <v>281</v>
      </c>
      <c r="F649" t="s">
        <v>409</v>
      </c>
      <c r="G649" t="s">
        <v>535</v>
      </c>
      <c r="H649" t="s">
        <v>115</v>
      </c>
      <c r="I649" t="s">
        <v>258</v>
      </c>
      <c r="J649" s="13">
        <v>0.5625</v>
      </c>
      <c r="K649" s="13">
        <v>0.55555555555555558</v>
      </c>
      <c r="L649" s="13">
        <v>0.58263888888888893</v>
      </c>
      <c r="M649">
        <v>60</v>
      </c>
      <c r="N649" s="14">
        <v>150</v>
      </c>
      <c r="O649" t="s">
        <v>195</v>
      </c>
      <c r="P649">
        <v>5</v>
      </c>
      <c r="Q649" t="s">
        <v>262</v>
      </c>
      <c r="R649" t="s">
        <v>1821</v>
      </c>
      <c r="S649">
        <v>0</v>
      </c>
      <c r="T649">
        <v>0</v>
      </c>
      <c r="U649" t="s">
        <v>2290</v>
      </c>
      <c r="V649" t="s">
        <v>2291</v>
      </c>
      <c r="W649" t="s">
        <v>2292</v>
      </c>
      <c r="X649" t="s">
        <v>2288</v>
      </c>
      <c r="Y649" t="s">
        <v>2293</v>
      </c>
      <c r="Z649" t="s">
        <v>2318</v>
      </c>
      <c r="AA649">
        <v>28</v>
      </c>
      <c r="AB649" s="14">
        <v>150</v>
      </c>
      <c r="AC649" t="s">
        <v>2319</v>
      </c>
      <c r="AD649" t="s">
        <v>2320</v>
      </c>
      <c r="AE649" t="s">
        <v>2643</v>
      </c>
      <c r="AF649">
        <v>35</v>
      </c>
      <c r="AG649">
        <v>0</v>
      </c>
      <c r="AH649">
        <v>39</v>
      </c>
      <c r="AI649">
        <v>0</v>
      </c>
      <c r="AJ649">
        <v>1</v>
      </c>
      <c r="AK649">
        <v>0</v>
      </c>
      <c r="AL649">
        <v>1</v>
      </c>
      <c r="AM649" s="14">
        <v>0</v>
      </c>
      <c r="AN649" t="s">
        <v>2644</v>
      </c>
      <c r="AO649" s="12">
        <v>46143</v>
      </c>
      <c r="AP649">
        <v>2026</v>
      </c>
      <c r="AQ649">
        <v>5</v>
      </c>
      <c r="AR649" t="s">
        <v>2652</v>
      </c>
    </row>
    <row r="650" spans="1:44">
      <c r="A650" t="s">
        <v>1847</v>
      </c>
      <c r="B650" s="12">
        <v>46157</v>
      </c>
      <c r="C650" s="12">
        <v>46115</v>
      </c>
      <c r="D650" t="s">
        <v>1410</v>
      </c>
      <c r="E650" t="s">
        <v>281</v>
      </c>
      <c r="F650" t="s">
        <v>282</v>
      </c>
      <c r="G650" t="s">
        <v>283</v>
      </c>
      <c r="H650" t="s">
        <v>115</v>
      </c>
      <c r="I650" t="s">
        <v>299</v>
      </c>
      <c r="J650" s="13">
        <v>0.5625</v>
      </c>
      <c r="K650" s="13">
        <v>0.57291666666666663</v>
      </c>
      <c r="L650" s="13">
        <v>0.56805555555555554</v>
      </c>
      <c r="M650">
        <v>20</v>
      </c>
      <c r="N650" s="14">
        <v>120</v>
      </c>
      <c r="O650" t="s">
        <v>169</v>
      </c>
      <c r="P650">
        <v>3</v>
      </c>
      <c r="Q650" t="s">
        <v>285</v>
      </c>
      <c r="R650" t="s">
        <v>1821</v>
      </c>
      <c r="S650">
        <v>0</v>
      </c>
      <c r="T650">
        <v>0</v>
      </c>
      <c r="U650" t="s">
        <v>2290</v>
      </c>
      <c r="V650" t="s">
        <v>2291</v>
      </c>
      <c r="W650" t="s">
        <v>2292</v>
      </c>
      <c r="X650" t="s">
        <v>2288</v>
      </c>
      <c r="Y650" t="s">
        <v>2293</v>
      </c>
      <c r="Z650" t="s">
        <v>2309</v>
      </c>
      <c r="AA650">
        <v>14</v>
      </c>
      <c r="AB650" s="14">
        <v>120</v>
      </c>
      <c r="AC650" t="s">
        <v>2310</v>
      </c>
      <c r="AD650" t="s">
        <v>2311</v>
      </c>
      <c r="AE650" t="s">
        <v>2643</v>
      </c>
      <c r="AF650">
        <v>42</v>
      </c>
      <c r="AG650">
        <v>0</v>
      </c>
      <c r="AJ650">
        <v>1</v>
      </c>
      <c r="AK650">
        <v>0</v>
      </c>
      <c r="AL650">
        <v>1</v>
      </c>
      <c r="AM650" s="14">
        <v>0</v>
      </c>
      <c r="AN650" t="s">
        <v>2644</v>
      </c>
      <c r="AO650" s="12">
        <v>46143</v>
      </c>
      <c r="AP650">
        <v>2026</v>
      </c>
      <c r="AQ650">
        <v>5</v>
      </c>
      <c r="AR650" t="s">
        <v>2652</v>
      </c>
    </row>
    <row r="651" spans="1:44">
      <c r="A651" t="s">
        <v>1848</v>
      </c>
      <c r="B651" s="12">
        <v>46156</v>
      </c>
      <c r="C651" s="12">
        <v>46132</v>
      </c>
      <c r="D651" t="s">
        <v>930</v>
      </c>
      <c r="E651" t="s">
        <v>255</v>
      </c>
      <c r="F651" t="s">
        <v>256</v>
      </c>
      <c r="G651" t="s">
        <v>398</v>
      </c>
      <c r="H651" t="s">
        <v>115</v>
      </c>
      <c r="I651" t="s">
        <v>271</v>
      </c>
      <c r="J651" s="13">
        <v>0.375</v>
      </c>
      <c r="K651" s="13">
        <v>0.38541666666666669</v>
      </c>
      <c r="L651" s="13">
        <v>0.39444444444444443</v>
      </c>
      <c r="M651">
        <v>30</v>
      </c>
      <c r="N651" s="14">
        <v>95</v>
      </c>
      <c r="O651" t="s">
        <v>195</v>
      </c>
      <c r="P651">
        <v>5</v>
      </c>
      <c r="Q651" t="s">
        <v>318</v>
      </c>
      <c r="R651" t="s">
        <v>1821</v>
      </c>
      <c r="S651">
        <v>0</v>
      </c>
      <c r="T651">
        <v>0</v>
      </c>
      <c r="U651" t="s">
        <v>2299</v>
      </c>
      <c r="V651" t="s">
        <v>2295</v>
      </c>
      <c r="W651" t="s">
        <v>2300</v>
      </c>
      <c r="X651" t="s">
        <v>2288</v>
      </c>
      <c r="Y651" t="s">
        <v>2301</v>
      </c>
      <c r="Z651" t="s">
        <v>2312</v>
      </c>
      <c r="AA651">
        <v>21</v>
      </c>
      <c r="AB651" s="14">
        <v>95</v>
      </c>
      <c r="AC651" t="s">
        <v>2313</v>
      </c>
      <c r="AD651" t="s">
        <v>2314</v>
      </c>
      <c r="AE651" t="s">
        <v>2643</v>
      </c>
      <c r="AF651">
        <v>24</v>
      </c>
      <c r="AG651">
        <v>0</v>
      </c>
      <c r="AH651">
        <v>13</v>
      </c>
      <c r="AI651">
        <v>1</v>
      </c>
      <c r="AJ651">
        <v>1</v>
      </c>
      <c r="AK651">
        <v>0</v>
      </c>
      <c r="AL651">
        <v>1</v>
      </c>
      <c r="AM651" s="14">
        <v>0</v>
      </c>
      <c r="AN651" t="s">
        <v>2644</v>
      </c>
      <c r="AO651" s="12">
        <v>46143</v>
      </c>
      <c r="AP651">
        <v>2026</v>
      </c>
      <c r="AQ651">
        <v>5</v>
      </c>
      <c r="AR651" t="s">
        <v>2652</v>
      </c>
    </row>
    <row r="652" spans="1:44">
      <c r="A652" t="s">
        <v>1850</v>
      </c>
      <c r="B652" s="12">
        <v>46169</v>
      </c>
      <c r="C652" s="12">
        <v>46161</v>
      </c>
      <c r="D652" t="s">
        <v>486</v>
      </c>
      <c r="E652" t="s">
        <v>339</v>
      </c>
      <c r="F652" t="s">
        <v>269</v>
      </c>
      <c r="G652" t="s">
        <v>340</v>
      </c>
      <c r="H652" t="s">
        <v>115</v>
      </c>
      <c r="I652" t="s">
        <v>316</v>
      </c>
      <c r="J652" s="13">
        <v>0.41666666666666669</v>
      </c>
      <c r="K652" s="13">
        <v>0.41805555555555557</v>
      </c>
      <c r="L652" s="13">
        <v>0.41736111111111113</v>
      </c>
      <c r="M652">
        <v>30</v>
      </c>
      <c r="N652" s="14">
        <v>80</v>
      </c>
      <c r="O652" t="s">
        <v>195</v>
      </c>
      <c r="P652">
        <v>4</v>
      </c>
      <c r="Q652" t="s">
        <v>262</v>
      </c>
      <c r="R652" t="s">
        <v>1821</v>
      </c>
      <c r="S652">
        <v>0</v>
      </c>
      <c r="T652">
        <v>0</v>
      </c>
      <c r="U652" t="s">
        <v>2294</v>
      </c>
      <c r="V652" t="s">
        <v>2295</v>
      </c>
      <c r="W652" t="s">
        <v>2296</v>
      </c>
      <c r="X652" t="s">
        <v>2297</v>
      </c>
      <c r="Y652" t="s">
        <v>2298</v>
      </c>
      <c r="Z652" t="s">
        <v>2315</v>
      </c>
      <c r="AA652">
        <v>10</v>
      </c>
      <c r="AB652" s="14">
        <v>80</v>
      </c>
      <c r="AC652" t="s">
        <v>2316</v>
      </c>
      <c r="AD652" t="s">
        <v>2317</v>
      </c>
      <c r="AE652" t="s">
        <v>2643</v>
      </c>
      <c r="AF652">
        <v>8</v>
      </c>
      <c r="AG652">
        <v>1</v>
      </c>
      <c r="AJ652">
        <v>1</v>
      </c>
      <c r="AK652">
        <v>0</v>
      </c>
      <c r="AL652">
        <v>1</v>
      </c>
      <c r="AM652" s="14">
        <v>0</v>
      </c>
      <c r="AN652" t="s">
        <v>2644</v>
      </c>
      <c r="AO652" s="12">
        <v>46143</v>
      </c>
      <c r="AP652">
        <v>2026</v>
      </c>
      <c r="AQ652">
        <v>5</v>
      </c>
      <c r="AR652" t="s">
        <v>2652</v>
      </c>
    </row>
    <row r="653" spans="1:44">
      <c r="A653" t="s">
        <v>1854</v>
      </c>
      <c r="B653" s="12">
        <v>46172</v>
      </c>
      <c r="C653" s="12">
        <v>46164</v>
      </c>
      <c r="D653" t="s">
        <v>1361</v>
      </c>
      <c r="E653" t="s">
        <v>255</v>
      </c>
      <c r="F653" t="s">
        <v>409</v>
      </c>
      <c r="G653" t="s">
        <v>648</v>
      </c>
      <c r="H653" t="s">
        <v>127</v>
      </c>
      <c r="I653" t="s">
        <v>316</v>
      </c>
      <c r="J653" s="13">
        <v>0.5</v>
      </c>
      <c r="K653" s="13"/>
      <c r="L653" s="13"/>
      <c r="M653">
        <v>0</v>
      </c>
      <c r="N653" s="14">
        <v>150</v>
      </c>
      <c r="O653" t="s">
        <v>195</v>
      </c>
      <c r="Q653" t="s">
        <v>285</v>
      </c>
      <c r="R653" t="s">
        <v>1821</v>
      </c>
      <c r="S653">
        <v>0</v>
      </c>
      <c r="T653">
        <v>0</v>
      </c>
      <c r="U653" t="s">
        <v>2299</v>
      </c>
      <c r="V653" t="s">
        <v>2295</v>
      </c>
      <c r="W653" t="s">
        <v>2300</v>
      </c>
      <c r="X653" t="s">
        <v>2288</v>
      </c>
      <c r="Y653" t="s">
        <v>2301</v>
      </c>
      <c r="Z653" t="s">
        <v>2318</v>
      </c>
      <c r="AA653">
        <v>28</v>
      </c>
      <c r="AB653" s="14">
        <v>150</v>
      </c>
      <c r="AC653" t="s">
        <v>2319</v>
      </c>
      <c r="AD653" t="s">
        <v>2320</v>
      </c>
      <c r="AE653" t="s">
        <v>2643</v>
      </c>
      <c r="AF653">
        <v>8</v>
      </c>
      <c r="AG653">
        <v>1</v>
      </c>
      <c r="AJ653">
        <v>0</v>
      </c>
      <c r="AL653">
        <v>1</v>
      </c>
      <c r="AM653" s="14">
        <v>0</v>
      </c>
      <c r="AN653" t="s">
        <v>2644</v>
      </c>
      <c r="AO653" s="12">
        <v>46143</v>
      </c>
      <c r="AP653">
        <v>2026</v>
      </c>
      <c r="AQ653">
        <v>5</v>
      </c>
      <c r="AR653" t="s">
        <v>2652</v>
      </c>
    </row>
    <row r="654" spans="1:44">
      <c r="A654" t="s">
        <v>1857</v>
      </c>
      <c r="B654" s="12">
        <v>46167</v>
      </c>
      <c r="C654" s="12">
        <v>46153</v>
      </c>
      <c r="D654" t="s">
        <v>289</v>
      </c>
      <c r="E654" t="s">
        <v>255</v>
      </c>
      <c r="F654" t="s">
        <v>409</v>
      </c>
      <c r="G654" t="s">
        <v>410</v>
      </c>
      <c r="H654" t="s">
        <v>115</v>
      </c>
      <c r="I654" t="s">
        <v>299</v>
      </c>
      <c r="J654" s="13">
        <v>0.66666666666666663</v>
      </c>
      <c r="K654" s="13">
        <v>0.67152777777777772</v>
      </c>
      <c r="L654" s="13">
        <v>0.68263888888888891</v>
      </c>
      <c r="M654">
        <v>45</v>
      </c>
      <c r="N654" s="14">
        <v>150</v>
      </c>
      <c r="O654" t="s">
        <v>195</v>
      </c>
      <c r="P654">
        <v>4</v>
      </c>
      <c r="Q654" t="s">
        <v>326</v>
      </c>
      <c r="R654" t="s">
        <v>1821</v>
      </c>
      <c r="S654">
        <v>0</v>
      </c>
      <c r="T654">
        <v>0</v>
      </c>
      <c r="U654" t="s">
        <v>2299</v>
      </c>
      <c r="V654" t="s">
        <v>2295</v>
      </c>
      <c r="W654" t="s">
        <v>2300</v>
      </c>
      <c r="X654" t="s">
        <v>2288</v>
      </c>
      <c r="Y654" t="s">
        <v>2301</v>
      </c>
      <c r="Z654" t="s">
        <v>2318</v>
      </c>
      <c r="AA654">
        <v>28</v>
      </c>
      <c r="AB654" s="14">
        <v>150</v>
      </c>
      <c r="AC654" t="s">
        <v>2319</v>
      </c>
      <c r="AD654" t="s">
        <v>2320</v>
      </c>
      <c r="AE654" t="s">
        <v>2643</v>
      </c>
      <c r="AF654">
        <v>14</v>
      </c>
      <c r="AG654">
        <v>1</v>
      </c>
      <c r="AH654">
        <v>16</v>
      </c>
      <c r="AI654">
        <v>1</v>
      </c>
      <c r="AJ654">
        <v>1</v>
      </c>
      <c r="AK654">
        <v>0</v>
      </c>
      <c r="AL654">
        <v>1</v>
      </c>
      <c r="AM654" s="14">
        <v>0</v>
      </c>
      <c r="AN654" t="s">
        <v>2644</v>
      </c>
      <c r="AO654" s="12">
        <v>46143</v>
      </c>
      <c r="AP654">
        <v>2026</v>
      </c>
      <c r="AQ654">
        <v>5</v>
      </c>
      <c r="AR654" t="s">
        <v>2652</v>
      </c>
    </row>
    <row r="655" spans="1:44">
      <c r="A655" t="s">
        <v>1860</v>
      </c>
      <c r="B655" s="12">
        <v>46169</v>
      </c>
      <c r="C655" s="12">
        <v>46139</v>
      </c>
      <c r="D655" t="s">
        <v>1246</v>
      </c>
      <c r="E655" t="s">
        <v>255</v>
      </c>
      <c r="F655" t="s">
        <v>409</v>
      </c>
      <c r="G655" t="s">
        <v>648</v>
      </c>
      <c r="H655" t="s">
        <v>115</v>
      </c>
      <c r="I655" t="s">
        <v>299</v>
      </c>
      <c r="J655" s="13">
        <v>0.60416666666666663</v>
      </c>
      <c r="K655" s="13">
        <v>0.61458333333333337</v>
      </c>
      <c r="L655" s="13">
        <v>0.6166666666666667</v>
      </c>
      <c r="M655">
        <v>45</v>
      </c>
      <c r="N655" s="14">
        <v>150</v>
      </c>
      <c r="O655" t="s">
        <v>195</v>
      </c>
      <c r="P655">
        <v>5</v>
      </c>
      <c r="Q655" t="s">
        <v>285</v>
      </c>
      <c r="R655" t="s">
        <v>1821</v>
      </c>
      <c r="S655">
        <v>0</v>
      </c>
      <c r="T655">
        <v>0</v>
      </c>
      <c r="U655" t="s">
        <v>2299</v>
      </c>
      <c r="V655" t="s">
        <v>2295</v>
      </c>
      <c r="W655" t="s">
        <v>2300</v>
      </c>
      <c r="X655" t="s">
        <v>2288</v>
      </c>
      <c r="Y655" t="s">
        <v>2301</v>
      </c>
      <c r="Z655" t="s">
        <v>2318</v>
      </c>
      <c r="AA655">
        <v>28</v>
      </c>
      <c r="AB655" s="14">
        <v>150</v>
      </c>
      <c r="AC655" t="s">
        <v>2319</v>
      </c>
      <c r="AD655" t="s">
        <v>2320</v>
      </c>
      <c r="AE655" t="s">
        <v>2643</v>
      </c>
      <c r="AF655">
        <v>30</v>
      </c>
      <c r="AG655">
        <v>0</v>
      </c>
      <c r="AH655">
        <v>3</v>
      </c>
      <c r="AI655">
        <v>1</v>
      </c>
      <c r="AJ655">
        <v>1</v>
      </c>
      <c r="AK655">
        <v>0</v>
      </c>
      <c r="AL655">
        <v>1</v>
      </c>
      <c r="AM655" s="14">
        <v>0</v>
      </c>
      <c r="AN655" t="s">
        <v>2644</v>
      </c>
      <c r="AO655" s="12">
        <v>46143</v>
      </c>
      <c r="AP655">
        <v>2026</v>
      </c>
      <c r="AQ655">
        <v>5</v>
      </c>
      <c r="AR655" t="s">
        <v>2652</v>
      </c>
    </row>
    <row r="656" spans="1:44">
      <c r="A656" t="s">
        <v>1862</v>
      </c>
      <c r="B656" s="12">
        <v>46150</v>
      </c>
      <c r="C656" s="12">
        <v>46111</v>
      </c>
      <c r="D656" t="s">
        <v>765</v>
      </c>
      <c r="E656" t="s">
        <v>255</v>
      </c>
      <c r="F656" t="s">
        <v>282</v>
      </c>
      <c r="G656" t="s">
        <v>290</v>
      </c>
      <c r="H656" t="s">
        <v>127</v>
      </c>
      <c r="I656" t="s">
        <v>271</v>
      </c>
      <c r="J656" s="13">
        <v>0.33333333333333331</v>
      </c>
      <c r="K656" s="13"/>
      <c r="L656" s="13"/>
      <c r="M656">
        <v>0</v>
      </c>
      <c r="N656" s="14">
        <v>120</v>
      </c>
      <c r="O656" t="s">
        <v>195</v>
      </c>
      <c r="Q656" t="s">
        <v>326</v>
      </c>
      <c r="R656" t="s">
        <v>1821</v>
      </c>
      <c r="S656">
        <v>0</v>
      </c>
      <c r="T656">
        <v>0</v>
      </c>
      <c r="U656" t="s">
        <v>2299</v>
      </c>
      <c r="V656" t="s">
        <v>2295</v>
      </c>
      <c r="W656" t="s">
        <v>2300</v>
      </c>
      <c r="X656" t="s">
        <v>2288</v>
      </c>
      <c r="Y656" t="s">
        <v>2301</v>
      </c>
      <c r="Z656" t="s">
        <v>2309</v>
      </c>
      <c r="AA656">
        <v>14</v>
      </c>
      <c r="AB656" s="14">
        <v>120</v>
      </c>
      <c r="AC656" t="s">
        <v>2310</v>
      </c>
      <c r="AD656" t="s">
        <v>2311</v>
      </c>
      <c r="AE656" t="s">
        <v>2643</v>
      </c>
      <c r="AF656">
        <v>39</v>
      </c>
      <c r="AG656">
        <v>0</v>
      </c>
      <c r="AJ656">
        <v>0</v>
      </c>
      <c r="AL656">
        <v>1</v>
      </c>
      <c r="AM656" s="14">
        <v>0</v>
      </c>
      <c r="AN656" t="s">
        <v>2644</v>
      </c>
      <c r="AO656" s="12">
        <v>46143</v>
      </c>
      <c r="AP656">
        <v>2026</v>
      </c>
      <c r="AQ656">
        <v>5</v>
      </c>
      <c r="AR656" t="s">
        <v>2652</v>
      </c>
    </row>
    <row r="657" spans="1:44">
      <c r="A657" t="s">
        <v>1863</v>
      </c>
      <c r="B657" s="12">
        <v>46155</v>
      </c>
      <c r="C657" s="12">
        <v>46103</v>
      </c>
      <c r="D657" t="s">
        <v>1864</v>
      </c>
      <c r="E657" t="s">
        <v>339</v>
      </c>
      <c r="F657" t="s">
        <v>256</v>
      </c>
      <c r="G657" t="s">
        <v>403</v>
      </c>
      <c r="H657" t="s">
        <v>127</v>
      </c>
      <c r="I657" t="s">
        <v>299</v>
      </c>
      <c r="J657" s="13">
        <v>0.5</v>
      </c>
      <c r="K657" s="13"/>
      <c r="L657" s="13"/>
      <c r="M657">
        <v>0</v>
      </c>
      <c r="N657" s="14">
        <v>95</v>
      </c>
      <c r="O657" t="s">
        <v>169</v>
      </c>
      <c r="Q657" t="s">
        <v>326</v>
      </c>
      <c r="R657" t="s">
        <v>1821</v>
      </c>
      <c r="S657">
        <v>0</v>
      </c>
      <c r="T657">
        <v>0</v>
      </c>
      <c r="U657" t="s">
        <v>2294</v>
      </c>
      <c r="V657" t="s">
        <v>2295</v>
      </c>
      <c r="W657" t="s">
        <v>2296</v>
      </c>
      <c r="X657" t="s">
        <v>2297</v>
      </c>
      <c r="Y657" t="s">
        <v>2298</v>
      </c>
      <c r="Z657" t="s">
        <v>2312</v>
      </c>
      <c r="AA657">
        <v>21</v>
      </c>
      <c r="AB657" s="14">
        <v>95</v>
      </c>
      <c r="AC657" t="s">
        <v>2313</v>
      </c>
      <c r="AD657" t="s">
        <v>2314</v>
      </c>
      <c r="AE657" t="s">
        <v>2643</v>
      </c>
      <c r="AF657">
        <v>52</v>
      </c>
      <c r="AG657">
        <v>0</v>
      </c>
      <c r="AJ657">
        <v>0</v>
      </c>
      <c r="AL657">
        <v>1</v>
      </c>
      <c r="AM657" s="14">
        <v>0</v>
      </c>
      <c r="AN657" t="s">
        <v>2644</v>
      </c>
      <c r="AO657" s="12">
        <v>46143</v>
      </c>
      <c r="AP657">
        <v>2026</v>
      </c>
      <c r="AQ657">
        <v>5</v>
      </c>
      <c r="AR657" t="s">
        <v>2652</v>
      </c>
    </row>
    <row r="658" spans="1:44">
      <c r="A658" t="s">
        <v>1865</v>
      </c>
      <c r="B658" s="12">
        <v>46162</v>
      </c>
      <c r="C658" s="12">
        <v>46124</v>
      </c>
      <c r="D658" t="s">
        <v>1378</v>
      </c>
      <c r="E658" t="s">
        <v>281</v>
      </c>
      <c r="F658" t="s">
        <v>282</v>
      </c>
      <c r="G658" t="s">
        <v>446</v>
      </c>
      <c r="H658" t="s">
        <v>115</v>
      </c>
      <c r="I658" t="s">
        <v>316</v>
      </c>
      <c r="J658" s="13">
        <v>0.5</v>
      </c>
      <c r="K658" s="13">
        <v>0.49513888888888891</v>
      </c>
      <c r="L658" s="13">
        <v>0.51597222222222228</v>
      </c>
      <c r="M658">
        <v>30</v>
      </c>
      <c r="N658" s="14">
        <v>120</v>
      </c>
      <c r="O658" t="s">
        <v>195</v>
      </c>
      <c r="P658">
        <v>5</v>
      </c>
      <c r="Q658" t="s">
        <v>318</v>
      </c>
      <c r="R658" t="s">
        <v>1821</v>
      </c>
      <c r="S658">
        <v>0</v>
      </c>
      <c r="T658">
        <v>0</v>
      </c>
      <c r="U658" t="s">
        <v>2290</v>
      </c>
      <c r="V658" t="s">
        <v>2291</v>
      </c>
      <c r="W658" t="s">
        <v>2292</v>
      </c>
      <c r="X658" t="s">
        <v>2288</v>
      </c>
      <c r="Y658" t="s">
        <v>2293</v>
      </c>
      <c r="Z658" t="s">
        <v>2309</v>
      </c>
      <c r="AA658">
        <v>14</v>
      </c>
      <c r="AB658" s="14">
        <v>120</v>
      </c>
      <c r="AC658" t="s">
        <v>2310</v>
      </c>
      <c r="AD658" t="s">
        <v>2311</v>
      </c>
      <c r="AE658" t="s">
        <v>2643</v>
      </c>
      <c r="AF658">
        <v>38</v>
      </c>
      <c r="AG658">
        <v>0</v>
      </c>
      <c r="AH658">
        <v>30</v>
      </c>
      <c r="AI658">
        <v>1</v>
      </c>
      <c r="AJ658">
        <v>1</v>
      </c>
      <c r="AK658">
        <v>0</v>
      </c>
      <c r="AL658">
        <v>1</v>
      </c>
      <c r="AM658" s="14">
        <v>0</v>
      </c>
      <c r="AN658" t="s">
        <v>2644</v>
      </c>
      <c r="AO658" s="12">
        <v>46143</v>
      </c>
      <c r="AP658">
        <v>2026</v>
      </c>
      <c r="AQ658">
        <v>5</v>
      </c>
      <c r="AR658" t="s">
        <v>2652</v>
      </c>
    </row>
    <row r="659" spans="1:44">
      <c r="A659" t="s">
        <v>1867</v>
      </c>
      <c r="B659" s="12">
        <v>46148</v>
      </c>
      <c r="C659" s="12">
        <v>46099</v>
      </c>
      <c r="D659" t="s">
        <v>1050</v>
      </c>
      <c r="E659" t="s">
        <v>268</v>
      </c>
      <c r="F659" t="s">
        <v>256</v>
      </c>
      <c r="G659" t="s">
        <v>419</v>
      </c>
      <c r="H659" t="s">
        <v>115</v>
      </c>
      <c r="I659" t="s">
        <v>299</v>
      </c>
      <c r="J659" s="13">
        <v>0.5</v>
      </c>
      <c r="K659" s="13">
        <v>0.49722222222222223</v>
      </c>
      <c r="L659" s="13">
        <v>0.51736111111111116</v>
      </c>
      <c r="M659">
        <v>60</v>
      </c>
      <c r="N659" s="14">
        <v>95</v>
      </c>
      <c r="O659" t="s">
        <v>195</v>
      </c>
      <c r="P659">
        <v>2</v>
      </c>
      <c r="Q659" t="s">
        <v>305</v>
      </c>
      <c r="R659" t="s">
        <v>1821</v>
      </c>
      <c r="S659">
        <v>0</v>
      </c>
      <c r="T659">
        <v>0</v>
      </c>
      <c r="U659" t="s">
        <v>2285</v>
      </c>
      <c r="V659" t="s">
        <v>2286</v>
      </c>
      <c r="W659" t="s">
        <v>2287</v>
      </c>
      <c r="X659" t="s">
        <v>2288</v>
      </c>
      <c r="Y659" t="s">
        <v>2289</v>
      </c>
      <c r="Z659" t="s">
        <v>2312</v>
      </c>
      <c r="AA659">
        <v>21</v>
      </c>
      <c r="AB659" s="14">
        <v>95</v>
      </c>
      <c r="AC659" t="s">
        <v>2313</v>
      </c>
      <c r="AD659" t="s">
        <v>2314</v>
      </c>
      <c r="AE659" t="s">
        <v>2643</v>
      </c>
      <c r="AF659">
        <v>49</v>
      </c>
      <c r="AG659">
        <v>0</v>
      </c>
      <c r="AH659">
        <v>29</v>
      </c>
      <c r="AI659">
        <v>1</v>
      </c>
      <c r="AJ659">
        <v>1</v>
      </c>
      <c r="AK659">
        <v>0</v>
      </c>
      <c r="AL659">
        <v>1</v>
      </c>
      <c r="AM659" s="14">
        <v>0</v>
      </c>
      <c r="AN659" t="s">
        <v>2644</v>
      </c>
      <c r="AO659" s="12">
        <v>46143</v>
      </c>
      <c r="AP659">
        <v>2026</v>
      </c>
      <c r="AQ659">
        <v>5</v>
      </c>
      <c r="AR659" t="s">
        <v>2652</v>
      </c>
    </row>
    <row r="660" spans="1:44">
      <c r="A660" t="s">
        <v>1870</v>
      </c>
      <c r="B660" s="12">
        <v>46155</v>
      </c>
      <c r="C660" s="12">
        <v>46135</v>
      </c>
      <c r="D660" t="s">
        <v>1071</v>
      </c>
      <c r="E660" t="s">
        <v>268</v>
      </c>
      <c r="F660" t="s">
        <v>297</v>
      </c>
      <c r="G660" t="s">
        <v>583</v>
      </c>
      <c r="H660" t="s">
        <v>115</v>
      </c>
      <c r="I660" t="s">
        <v>271</v>
      </c>
      <c r="J660" s="13">
        <v>0.41666666666666669</v>
      </c>
      <c r="K660" s="13">
        <v>0.4284722222222222</v>
      </c>
      <c r="L660" s="13">
        <v>0.42222222222222222</v>
      </c>
      <c r="M660">
        <v>45</v>
      </c>
      <c r="N660" s="14">
        <v>65</v>
      </c>
      <c r="O660" t="s">
        <v>195</v>
      </c>
      <c r="P660">
        <v>2</v>
      </c>
      <c r="Q660" t="s">
        <v>285</v>
      </c>
      <c r="R660" t="s">
        <v>1821</v>
      </c>
      <c r="S660">
        <v>0</v>
      </c>
      <c r="T660">
        <v>0</v>
      </c>
      <c r="U660" t="s">
        <v>2285</v>
      </c>
      <c r="V660" t="s">
        <v>2286</v>
      </c>
      <c r="W660" t="s">
        <v>2287</v>
      </c>
      <c r="X660" t="s">
        <v>2288</v>
      </c>
      <c r="Y660" t="s">
        <v>2289</v>
      </c>
      <c r="Z660" t="s">
        <v>2306</v>
      </c>
      <c r="AA660">
        <v>7</v>
      </c>
      <c r="AB660" s="14">
        <v>65</v>
      </c>
      <c r="AC660" t="s">
        <v>2307</v>
      </c>
      <c r="AD660" t="s">
        <v>2308</v>
      </c>
      <c r="AE660" t="s">
        <v>2643</v>
      </c>
      <c r="AF660">
        <v>20</v>
      </c>
      <c r="AG660">
        <v>0</v>
      </c>
      <c r="AJ660">
        <v>1</v>
      </c>
      <c r="AK660">
        <v>0</v>
      </c>
      <c r="AL660">
        <v>1</v>
      </c>
      <c r="AM660" s="14">
        <v>0</v>
      </c>
      <c r="AN660" t="s">
        <v>2644</v>
      </c>
      <c r="AO660" s="12">
        <v>46143</v>
      </c>
      <c r="AP660">
        <v>2026</v>
      </c>
      <c r="AQ660">
        <v>5</v>
      </c>
      <c r="AR660" t="s">
        <v>2652</v>
      </c>
    </row>
    <row r="661" spans="1:44">
      <c r="A661" t="s">
        <v>1871</v>
      </c>
      <c r="B661" s="12">
        <v>46172</v>
      </c>
      <c r="C661" s="12">
        <v>46140</v>
      </c>
      <c r="D661" t="s">
        <v>1872</v>
      </c>
      <c r="E661" t="s">
        <v>268</v>
      </c>
      <c r="F661" t="s">
        <v>297</v>
      </c>
      <c r="G661" t="s">
        <v>583</v>
      </c>
      <c r="H661" t="s">
        <v>115</v>
      </c>
      <c r="I661" t="s">
        <v>271</v>
      </c>
      <c r="J661" s="13">
        <v>0.5625</v>
      </c>
      <c r="K661" s="13">
        <v>0.56944444444444442</v>
      </c>
      <c r="L661" s="13">
        <v>0.57638888888888884</v>
      </c>
      <c r="M661">
        <v>30</v>
      </c>
      <c r="N661" s="14">
        <v>65</v>
      </c>
      <c r="O661" t="s">
        <v>195</v>
      </c>
      <c r="P661">
        <v>5</v>
      </c>
      <c r="Q661" t="s">
        <v>285</v>
      </c>
      <c r="R661" t="s">
        <v>1821</v>
      </c>
      <c r="S661">
        <v>0</v>
      </c>
      <c r="T661">
        <v>0</v>
      </c>
      <c r="U661" t="s">
        <v>2285</v>
      </c>
      <c r="V661" t="s">
        <v>2286</v>
      </c>
      <c r="W661" t="s">
        <v>2287</v>
      </c>
      <c r="X661" t="s">
        <v>2288</v>
      </c>
      <c r="Y661" t="s">
        <v>2289</v>
      </c>
      <c r="Z661" t="s">
        <v>2306</v>
      </c>
      <c r="AA661">
        <v>7</v>
      </c>
      <c r="AB661" s="14">
        <v>65</v>
      </c>
      <c r="AC661" t="s">
        <v>2307</v>
      </c>
      <c r="AD661" t="s">
        <v>2308</v>
      </c>
      <c r="AE661" t="s">
        <v>2643</v>
      </c>
      <c r="AF661">
        <v>32</v>
      </c>
      <c r="AG661">
        <v>0</v>
      </c>
      <c r="AH661">
        <v>10</v>
      </c>
      <c r="AI661">
        <v>1</v>
      </c>
      <c r="AJ661">
        <v>1</v>
      </c>
      <c r="AK661">
        <v>0</v>
      </c>
      <c r="AL661">
        <v>1</v>
      </c>
      <c r="AM661" s="14">
        <v>0</v>
      </c>
      <c r="AN661" t="s">
        <v>2644</v>
      </c>
      <c r="AO661" s="12">
        <v>46143</v>
      </c>
      <c r="AP661">
        <v>2026</v>
      </c>
      <c r="AQ661">
        <v>5</v>
      </c>
      <c r="AR661" t="s">
        <v>2652</v>
      </c>
    </row>
    <row r="662" spans="1:44">
      <c r="A662" t="s">
        <v>1873</v>
      </c>
      <c r="B662" s="12">
        <v>46166</v>
      </c>
      <c r="C662" s="12">
        <v>46123</v>
      </c>
      <c r="D662" t="s">
        <v>541</v>
      </c>
      <c r="E662" t="s">
        <v>255</v>
      </c>
      <c r="F662" t="s">
        <v>409</v>
      </c>
      <c r="G662" t="s">
        <v>648</v>
      </c>
      <c r="H662" t="s">
        <v>115</v>
      </c>
      <c r="I662" t="s">
        <v>316</v>
      </c>
      <c r="J662" s="13">
        <v>0.33333333333333331</v>
      </c>
      <c r="K662" s="13">
        <v>0.3298611111111111</v>
      </c>
      <c r="L662" s="13">
        <v>0.35347222222222224</v>
      </c>
      <c r="M662">
        <v>45</v>
      </c>
      <c r="N662" s="14">
        <v>150</v>
      </c>
      <c r="O662" t="s">
        <v>195</v>
      </c>
      <c r="P662">
        <v>5</v>
      </c>
      <c r="Q662" t="s">
        <v>326</v>
      </c>
      <c r="R662" t="s">
        <v>1821</v>
      </c>
      <c r="S662">
        <v>0</v>
      </c>
      <c r="T662">
        <v>0</v>
      </c>
      <c r="U662" t="s">
        <v>2299</v>
      </c>
      <c r="V662" t="s">
        <v>2295</v>
      </c>
      <c r="W662" t="s">
        <v>2300</v>
      </c>
      <c r="X662" t="s">
        <v>2288</v>
      </c>
      <c r="Y662" t="s">
        <v>2301</v>
      </c>
      <c r="Z662" t="s">
        <v>2318</v>
      </c>
      <c r="AA662">
        <v>28</v>
      </c>
      <c r="AB662" s="14">
        <v>150</v>
      </c>
      <c r="AC662" t="s">
        <v>2319</v>
      </c>
      <c r="AD662" t="s">
        <v>2320</v>
      </c>
      <c r="AE662" t="s">
        <v>2643</v>
      </c>
      <c r="AF662">
        <v>43</v>
      </c>
      <c r="AG662">
        <v>0</v>
      </c>
      <c r="AH662">
        <v>34</v>
      </c>
      <c r="AI662">
        <v>0</v>
      </c>
      <c r="AJ662">
        <v>1</v>
      </c>
      <c r="AK662">
        <v>0</v>
      </c>
      <c r="AL662">
        <v>1</v>
      </c>
      <c r="AM662" s="14">
        <v>0</v>
      </c>
      <c r="AN662" t="s">
        <v>2644</v>
      </c>
      <c r="AO662" s="12">
        <v>46143</v>
      </c>
      <c r="AP662">
        <v>2026</v>
      </c>
      <c r="AQ662">
        <v>5</v>
      </c>
      <c r="AR662" t="s">
        <v>2652</v>
      </c>
    </row>
    <row r="663" spans="1:44">
      <c r="A663" t="s">
        <v>1875</v>
      </c>
      <c r="B663" s="12">
        <v>46146</v>
      </c>
      <c r="C663" s="12">
        <v>46134</v>
      </c>
      <c r="D663" t="s">
        <v>823</v>
      </c>
      <c r="E663" t="s">
        <v>339</v>
      </c>
      <c r="F663" t="s">
        <v>256</v>
      </c>
      <c r="G663" t="s">
        <v>345</v>
      </c>
      <c r="H663" t="s">
        <v>127</v>
      </c>
      <c r="I663" t="s">
        <v>271</v>
      </c>
      <c r="J663" s="13">
        <v>0.39583333333333331</v>
      </c>
      <c r="K663" s="13"/>
      <c r="L663" s="13"/>
      <c r="M663">
        <v>0</v>
      </c>
      <c r="N663" s="14">
        <v>95</v>
      </c>
      <c r="O663" t="s">
        <v>195</v>
      </c>
      <c r="Q663" t="s">
        <v>326</v>
      </c>
      <c r="R663" t="s">
        <v>1821</v>
      </c>
      <c r="S663">
        <v>0</v>
      </c>
      <c r="T663">
        <v>0</v>
      </c>
      <c r="U663" t="s">
        <v>2294</v>
      </c>
      <c r="V663" t="s">
        <v>2295</v>
      </c>
      <c r="W663" t="s">
        <v>2296</v>
      </c>
      <c r="X663" t="s">
        <v>2297</v>
      </c>
      <c r="Y663" t="s">
        <v>2298</v>
      </c>
      <c r="Z663" t="s">
        <v>2312</v>
      </c>
      <c r="AA663">
        <v>21</v>
      </c>
      <c r="AB663" s="14">
        <v>95</v>
      </c>
      <c r="AC663" t="s">
        <v>2313</v>
      </c>
      <c r="AD663" t="s">
        <v>2314</v>
      </c>
      <c r="AE663" t="s">
        <v>2643</v>
      </c>
      <c r="AF663">
        <v>12</v>
      </c>
      <c r="AG663">
        <v>1</v>
      </c>
      <c r="AJ663">
        <v>0</v>
      </c>
      <c r="AL663">
        <v>1</v>
      </c>
      <c r="AM663" s="14">
        <v>0</v>
      </c>
      <c r="AN663" t="s">
        <v>2644</v>
      </c>
      <c r="AO663" s="12">
        <v>46143</v>
      </c>
      <c r="AP663">
        <v>2026</v>
      </c>
      <c r="AQ663">
        <v>5</v>
      </c>
      <c r="AR663" t="s">
        <v>2652</v>
      </c>
    </row>
    <row r="664" spans="1:44">
      <c r="A664" t="s">
        <v>1877</v>
      </c>
      <c r="B664" s="12">
        <v>46145</v>
      </c>
      <c r="C664" s="12">
        <v>46126</v>
      </c>
      <c r="D664" t="s">
        <v>706</v>
      </c>
      <c r="E664" t="s">
        <v>255</v>
      </c>
      <c r="F664" t="s">
        <v>409</v>
      </c>
      <c r="G664" t="s">
        <v>410</v>
      </c>
      <c r="H664" t="s">
        <v>122</v>
      </c>
      <c r="I664" t="s">
        <v>271</v>
      </c>
      <c r="J664" s="13">
        <v>0.45833333333333331</v>
      </c>
      <c r="K664" s="13"/>
      <c r="L664" s="13"/>
      <c r="M664">
        <v>0</v>
      </c>
      <c r="N664" s="14">
        <v>150</v>
      </c>
      <c r="O664" t="s">
        <v>195</v>
      </c>
      <c r="Q664" t="s">
        <v>285</v>
      </c>
      <c r="R664" t="s">
        <v>1821</v>
      </c>
      <c r="S664">
        <v>0</v>
      </c>
      <c r="T664">
        <v>0</v>
      </c>
      <c r="U664" t="s">
        <v>2299</v>
      </c>
      <c r="V664" t="s">
        <v>2295</v>
      </c>
      <c r="W664" t="s">
        <v>2300</v>
      </c>
      <c r="X664" t="s">
        <v>2288</v>
      </c>
      <c r="Y664" t="s">
        <v>2301</v>
      </c>
      <c r="Z664" t="s">
        <v>2318</v>
      </c>
      <c r="AA664">
        <v>28</v>
      </c>
      <c r="AB664" s="14">
        <v>150</v>
      </c>
      <c r="AC664" t="s">
        <v>2319</v>
      </c>
      <c r="AD664" t="s">
        <v>2320</v>
      </c>
      <c r="AE664" t="s">
        <v>2643</v>
      </c>
      <c r="AF664">
        <v>19</v>
      </c>
      <c r="AG664">
        <v>1</v>
      </c>
      <c r="AJ664">
        <v>1</v>
      </c>
      <c r="AK664">
        <v>1</v>
      </c>
      <c r="AL664">
        <v>1</v>
      </c>
      <c r="AM664" s="14">
        <v>0</v>
      </c>
      <c r="AN664" t="s">
        <v>2644</v>
      </c>
      <c r="AO664" s="12">
        <v>46143</v>
      </c>
      <c r="AP664">
        <v>2026</v>
      </c>
      <c r="AQ664">
        <v>5</v>
      </c>
      <c r="AR664" t="s">
        <v>2652</v>
      </c>
    </row>
    <row r="665" spans="1:44">
      <c r="A665" t="s">
        <v>1878</v>
      </c>
      <c r="B665" s="12">
        <v>46165</v>
      </c>
      <c r="C665" s="12">
        <v>46121</v>
      </c>
      <c r="D665" t="s">
        <v>1405</v>
      </c>
      <c r="E665" t="s">
        <v>268</v>
      </c>
      <c r="F665" t="s">
        <v>256</v>
      </c>
      <c r="G665" t="s">
        <v>419</v>
      </c>
      <c r="H665" t="s">
        <v>115</v>
      </c>
      <c r="I665" t="s">
        <v>258</v>
      </c>
      <c r="J665" s="13">
        <v>0.41666666666666669</v>
      </c>
      <c r="K665" s="13">
        <v>0.41944444444444445</v>
      </c>
      <c r="L665" s="13">
        <v>0.41666666666666669</v>
      </c>
      <c r="M665">
        <v>45</v>
      </c>
      <c r="N665" s="14">
        <v>95</v>
      </c>
      <c r="O665" t="s">
        <v>195</v>
      </c>
      <c r="P665">
        <v>5</v>
      </c>
      <c r="Q665" t="s">
        <v>285</v>
      </c>
      <c r="R665" t="s">
        <v>1821</v>
      </c>
      <c r="S665">
        <v>0</v>
      </c>
      <c r="T665">
        <v>0</v>
      </c>
      <c r="U665" t="s">
        <v>2285</v>
      </c>
      <c r="V665" t="s">
        <v>2286</v>
      </c>
      <c r="W665" t="s">
        <v>2287</v>
      </c>
      <c r="X665" t="s">
        <v>2288</v>
      </c>
      <c r="Y665" t="s">
        <v>2289</v>
      </c>
      <c r="Z665" t="s">
        <v>2312</v>
      </c>
      <c r="AA665">
        <v>21</v>
      </c>
      <c r="AB665" s="14">
        <v>95</v>
      </c>
      <c r="AC665" t="s">
        <v>2313</v>
      </c>
      <c r="AD665" t="s">
        <v>2314</v>
      </c>
      <c r="AE665" t="s">
        <v>2643</v>
      </c>
      <c r="AF665">
        <v>44</v>
      </c>
      <c r="AG665">
        <v>0</v>
      </c>
      <c r="AJ665">
        <v>1</v>
      </c>
      <c r="AK665">
        <v>0</v>
      </c>
      <c r="AL665">
        <v>1</v>
      </c>
      <c r="AM665" s="14">
        <v>0</v>
      </c>
      <c r="AN665" t="s">
        <v>2644</v>
      </c>
      <c r="AO665" s="12">
        <v>46143</v>
      </c>
      <c r="AP665">
        <v>2026</v>
      </c>
      <c r="AQ665">
        <v>5</v>
      </c>
      <c r="AR665" t="s">
        <v>2652</v>
      </c>
    </row>
    <row r="666" spans="1:44">
      <c r="A666" t="s">
        <v>1879</v>
      </c>
      <c r="B666" s="12">
        <v>46146</v>
      </c>
      <c r="C666" s="12">
        <v>46103</v>
      </c>
      <c r="D666" t="s">
        <v>1503</v>
      </c>
      <c r="E666" t="s">
        <v>281</v>
      </c>
      <c r="F666" t="s">
        <v>409</v>
      </c>
      <c r="G666" t="s">
        <v>535</v>
      </c>
      <c r="H666" t="s">
        <v>115</v>
      </c>
      <c r="I666" t="s">
        <v>299</v>
      </c>
      <c r="J666" s="13">
        <v>0.625</v>
      </c>
      <c r="K666" s="13">
        <v>0.62777777777777777</v>
      </c>
      <c r="L666" s="13">
        <v>0.62708333333333333</v>
      </c>
      <c r="M666">
        <v>30</v>
      </c>
      <c r="N666" s="14">
        <v>150</v>
      </c>
      <c r="O666" t="s">
        <v>195</v>
      </c>
      <c r="P666">
        <v>3</v>
      </c>
      <c r="Q666" t="s">
        <v>318</v>
      </c>
      <c r="R666" t="s">
        <v>1821</v>
      </c>
      <c r="S666">
        <v>0</v>
      </c>
      <c r="T666">
        <v>0</v>
      </c>
      <c r="U666" t="s">
        <v>2290</v>
      </c>
      <c r="V666" t="s">
        <v>2291</v>
      </c>
      <c r="W666" t="s">
        <v>2292</v>
      </c>
      <c r="X666" t="s">
        <v>2288</v>
      </c>
      <c r="Y666" t="s">
        <v>2293</v>
      </c>
      <c r="Z666" t="s">
        <v>2318</v>
      </c>
      <c r="AA666">
        <v>28</v>
      </c>
      <c r="AB666" s="14">
        <v>150</v>
      </c>
      <c r="AC666" t="s">
        <v>2319</v>
      </c>
      <c r="AD666" t="s">
        <v>2320</v>
      </c>
      <c r="AE666" t="s">
        <v>2643</v>
      </c>
      <c r="AF666">
        <v>43</v>
      </c>
      <c r="AG666">
        <v>0</v>
      </c>
      <c r="AJ666">
        <v>1</v>
      </c>
      <c r="AK666">
        <v>0</v>
      </c>
      <c r="AL666">
        <v>1</v>
      </c>
      <c r="AM666" s="14">
        <v>0</v>
      </c>
      <c r="AN666" t="s">
        <v>2644</v>
      </c>
      <c r="AO666" s="12">
        <v>46143</v>
      </c>
      <c r="AP666">
        <v>2026</v>
      </c>
      <c r="AQ666">
        <v>5</v>
      </c>
      <c r="AR666" t="s">
        <v>2652</v>
      </c>
    </row>
    <row r="667" spans="1:44">
      <c r="A667" t="s">
        <v>1880</v>
      </c>
      <c r="B667" s="12">
        <v>46146</v>
      </c>
      <c r="C667" s="12">
        <v>46145</v>
      </c>
      <c r="D667" t="s">
        <v>418</v>
      </c>
      <c r="E667" t="s">
        <v>268</v>
      </c>
      <c r="F667" t="s">
        <v>409</v>
      </c>
      <c r="G667" t="s">
        <v>587</v>
      </c>
      <c r="H667" t="s">
        <v>115</v>
      </c>
      <c r="I667" t="s">
        <v>299</v>
      </c>
      <c r="J667" s="13">
        <v>0.54166666666666663</v>
      </c>
      <c r="K667" s="13">
        <v>0.53749999999999998</v>
      </c>
      <c r="L667" s="13">
        <v>0.54791666666666672</v>
      </c>
      <c r="M667">
        <v>20</v>
      </c>
      <c r="N667" s="14">
        <v>150</v>
      </c>
      <c r="O667" t="s">
        <v>195</v>
      </c>
      <c r="P667">
        <v>5</v>
      </c>
      <c r="Q667" t="s">
        <v>326</v>
      </c>
      <c r="R667" t="s">
        <v>1821</v>
      </c>
      <c r="S667">
        <v>0</v>
      </c>
      <c r="T667">
        <v>0</v>
      </c>
      <c r="U667" t="s">
        <v>2285</v>
      </c>
      <c r="V667" t="s">
        <v>2286</v>
      </c>
      <c r="W667" t="s">
        <v>2287</v>
      </c>
      <c r="X667" t="s">
        <v>2288</v>
      </c>
      <c r="Y667" t="s">
        <v>2289</v>
      </c>
      <c r="Z667" t="s">
        <v>2318</v>
      </c>
      <c r="AA667">
        <v>28</v>
      </c>
      <c r="AB667" s="14">
        <v>150</v>
      </c>
      <c r="AC667" t="s">
        <v>2319</v>
      </c>
      <c r="AD667" t="s">
        <v>2320</v>
      </c>
      <c r="AE667" t="s">
        <v>2643</v>
      </c>
      <c r="AF667">
        <v>1</v>
      </c>
      <c r="AG667">
        <v>1</v>
      </c>
      <c r="AH667">
        <v>15</v>
      </c>
      <c r="AI667">
        <v>1</v>
      </c>
      <c r="AJ667">
        <v>1</v>
      </c>
      <c r="AK667">
        <v>0</v>
      </c>
      <c r="AL667">
        <v>1</v>
      </c>
      <c r="AM667" s="14">
        <v>0</v>
      </c>
      <c r="AN667" t="s">
        <v>2644</v>
      </c>
      <c r="AO667" s="12">
        <v>46143</v>
      </c>
      <c r="AP667">
        <v>2026</v>
      </c>
      <c r="AQ667">
        <v>5</v>
      </c>
      <c r="AR667" t="s">
        <v>2652</v>
      </c>
    </row>
    <row r="668" spans="1:44">
      <c r="A668" t="s">
        <v>1882</v>
      </c>
      <c r="B668" s="12">
        <v>46167</v>
      </c>
      <c r="C668" s="12">
        <v>46154</v>
      </c>
      <c r="D668" t="s">
        <v>1383</v>
      </c>
      <c r="E668" t="s">
        <v>339</v>
      </c>
      <c r="F668" t="s">
        <v>256</v>
      </c>
      <c r="G668" t="s">
        <v>345</v>
      </c>
      <c r="H668" t="s">
        <v>122</v>
      </c>
      <c r="I668" t="s">
        <v>316</v>
      </c>
      <c r="J668" s="13">
        <v>0.33333333333333331</v>
      </c>
      <c r="K668" s="13">
        <v>0.33819444444444446</v>
      </c>
      <c r="L668" s="13">
        <v>0.35347222222222224</v>
      </c>
      <c r="M668">
        <v>45</v>
      </c>
      <c r="N668" s="14">
        <v>95</v>
      </c>
      <c r="O668" t="s">
        <v>169</v>
      </c>
      <c r="P668">
        <v>5</v>
      </c>
      <c r="Q668" t="s">
        <v>326</v>
      </c>
      <c r="R668" t="s">
        <v>1821</v>
      </c>
      <c r="S668">
        <v>0</v>
      </c>
      <c r="T668">
        <v>0</v>
      </c>
      <c r="U668" t="s">
        <v>2294</v>
      </c>
      <c r="V668" t="s">
        <v>2295</v>
      </c>
      <c r="W668" t="s">
        <v>2296</v>
      </c>
      <c r="X668" t="s">
        <v>2297</v>
      </c>
      <c r="Y668" t="s">
        <v>2298</v>
      </c>
      <c r="Z668" t="s">
        <v>2312</v>
      </c>
      <c r="AA668">
        <v>21</v>
      </c>
      <c r="AB668" s="14">
        <v>95</v>
      </c>
      <c r="AC668" t="s">
        <v>2313</v>
      </c>
      <c r="AD668" t="s">
        <v>2314</v>
      </c>
      <c r="AE668" t="s">
        <v>2643</v>
      </c>
      <c r="AF668">
        <v>13</v>
      </c>
      <c r="AG668">
        <v>1</v>
      </c>
      <c r="AJ668">
        <v>1</v>
      </c>
      <c r="AK668">
        <v>1</v>
      </c>
      <c r="AL668">
        <v>1</v>
      </c>
      <c r="AM668" s="14">
        <v>0</v>
      </c>
      <c r="AN668" t="s">
        <v>2644</v>
      </c>
      <c r="AO668" s="12">
        <v>46143</v>
      </c>
      <c r="AP668">
        <v>2026</v>
      </c>
      <c r="AQ668">
        <v>5</v>
      </c>
      <c r="AR668" t="s">
        <v>2652</v>
      </c>
    </row>
    <row r="669" spans="1:44">
      <c r="A669" t="s">
        <v>1883</v>
      </c>
      <c r="B669" s="12">
        <v>46161</v>
      </c>
      <c r="C669" s="12">
        <v>46155</v>
      </c>
      <c r="D669" t="s">
        <v>546</v>
      </c>
      <c r="E669" t="s">
        <v>268</v>
      </c>
      <c r="F669" t="s">
        <v>256</v>
      </c>
      <c r="G669" t="s">
        <v>419</v>
      </c>
      <c r="H669" t="s">
        <v>115</v>
      </c>
      <c r="I669" t="s">
        <v>299</v>
      </c>
      <c r="J669" s="13">
        <v>0.39583333333333331</v>
      </c>
      <c r="K669" s="13">
        <v>0.4</v>
      </c>
      <c r="L669" s="13">
        <v>0.41319444444444442</v>
      </c>
      <c r="M669">
        <v>20</v>
      </c>
      <c r="N669" s="14">
        <v>95</v>
      </c>
      <c r="O669" t="s">
        <v>169</v>
      </c>
      <c r="P669">
        <v>4</v>
      </c>
      <c r="Q669" t="s">
        <v>305</v>
      </c>
      <c r="R669" t="s">
        <v>1821</v>
      </c>
      <c r="S669">
        <v>0</v>
      </c>
      <c r="T669">
        <v>0</v>
      </c>
      <c r="U669" t="s">
        <v>2285</v>
      </c>
      <c r="V669" t="s">
        <v>2286</v>
      </c>
      <c r="W669" t="s">
        <v>2287</v>
      </c>
      <c r="X669" t="s">
        <v>2288</v>
      </c>
      <c r="Y669" t="s">
        <v>2289</v>
      </c>
      <c r="Z669" t="s">
        <v>2312</v>
      </c>
      <c r="AA669">
        <v>21</v>
      </c>
      <c r="AB669" s="14">
        <v>95</v>
      </c>
      <c r="AC669" t="s">
        <v>2313</v>
      </c>
      <c r="AD669" t="s">
        <v>2314</v>
      </c>
      <c r="AE669" t="s">
        <v>2643</v>
      </c>
      <c r="AF669">
        <v>6</v>
      </c>
      <c r="AG669">
        <v>1</v>
      </c>
      <c r="AH669">
        <v>19</v>
      </c>
      <c r="AI669">
        <v>1</v>
      </c>
      <c r="AJ669">
        <v>1</v>
      </c>
      <c r="AK669">
        <v>0</v>
      </c>
      <c r="AL669">
        <v>1</v>
      </c>
      <c r="AM669" s="14">
        <v>0</v>
      </c>
      <c r="AN669" t="s">
        <v>2644</v>
      </c>
      <c r="AO669" s="12">
        <v>46143</v>
      </c>
      <c r="AP669">
        <v>2026</v>
      </c>
      <c r="AQ669">
        <v>5</v>
      </c>
      <c r="AR669" t="s">
        <v>2652</v>
      </c>
    </row>
    <row r="670" spans="1:44">
      <c r="A670" t="s">
        <v>1884</v>
      </c>
      <c r="B670" s="12">
        <v>46151</v>
      </c>
      <c r="C670" s="12">
        <v>46143</v>
      </c>
      <c r="D670" t="s">
        <v>721</v>
      </c>
      <c r="E670" t="s">
        <v>339</v>
      </c>
      <c r="F670" t="s">
        <v>269</v>
      </c>
      <c r="G670" t="s">
        <v>528</v>
      </c>
      <c r="H670" t="s">
        <v>115</v>
      </c>
      <c r="I670" t="s">
        <v>271</v>
      </c>
      <c r="J670" s="13">
        <v>0.35416666666666669</v>
      </c>
      <c r="K670" s="13">
        <v>0.36180555555555555</v>
      </c>
      <c r="L670" s="13">
        <v>0.35486111111111113</v>
      </c>
      <c r="M670">
        <v>60</v>
      </c>
      <c r="N670" s="14">
        <v>80</v>
      </c>
      <c r="O670" t="s">
        <v>195</v>
      </c>
      <c r="P670">
        <v>3</v>
      </c>
      <c r="Q670" t="s">
        <v>318</v>
      </c>
      <c r="R670" t="s">
        <v>1821</v>
      </c>
      <c r="S670">
        <v>0</v>
      </c>
      <c r="T670">
        <v>0</v>
      </c>
      <c r="U670" t="s">
        <v>2294</v>
      </c>
      <c r="V670" t="s">
        <v>2295</v>
      </c>
      <c r="W670" t="s">
        <v>2296</v>
      </c>
      <c r="X670" t="s">
        <v>2297</v>
      </c>
      <c r="Y670" t="s">
        <v>2298</v>
      </c>
      <c r="Z670" t="s">
        <v>2315</v>
      </c>
      <c r="AA670">
        <v>10</v>
      </c>
      <c r="AB670" s="14">
        <v>80</v>
      </c>
      <c r="AC670" t="s">
        <v>2316</v>
      </c>
      <c r="AD670" t="s">
        <v>2317</v>
      </c>
      <c r="AE670" t="s">
        <v>2643</v>
      </c>
      <c r="AF670">
        <v>8</v>
      </c>
      <c r="AG670">
        <v>1</v>
      </c>
      <c r="AJ670">
        <v>1</v>
      </c>
      <c r="AK670">
        <v>0</v>
      </c>
      <c r="AL670">
        <v>1</v>
      </c>
      <c r="AM670" s="14">
        <v>0</v>
      </c>
      <c r="AN670" t="s">
        <v>2644</v>
      </c>
      <c r="AO670" s="12">
        <v>46143</v>
      </c>
      <c r="AP670">
        <v>2026</v>
      </c>
      <c r="AQ670">
        <v>5</v>
      </c>
      <c r="AR670" t="s">
        <v>2652</v>
      </c>
    </row>
    <row r="671" spans="1:44">
      <c r="A671" t="s">
        <v>1887</v>
      </c>
      <c r="B671" s="12">
        <v>46168</v>
      </c>
      <c r="C671" s="12">
        <v>46167</v>
      </c>
      <c r="D671" t="s">
        <v>989</v>
      </c>
      <c r="E671" t="s">
        <v>255</v>
      </c>
      <c r="F671" t="s">
        <v>269</v>
      </c>
      <c r="G671" t="s">
        <v>542</v>
      </c>
      <c r="H671" t="s">
        <v>466</v>
      </c>
      <c r="I671" t="s">
        <v>271</v>
      </c>
      <c r="J671" s="13">
        <v>0.54166666666666663</v>
      </c>
      <c r="K671" s="13"/>
      <c r="L671" s="13"/>
      <c r="M671">
        <v>0</v>
      </c>
      <c r="N671" s="14">
        <v>80</v>
      </c>
      <c r="O671" t="s">
        <v>169</v>
      </c>
      <c r="Q671" t="s">
        <v>262</v>
      </c>
      <c r="R671" t="s">
        <v>1821</v>
      </c>
      <c r="S671">
        <v>0</v>
      </c>
      <c r="T671">
        <v>0</v>
      </c>
      <c r="U671" t="s">
        <v>2299</v>
      </c>
      <c r="V671" t="s">
        <v>2295</v>
      </c>
      <c r="W671" t="s">
        <v>2300</v>
      </c>
      <c r="X671" t="s">
        <v>2288</v>
      </c>
      <c r="Y671" t="s">
        <v>2301</v>
      </c>
      <c r="Z671" t="s">
        <v>2315</v>
      </c>
      <c r="AA671">
        <v>10</v>
      </c>
      <c r="AB671" s="14">
        <v>80</v>
      </c>
      <c r="AC671" t="s">
        <v>2316</v>
      </c>
      <c r="AD671" t="s">
        <v>2317</v>
      </c>
      <c r="AE671" t="s">
        <v>2643</v>
      </c>
      <c r="AF671">
        <v>1</v>
      </c>
      <c r="AG671">
        <v>1</v>
      </c>
      <c r="AJ671">
        <v>0</v>
      </c>
      <c r="AL671">
        <v>1</v>
      </c>
      <c r="AM671" s="14">
        <v>0</v>
      </c>
      <c r="AN671" t="s">
        <v>2644</v>
      </c>
      <c r="AO671" s="12">
        <v>46143</v>
      </c>
      <c r="AP671">
        <v>2026</v>
      </c>
      <c r="AQ671">
        <v>5</v>
      </c>
      <c r="AR671" t="s">
        <v>2652</v>
      </c>
    </row>
    <row r="672" spans="1:44">
      <c r="A672" t="s">
        <v>1889</v>
      </c>
      <c r="B672" s="12">
        <v>46171</v>
      </c>
      <c r="C672" s="12">
        <v>46142</v>
      </c>
      <c r="D672" t="s">
        <v>1083</v>
      </c>
      <c r="E672" t="s">
        <v>268</v>
      </c>
      <c r="F672" t="s">
        <v>282</v>
      </c>
      <c r="G672" t="s">
        <v>505</v>
      </c>
      <c r="H672" t="s">
        <v>122</v>
      </c>
      <c r="I672" t="s">
        <v>316</v>
      </c>
      <c r="J672" s="13">
        <v>0.4375</v>
      </c>
      <c r="K672" s="13"/>
      <c r="L672" s="13"/>
      <c r="M672">
        <v>0</v>
      </c>
      <c r="N672" s="14">
        <v>120</v>
      </c>
      <c r="O672" t="s">
        <v>169</v>
      </c>
      <c r="Q672" t="s">
        <v>326</v>
      </c>
      <c r="R672" t="s">
        <v>1821</v>
      </c>
      <c r="S672">
        <v>0</v>
      </c>
      <c r="T672">
        <v>0</v>
      </c>
      <c r="U672" t="s">
        <v>2285</v>
      </c>
      <c r="V672" t="s">
        <v>2286</v>
      </c>
      <c r="W672" t="s">
        <v>2287</v>
      </c>
      <c r="X672" t="s">
        <v>2288</v>
      </c>
      <c r="Y672" t="s">
        <v>2289</v>
      </c>
      <c r="Z672" t="s">
        <v>2309</v>
      </c>
      <c r="AA672">
        <v>14</v>
      </c>
      <c r="AB672" s="14">
        <v>120</v>
      </c>
      <c r="AC672" t="s">
        <v>2310</v>
      </c>
      <c r="AD672" t="s">
        <v>2311</v>
      </c>
      <c r="AE672" t="s">
        <v>2643</v>
      </c>
      <c r="AF672">
        <v>29</v>
      </c>
      <c r="AG672">
        <v>0</v>
      </c>
      <c r="AJ672">
        <v>1</v>
      </c>
      <c r="AK672">
        <v>1</v>
      </c>
      <c r="AL672">
        <v>1</v>
      </c>
      <c r="AM672" s="14">
        <v>0</v>
      </c>
      <c r="AN672" t="s">
        <v>2644</v>
      </c>
      <c r="AO672" s="12">
        <v>46143</v>
      </c>
      <c r="AP672">
        <v>2026</v>
      </c>
      <c r="AQ672">
        <v>5</v>
      </c>
      <c r="AR672" t="s">
        <v>2652</v>
      </c>
    </row>
    <row r="673" spans="1:44">
      <c r="A673" t="s">
        <v>1891</v>
      </c>
      <c r="B673" s="12">
        <v>46155</v>
      </c>
      <c r="C673" s="12">
        <v>46132</v>
      </c>
      <c r="D673" t="s">
        <v>715</v>
      </c>
      <c r="E673" t="s">
        <v>281</v>
      </c>
      <c r="F673" t="s">
        <v>409</v>
      </c>
      <c r="G673" t="s">
        <v>535</v>
      </c>
      <c r="H673" t="s">
        <v>127</v>
      </c>
      <c r="I673" t="s">
        <v>271</v>
      </c>
      <c r="J673" s="13">
        <v>0.58333333333333337</v>
      </c>
      <c r="K673" s="13"/>
      <c r="L673" s="13"/>
      <c r="M673">
        <v>0</v>
      </c>
      <c r="N673" s="14">
        <v>150</v>
      </c>
      <c r="O673" t="s">
        <v>195</v>
      </c>
      <c r="Q673" t="s">
        <v>326</v>
      </c>
      <c r="R673" t="s">
        <v>1821</v>
      </c>
      <c r="S673">
        <v>0</v>
      </c>
      <c r="T673">
        <v>0</v>
      </c>
      <c r="U673" t="s">
        <v>2290</v>
      </c>
      <c r="V673" t="s">
        <v>2291</v>
      </c>
      <c r="W673" t="s">
        <v>2292</v>
      </c>
      <c r="X673" t="s">
        <v>2288</v>
      </c>
      <c r="Y673" t="s">
        <v>2293</v>
      </c>
      <c r="Z673" t="s">
        <v>2318</v>
      </c>
      <c r="AA673">
        <v>28</v>
      </c>
      <c r="AB673" s="14">
        <v>150</v>
      </c>
      <c r="AC673" t="s">
        <v>2319</v>
      </c>
      <c r="AD673" t="s">
        <v>2320</v>
      </c>
      <c r="AE673" t="s">
        <v>2643</v>
      </c>
      <c r="AF673">
        <v>23</v>
      </c>
      <c r="AG673">
        <v>1</v>
      </c>
      <c r="AJ673">
        <v>0</v>
      </c>
      <c r="AL673">
        <v>1</v>
      </c>
      <c r="AM673" s="14">
        <v>0</v>
      </c>
      <c r="AN673" t="s">
        <v>2644</v>
      </c>
      <c r="AO673" s="12">
        <v>46143</v>
      </c>
      <c r="AP673">
        <v>2026</v>
      </c>
      <c r="AQ673">
        <v>5</v>
      </c>
      <c r="AR673" t="s">
        <v>2652</v>
      </c>
    </row>
    <row r="674" spans="1:44">
      <c r="A674" t="s">
        <v>1892</v>
      </c>
      <c r="B674" s="12">
        <v>46166</v>
      </c>
      <c r="C674" s="12">
        <v>46161</v>
      </c>
      <c r="D674" t="s">
        <v>586</v>
      </c>
      <c r="E674" t="s">
        <v>339</v>
      </c>
      <c r="F674" t="s">
        <v>297</v>
      </c>
      <c r="G674" t="s">
        <v>569</v>
      </c>
      <c r="H674" t="s">
        <v>115</v>
      </c>
      <c r="I674" t="s">
        <v>316</v>
      </c>
      <c r="J674" s="13">
        <v>0.54166666666666663</v>
      </c>
      <c r="K674" s="13">
        <v>0.5493055555555556</v>
      </c>
      <c r="L674" s="13">
        <v>0.55486111111111114</v>
      </c>
      <c r="M674">
        <v>30</v>
      </c>
      <c r="N674" s="14">
        <v>65</v>
      </c>
      <c r="O674" t="s">
        <v>169</v>
      </c>
      <c r="P674">
        <v>4</v>
      </c>
      <c r="Q674" t="s">
        <v>262</v>
      </c>
      <c r="R674" t="s">
        <v>1821</v>
      </c>
      <c r="S674">
        <v>0</v>
      </c>
      <c r="T674">
        <v>0</v>
      </c>
      <c r="U674" t="s">
        <v>2294</v>
      </c>
      <c r="V674" t="s">
        <v>2295</v>
      </c>
      <c r="W674" t="s">
        <v>2296</v>
      </c>
      <c r="X674" t="s">
        <v>2297</v>
      </c>
      <c r="Y674" t="s">
        <v>2298</v>
      </c>
      <c r="Z674" t="s">
        <v>2306</v>
      </c>
      <c r="AA674">
        <v>7</v>
      </c>
      <c r="AB674" s="14">
        <v>65</v>
      </c>
      <c r="AC674" t="s">
        <v>2307</v>
      </c>
      <c r="AD674" t="s">
        <v>2308</v>
      </c>
      <c r="AE674" t="s">
        <v>2643</v>
      </c>
      <c r="AF674">
        <v>5</v>
      </c>
      <c r="AG674">
        <v>1</v>
      </c>
      <c r="AH674">
        <v>8</v>
      </c>
      <c r="AI674">
        <v>1</v>
      </c>
      <c r="AJ674">
        <v>1</v>
      </c>
      <c r="AK674">
        <v>0</v>
      </c>
      <c r="AL674">
        <v>1</v>
      </c>
      <c r="AM674" s="14">
        <v>0</v>
      </c>
      <c r="AN674" t="s">
        <v>2644</v>
      </c>
      <c r="AO674" s="12">
        <v>46143</v>
      </c>
      <c r="AP674">
        <v>2026</v>
      </c>
      <c r="AQ674">
        <v>5</v>
      </c>
      <c r="AR674" t="s">
        <v>2652</v>
      </c>
    </row>
    <row r="675" spans="1:44">
      <c r="A675" t="s">
        <v>1893</v>
      </c>
      <c r="B675" s="12">
        <v>46158</v>
      </c>
      <c r="C675" s="12">
        <v>46133</v>
      </c>
      <c r="D675" t="s">
        <v>418</v>
      </c>
      <c r="E675" t="s">
        <v>281</v>
      </c>
      <c r="F675" t="s">
        <v>297</v>
      </c>
      <c r="G675" t="s">
        <v>298</v>
      </c>
      <c r="H675" t="s">
        <v>115</v>
      </c>
      <c r="I675" t="s">
        <v>271</v>
      </c>
      <c r="J675" s="13">
        <v>0.375</v>
      </c>
      <c r="K675" s="13">
        <v>0.38541666666666669</v>
      </c>
      <c r="L675" s="13">
        <v>0.40138888888888891</v>
      </c>
      <c r="M675">
        <v>30</v>
      </c>
      <c r="N675" s="14">
        <v>65</v>
      </c>
      <c r="O675" t="s">
        <v>195</v>
      </c>
      <c r="P675">
        <v>5</v>
      </c>
      <c r="Q675" t="s">
        <v>318</v>
      </c>
      <c r="R675" t="s">
        <v>1821</v>
      </c>
      <c r="S675">
        <v>0</v>
      </c>
      <c r="T675">
        <v>0</v>
      </c>
      <c r="U675" t="s">
        <v>2290</v>
      </c>
      <c r="V675" t="s">
        <v>2291</v>
      </c>
      <c r="W675" t="s">
        <v>2292</v>
      </c>
      <c r="X675" t="s">
        <v>2288</v>
      </c>
      <c r="Y675" t="s">
        <v>2293</v>
      </c>
      <c r="Z675" t="s">
        <v>2306</v>
      </c>
      <c r="AA675">
        <v>7</v>
      </c>
      <c r="AB675" s="14">
        <v>65</v>
      </c>
      <c r="AC675" t="s">
        <v>2307</v>
      </c>
      <c r="AD675" t="s">
        <v>2308</v>
      </c>
      <c r="AE675" t="s">
        <v>2643</v>
      </c>
      <c r="AF675">
        <v>25</v>
      </c>
      <c r="AG675">
        <v>0</v>
      </c>
      <c r="AH675">
        <v>23</v>
      </c>
      <c r="AI675">
        <v>1</v>
      </c>
      <c r="AJ675">
        <v>1</v>
      </c>
      <c r="AK675">
        <v>0</v>
      </c>
      <c r="AL675">
        <v>1</v>
      </c>
      <c r="AM675" s="14">
        <v>0</v>
      </c>
      <c r="AN675" t="s">
        <v>2644</v>
      </c>
      <c r="AO675" s="12">
        <v>46143</v>
      </c>
      <c r="AP675">
        <v>2026</v>
      </c>
      <c r="AQ675">
        <v>5</v>
      </c>
      <c r="AR675" t="s">
        <v>2652</v>
      </c>
    </row>
    <row r="676" spans="1:44">
      <c r="A676" t="s">
        <v>1894</v>
      </c>
      <c r="B676" s="12">
        <v>46147</v>
      </c>
      <c r="C676" s="12">
        <v>46138</v>
      </c>
      <c r="D676" t="s">
        <v>534</v>
      </c>
      <c r="E676" t="s">
        <v>268</v>
      </c>
      <c r="F676" t="s">
        <v>256</v>
      </c>
      <c r="G676" t="s">
        <v>419</v>
      </c>
      <c r="H676" t="s">
        <v>115</v>
      </c>
      <c r="I676" t="s">
        <v>316</v>
      </c>
      <c r="J676" s="13">
        <v>0.39583333333333331</v>
      </c>
      <c r="K676" s="13">
        <v>0.40208333333333335</v>
      </c>
      <c r="L676" s="13">
        <v>0.41666666666666669</v>
      </c>
      <c r="M676">
        <v>30</v>
      </c>
      <c r="N676" s="14">
        <v>95</v>
      </c>
      <c r="O676" t="s">
        <v>195</v>
      </c>
      <c r="P676">
        <v>3</v>
      </c>
      <c r="Q676" t="s">
        <v>326</v>
      </c>
      <c r="R676" t="s">
        <v>1821</v>
      </c>
      <c r="S676">
        <v>0</v>
      </c>
      <c r="T676">
        <v>0</v>
      </c>
      <c r="U676" t="s">
        <v>2285</v>
      </c>
      <c r="V676" t="s">
        <v>2286</v>
      </c>
      <c r="W676" t="s">
        <v>2287</v>
      </c>
      <c r="X676" t="s">
        <v>2288</v>
      </c>
      <c r="Y676" t="s">
        <v>2289</v>
      </c>
      <c r="Z676" t="s">
        <v>2312</v>
      </c>
      <c r="AA676">
        <v>21</v>
      </c>
      <c r="AB676" s="14">
        <v>95</v>
      </c>
      <c r="AC676" t="s">
        <v>2313</v>
      </c>
      <c r="AD676" t="s">
        <v>2314</v>
      </c>
      <c r="AE676" t="s">
        <v>2643</v>
      </c>
      <c r="AF676">
        <v>9</v>
      </c>
      <c r="AG676">
        <v>1</v>
      </c>
      <c r="AH676">
        <v>21</v>
      </c>
      <c r="AI676">
        <v>1</v>
      </c>
      <c r="AJ676">
        <v>1</v>
      </c>
      <c r="AK676">
        <v>0</v>
      </c>
      <c r="AL676">
        <v>1</v>
      </c>
      <c r="AM676" s="14">
        <v>0</v>
      </c>
      <c r="AN676" t="s">
        <v>2644</v>
      </c>
      <c r="AO676" s="12">
        <v>46143</v>
      </c>
      <c r="AP676">
        <v>2026</v>
      </c>
      <c r="AQ676">
        <v>5</v>
      </c>
      <c r="AR676" t="s">
        <v>2652</v>
      </c>
    </row>
    <row r="677" spans="1:44">
      <c r="A677" t="s">
        <v>1895</v>
      </c>
      <c r="B677" s="12">
        <v>46153</v>
      </c>
      <c r="C677" s="12">
        <v>46143</v>
      </c>
      <c r="D677" t="s">
        <v>800</v>
      </c>
      <c r="E677" t="s">
        <v>339</v>
      </c>
      <c r="F677" t="s">
        <v>256</v>
      </c>
      <c r="G677" t="s">
        <v>345</v>
      </c>
      <c r="H677" t="s">
        <v>115</v>
      </c>
      <c r="I677" t="s">
        <v>316</v>
      </c>
      <c r="J677" s="13">
        <v>0.5</v>
      </c>
      <c r="K677" s="13">
        <v>0.49583333333333335</v>
      </c>
      <c r="L677" s="13">
        <v>0.51666666666666672</v>
      </c>
      <c r="M677">
        <v>20</v>
      </c>
      <c r="N677" s="14">
        <v>95</v>
      </c>
      <c r="O677" t="s">
        <v>169</v>
      </c>
      <c r="P677">
        <v>4</v>
      </c>
      <c r="Q677" t="s">
        <v>318</v>
      </c>
      <c r="R677" t="s">
        <v>1821</v>
      </c>
      <c r="S677">
        <v>0</v>
      </c>
      <c r="T677">
        <v>0</v>
      </c>
      <c r="U677" t="s">
        <v>2294</v>
      </c>
      <c r="V677" t="s">
        <v>2295</v>
      </c>
      <c r="W677" t="s">
        <v>2296</v>
      </c>
      <c r="X677" t="s">
        <v>2297</v>
      </c>
      <c r="Y677" t="s">
        <v>2298</v>
      </c>
      <c r="Z677" t="s">
        <v>2312</v>
      </c>
      <c r="AA677">
        <v>21</v>
      </c>
      <c r="AB677" s="14">
        <v>95</v>
      </c>
      <c r="AC677" t="s">
        <v>2313</v>
      </c>
      <c r="AD677" t="s">
        <v>2314</v>
      </c>
      <c r="AE677" t="s">
        <v>2643</v>
      </c>
      <c r="AF677">
        <v>10</v>
      </c>
      <c r="AG677">
        <v>1</v>
      </c>
      <c r="AH677">
        <v>30</v>
      </c>
      <c r="AI677">
        <v>1</v>
      </c>
      <c r="AJ677">
        <v>1</v>
      </c>
      <c r="AK677">
        <v>0</v>
      </c>
      <c r="AL677">
        <v>1</v>
      </c>
      <c r="AM677" s="14">
        <v>0</v>
      </c>
      <c r="AN677" t="s">
        <v>2644</v>
      </c>
      <c r="AO677" s="12">
        <v>46143</v>
      </c>
      <c r="AP677">
        <v>2026</v>
      </c>
      <c r="AQ677">
        <v>5</v>
      </c>
      <c r="AR677" t="s">
        <v>2652</v>
      </c>
    </row>
    <row r="678" spans="1:44">
      <c r="A678" t="s">
        <v>1897</v>
      </c>
      <c r="B678" s="12">
        <v>46153</v>
      </c>
      <c r="C678" s="12">
        <v>46137</v>
      </c>
      <c r="D678" t="s">
        <v>465</v>
      </c>
      <c r="E678" t="s">
        <v>281</v>
      </c>
      <c r="F678" t="s">
        <v>269</v>
      </c>
      <c r="G678" t="s">
        <v>322</v>
      </c>
      <c r="H678" t="s">
        <v>115</v>
      </c>
      <c r="I678" t="s">
        <v>271</v>
      </c>
      <c r="J678" s="13">
        <v>0.4375</v>
      </c>
      <c r="K678" s="13">
        <v>0.44166666666666665</v>
      </c>
      <c r="L678" s="13">
        <v>0.45</v>
      </c>
      <c r="M678">
        <v>45</v>
      </c>
      <c r="N678" s="14">
        <v>80</v>
      </c>
      <c r="O678" t="s">
        <v>169</v>
      </c>
      <c r="P678">
        <v>5</v>
      </c>
      <c r="Q678" t="s">
        <v>285</v>
      </c>
      <c r="R678" t="s">
        <v>1821</v>
      </c>
      <c r="S678">
        <v>0</v>
      </c>
      <c r="T678">
        <v>0</v>
      </c>
      <c r="U678" t="s">
        <v>2290</v>
      </c>
      <c r="V678" t="s">
        <v>2291</v>
      </c>
      <c r="W678" t="s">
        <v>2292</v>
      </c>
      <c r="X678" t="s">
        <v>2288</v>
      </c>
      <c r="Y678" t="s">
        <v>2293</v>
      </c>
      <c r="Z678" t="s">
        <v>2315</v>
      </c>
      <c r="AA678">
        <v>10</v>
      </c>
      <c r="AB678" s="14">
        <v>80</v>
      </c>
      <c r="AC678" t="s">
        <v>2316</v>
      </c>
      <c r="AD678" t="s">
        <v>2317</v>
      </c>
      <c r="AE678" t="s">
        <v>2643</v>
      </c>
      <c r="AF678">
        <v>16</v>
      </c>
      <c r="AG678">
        <v>0</v>
      </c>
      <c r="AH678">
        <v>12</v>
      </c>
      <c r="AI678">
        <v>1</v>
      </c>
      <c r="AJ678">
        <v>1</v>
      </c>
      <c r="AK678">
        <v>0</v>
      </c>
      <c r="AL678">
        <v>1</v>
      </c>
      <c r="AM678" s="14">
        <v>0</v>
      </c>
      <c r="AN678" t="s">
        <v>2644</v>
      </c>
      <c r="AO678" s="12">
        <v>46143</v>
      </c>
      <c r="AP678">
        <v>2026</v>
      </c>
      <c r="AQ678">
        <v>5</v>
      </c>
      <c r="AR678" t="s">
        <v>2652</v>
      </c>
    </row>
    <row r="679" spans="1:44">
      <c r="A679" t="s">
        <v>1898</v>
      </c>
      <c r="B679" s="12">
        <v>46159</v>
      </c>
      <c r="C679" s="12">
        <v>46104</v>
      </c>
      <c r="D679" t="s">
        <v>1071</v>
      </c>
      <c r="E679" t="s">
        <v>339</v>
      </c>
      <c r="F679" t="s">
        <v>282</v>
      </c>
      <c r="G679" t="s">
        <v>461</v>
      </c>
      <c r="H679" t="s">
        <v>122</v>
      </c>
      <c r="I679" t="s">
        <v>271</v>
      </c>
      <c r="J679" s="13">
        <v>0.4375</v>
      </c>
      <c r="K679" s="13"/>
      <c r="L679" s="13"/>
      <c r="M679">
        <v>0</v>
      </c>
      <c r="N679" s="14">
        <v>120</v>
      </c>
      <c r="O679" t="s">
        <v>169</v>
      </c>
      <c r="Q679" t="s">
        <v>285</v>
      </c>
      <c r="R679" t="s">
        <v>1821</v>
      </c>
      <c r="S679">
        <v>0</v>
      </c>
      <c r="T679">
        <v>0</v>
      </c>
      <c r="U679" t="s">
        <v>2294</v>
      </c>
      <c r="V679" t="s">
        <v>2295</v>
      </c>
      <c r="W679" t="s">
        <v>2296</v>
      </c>
      <c r="X679" t="s">
        <v>2297</v>
      </c>
      <c r="Y679" t="s">
        <v>2298</v>
      </c>
      <c r="Z679" t="s">
        <v>2309</v>
      </c>
      <c r="AA679">
        <v>14</v>
      </c>
      <c r="AB679" s="14">
        <v>120</v>
      </c>
      <c r="AC679" t="s">
        <v>2310</v>
      </c>
      <c r="AD679" t="s">
        <v>2311</v>
      </c>
      <c r="AE679" t="s">
        <v>2643</v>
      </c>
      <c r="AF679">
        <v>55</v>
      </c>
      <c r="AG679">
        <v>0</v>
      </c>
      <c r="AJ679">
        <v>1</v>
      </c>
      <c r="AK679">
        <v>1</v>
      </c>
      <c r="AL679">
        <v>1</v>
      </c>
      <c r="AM679" s="14">
        <v>0</v>
      </c>
      <c r="AN679" t="s">
        <v>2644</v>
      </c>
      <c r="AO679" s="12">
        <v>46143</v>
      </c>
      <c r="AP679">
        <v>2026</v>
      </c>
      <c r="AQ679">
        <v>5</v>
      </c>
      <c r="AR679" t="s">
        <v>2652</v>
      </c>
    </row>
    <row r="680" spans="1:44">
      <c r="A680" t="s">
        <v>1900</v>
      </c>
      <c r="B680" s="12">
        <v>46143</v>
      </c>
      <c r="C680" s="12">
        <v>46121</v>
      </c>
      <c r="D680" t="s">
        <v>958</v>
      </c>
      <c r="E680" t="s">
        <v>339</v>
      </c>
      <c r="F680" t="s">
        <v>409</v>
      </c>
      <c r="G680" t="s">
        <v>476</v>
      </c>
      <c r="H680" t="s">
        <v>115</v>
      </c>
      <c r="I680" t="s">
        <v>316</v>
      </c>
      <c r="J680" s="13">
        <v>0.4375</v>
      </c>
      <c r="K680" s="13">
        <v>0.43888888888888888</v>
      </c>
      <c r="L680" s="13">
        <v>0.4513888888888889</v>
      </c>
      <c r="M680">
        <v>45</v>
      </c>
      <c r="N680" s="14">
        <v>150</v>
      </c>
      <c r="O680" t="s">
        <v>169</v>
      </c>
      <c r="P680">
        <v>2</v>
      </c>
      <c r="Q680" t="s">
        <v>318</v>
      </c>
      <c r="R680" t="s">
        <v>1821</v>
      </c>
      <c r="S680">
        <v>0</v>
      </c>
      <c r="T680">
        <v>0</v>
      </c>
      <c r="U680" t="s">
        <v>2294</v>
      </c>
      <c r="V680" t="s">
        <v>2295</v>
      </c>
      <c r="W680" t="s">
        <v>2296</v>
      </c>
      <c r="X680" t="s">
        <v>2297</v>
      </c>
      <c r="Y680" t="s">
        <v>2298</v>
      </c>
      <c r="Z680" t="s">
        <v>2318</v>
      </c>
      <c r="AA680">
        <v>28</v>
      </c>
      <c r="AB680" s="14">
        <v>150</v>
      </c>
      <c r="AC680" t="s">
        <v>2319</v>
      </c>
      <c r="AD680" t="s">
        <v>2320</v>
      </c>
      <c r="AE680" t="s">
        <v>2643</v>
      </c>
      <c r="AF680">
        <v>22</v>
      </c>
      <c r="AG680">
        <v>1</v>
      </c>
      <c r="AH680">
        <v>18</v>
      </c>
      <c r="AI680">
        <v>1</v>
      </c>
      <c r="AJ680">
        <v>1</v>
      </c>
      <c r="AK680">
        <v>0</v>
      </c>
      <c r="AL680">
        <v>1</v>
      </c>
      <c r="AM680" s="14">
        <v>0</v>
      </c>
      <c r="AN680" t="s">
        <v>2644</v>
      </c>
      <c r="AO680" s="12">
        <v>46143</v>
      </c>
      <c r="AP680">
        <v>2026</v>
      </c>
      <c r="AQ680">
        <v>5</v>
      </c>
      <c r="AR680" t="s">
        <v>2652</v>
      </c>
    </row>
    <row r="681" spans="1:44">
      <c r="A681" t="s">
        <v>1901</v>
      </c>
      <c r="B681" s="12">
        <v>46143</v>
      </c>
      <c r="C681" s="12">
        <v>46129</v>
      </c>
      <c r="D681" t="s">
        <v>1162</v>
      </c>
      <c r="E681" t="s">
        <v>281</v>
      </c>
      <c r="F681" t="s">
        <v>269</v>
      </c>
      <c r="G681" t="s">
        <v>363</v>
      </c>
      <c r="H681" t="s">
        <v>115</v>
      </c>
      <c r="I681" t="s">
        <v>271</v>
      </c>
      <c r="J681" s="13">
        <v>0.625</v>
      </c>
      <c r="K681" s="13">
        <v>0.63680555555555551</v>
      </c>
      <c r="L681" s="13">
        <v>0.64861111111111114</v>
      </c>
      <c r="M681">
        <v>60</v>
      </c>
      <c r="N681" s="14">
        <v>80</v>
      </c>
      <c r="O681" t="s">
        <v>195</v>
      </c>
      <c r="P681">
        <v>5</v>
      </c>
      <c r="Q681" t="s">
        <v>305</v>
      </c>
      <c r="R681" t="s">
        <v>1821</v>
      </c>
      <c r="S681">
        <v>0</v>
      </c>
      <c r="T681">
        <v>0</v>
      </c>
      <c r="U681" t="s">
        <v>2290</v>
      </c>
      <c r="V681" t="s">
        <v>2291</v>
      </c>
      <c r="W681" t="s">
        <v>2292</v>
      </c>
      <c r="X681" t="s">
        <v>2288</v>
      </c>
      <c r="Y681" t="s">
        <v>2293</v>
      </c>
      <c r="Z681" t="s">
        <v>2315</v>
      </c>
      <c r="AA681">
        <v>10</v>
      </c>
      <c r="AB681" s="14">
        <v>80</v>
      </c>
      <c r="AC681" t="s">
        <v>2316</v>
      </c>
      <c r="AD681" t="s">
        <v>2317</v>
      </c>
      <c r="AE681" t="s">
        <v>2643</v>
      </c>
      <c r="AF681">
        <v>14</v>
      </c>
      <c r="AG681">
        <v>0</v>
      </c>
      <c r="AH681">
        <v>17</v>
      </c>
      <c r="AI681">
        <v>1</v>
      </c>
      <c r="AJ681">
        <v>1</v>
      </c>
      <c r="AK681">
        <v>0</v>
      </c>
      <c r="AL681">
        <v>1</v>
      </c>
      <c r="AM681" s="14">
        <v>0</v>
      </c>
      <c r="AN681" t="s">
        <v>2644</v>
      </c>
      <c r="AO681" s="12">
        <v>46143</v>
      </c>
      <c r="AP681">
        <v>2026</v>
      </c>
      <c r="AQ681">
        <v>5</v>
      </c>
      <c r="AR681" t="s">
        <v>2652</v>
      </c>
    </row>
    <row r="682" spans="1:44">
      <c r="A682" t="s">
        <v>1903</v>
      </c>
      <c r="B682" s="12">
        <v>46161</v>
      </c>
      <c r="C682" s="12">
        <v>46154</v>
      </c>
      <c r="D682" t="s">
        <v>1405</v>
      </c>
      <c r="E682" t="s">
        <v>255</v>
      </c>
      <c r="F682" t="s">
        <v>297</v>
      </c>
      <c r="G682" t="s">
        <v>331</v>
      </c>
      <c r="H682" t="s">
        <v>115</v>
      </c>
      <c r="I682" t="s">
        <v>299</v>
      </c>
      <c r="J682" s="13">
        <v>0.66666666666666663</v>
      </c>
      <c r="K682" s="13">
        <v>0.67777777777777781</v>
      </c>
      <c r="L682" s="13">
        <v>0.6694444444444444</v>
      </c>
      <c r="M682">
        <v>30</v>
      </c>
      <c r="N682" s="14">
        <v>65</v>
      </c>
      <c r="O682" t="s">
        <v>195</v>
      </c>
      <c r="P682">
        <v>5</v>
      </c>
      <c r="Q682" t="s">
        <v>305</v>
      </c>
      <c r="R682" t="s">
        <v>1821</v>
      </c>
      <c r="S682">
        <v>0</v>
      </c>
      <c r="T682">
        <v>0</v>
      </c>
      <c r="U682" t="s">
        <v>2299</v>
      </c>
      <c r="V682" t="s">
        <v>2295</v>
      </c>
      <c r="W682" t="s">
        <v>2300</v>
      </c>
      <c r="X682" t="s">
        <v>2288</v>
      </c>
      <c r="Y682" t="s">
        <v>2301</v>
      </c>
      <c r="Z682" t="s">
        <v>2306</v>
      </c>
      <c r="AA682">
        <v>7</v>
      </c>
      <c r="AB682" s="14">
        <v>65</v>
      </c>
      <c r="AC682" t="s">
        <v>2307</v>
      </c>
      <c r="AD682" t="s">
        <v>2308</v>
      </c>
      <c r="AE682" t="s">
        <v>2643</v>
      </c>
      <c r="AF682">
        <v>7</v>
      </c>
      <c r="AG682">
        <v>1</v>
      </c>
      <c r="AJ682">
        <v>1</v>
      </c>
      <c r="AK682">
        <v>0</v>
      </c>
      <c r="AL682">
        <v>1</v>
      </c>
      <c r="AM682" s="14">
        <v>0</v>
      </c>
      <c r="AN682" t="s">
        <v>2644</v>
      </c>
      <c r="AO682" s="12">
        <v>46143</v>
      </c>
      <c r="AP682">
        <v>2026</v>
      </c>
      <c r="AQ682">
        <v>5</v>
      </c>
      <c r="AR682" t="s">
        <v>2652</v>
      </c>
    </row>
    <row r="683" spans="1:44">
      <c r="A683" t="s">
        <v>1905</v>
      </c>
      <c r="B683" s="12">
        <v>46151</v>
      </c>
      <c r="C683" s="12">
        <v>46149</v>
      </c>
      <c r="D683" t="s">
        <v>1907</v>
      </c>
      <c r="E683" t="s">
        <v>268</v>
      </c>
      <c r="F683" t="s">
        <v>409</v>
      </c>
      <c r="G683" t="s">
        <v>587</v>
      </c>
      <c r="H683" t="s">
        <v>466</v>
      </c>
      <c r="I683" t="s">
        <v>271</v>
      </c>
      <c r="J683" s="13">
        <v>0.66666666666666663</v>
      </c>
      <c r="K683" s="13"/>
      <c r="L683" s="13"/>
      <c r="M683">
        <v>0</v>
      </c>
      <c r="N683" s="14">
        <v>150</v>
      </c>
      <c r="O683" t="s">
        <v>195</v>
      </c>
      <c r="Q683" t="s">
        <v>285</v>
      </c>
      <c r="R683" t="s">
        <v>1821</v>
      </c>
      <c r="S683">
        <v>0</v>
      </c>
      <c r="T683">
        <v>0</v>
      </c>
      <c r="U683" t="s">
        <v>2285</v>
      </c>
      <c r="V683" t="s">
        <v>2286</v>
      </c>
      <c r="W683" t="s">
        <v>2287</v>
      </c>
      <c r="X683" t="s">
        <v>2288</v>
      </c>
      <c r="Y683" t="s">
        <v>2289</v>
      </c>
      <c r="Z683" t="s">
        <v>2318</v>
      </c>
      <c r="AA683">
        <v>28</v>
      </c>
      <c r="AB683" s="14">
        <v>150</v>
      </c>
      <c r="AC683" t="s">
        <v>2319</v>
      </c>
      <c r="AD683" t="s">
        <v>2320</v>
      </c>
      <c r="AE683" t="s">
        <v>2643</v>
      </c>
      <c r="AF683">
        <v>2</v>
      </c>
      <c r="AG683">
        <v>1</v>
      </c>
      <c r="AJ683">
        <v>0</v>
      </c>
      <c r="AL683">
        <v>1</v>
      </c>
      <c r="AM683" s="14">
        <v>0</v>
      </c>
      <c r="AN683" t="s">
        <v>2644</v>
      </c>
      <c r="AO683" s="12">
        <v>46143</v>
      </c>
      <c r="AP683">
        <v>2026</v>
      </c>
      <c r="AQ683">
        <v>5</v>
      </c>
      <c r="AR683" t="s">
        <v>2652</v>
      </c>
    </row>
    <row r="684" spans="1:44">
      <c r="A684" t="s">
        <v>1908</v>
      </c>
      <c r="B684" s="12">
        <v>46165</v>
      </c>
      <c r="C684" s="12">
        <v>46157</v>
      </c>
      <c r="D684" t="s">
        <v>1909</v>
      </c>
      <c r="E684" t="s">
        <v>255</v>
      </c>
      <c r="F684" t="s">
        <v>269</v>
      </c>
      <c r="G684" t="s">
        <v>391</v>
      </c>
      <c r="H684" t="s">
        <v>115</v>
      </c>
      <c r="I684" t="s">
        <v>271</v>
      </c>
      <c r="J684" s="13">
        <v>0.375</v>
      </c>
      <c r="K684" s="13">
        <v>0.37986111111111109</v>
      </c>
      <c r="L684" s="13">
        <v>0.37777777777777777</v>
      </c>
      <c r="M684">
        <v>45</v>
      </c>
      <c r="N684" s="14">
        <v>80</v>
      </c>
      <c r="O684" t="s">
        <v>195</v>
      </c>
      <c r="P684">
        <v>4</v>
      </c>
      <c r="Q684" t="s">
        <v>326</v>
      </c>
      <c r="R684" t="s">
        <v>1821</v>
      </c>
      <c r="S684">
        <v>0</v>
      </c>
      <c r="T684">
        <v>0</v>
      </c>
      <c r="U684" t="s">
        <v>2299</v>
      </c>
      <c r="V684" t="s">
        <v>2295</v>
      </c>
      <c r="W684" t="s">
        <v>2300</v>
      </c>
      <c r="X684" t="s">
        <v>2288</v>
      </c>
      <c r="Y684" t="s">
        <v>2301</v>
      </c>
      <c r="Z684" t="s">
        <v>2315</v>
      </c>
      <c r="AA684">
        <v>10</v>
      </c>
      <c r="AB684" s="14">
        <v>80</v>
      </c>
      <c r="AC684" t="s">
        <v>2316</v>
      </c>
      <c r="AD684" t="s">
        <v>2317</v>
      </c>
      <c r="AE684" t="s">
        <v>2643</v>
      </c>
      <c r="AF684">
        <v>8</v>
      </c>
      <c r="AG684">
        <v>1</v>
      </c>
      <c r="AJ684">
        <v>1</v>
      </c>
      <c r="AK684">
        <v>0</v>
      </c>
      <c r="AL684">
        <v>1</v>
      </c>
      <c r="AM684" s="14">
        <v>0</v>
      </c>
      <c r="AN684" t="s">
        <v>2644</v>
      </c>
      <c r="AO684" s="12">
        <v>46143</v>
      </c>
      <c r="AP684">
        <v>2026</v>
      </c>
      <c r="AQ684">
        <v>5</v>
      </c>
      <c r="AR684" t="s">
        <v>2652</v>
      </c>
    </row>
    <row r="685" spans="1:44">
      <c r="A685" t="s">
        <v>1910</v>
      </c>
      <c r="B685" s="12">
        <v>46150</v>
      </c>
      <c r="C685" s="12">
        <v>46144</v>
      </c>
      <c r="D685" t="s">
        <v>1222</v>
      </c>
      <c r="E685" t="s">
        <v>268</v>
      </c>
      <c r="F685" t="s">
        <v>269</v>
      </c>
      <c r="G685" t="s">
        <v>435</v>
      </c>
      <c r="H685" t="s">
        <v>115</v>
      </c>
      <c r="I685" t="s">
        <v>299</v>
      </c>
      <c r="J685" s="13">
        <v>0.45833333333333331</v>
      </c>
      <c r="K685" s="13">
        <v>0.46736111111111112</v>
      </c>
      <c r="L685" s="13">
        <v>0.46111111111111114</v>
      </c>
      <c r="M685">
        <v>20</v>
      </c>
      <c r="N685" s="14">
        <v>80</v>
      </c>
      <c r="O685" t="s">
        <v>195</v>
      </c>
      <c r="P685">
        <v>3</v>
      </c>
      <c r="Q685" t="s">
        <v>326</v>
      </c>
      <c r="R685" t="s">
        <v>1821</v>
      </c>
      <c r="S685">
        <v>0</v>
      </c>
      <c r="T685">
        <v>0</v>
      </c>
      <c r="U685" t="s">
        <v>2285</v>
      </c>
      <c r="V685" t="s">
        <v>2286</v>
      </c>
      <c r="W685" t="s">
        <v>2287</v>
      </c>
      <c r="X685" t="s">
        <v>2288</v>
      </c>
      <c r="Y685" t="s">
        <v>2289</v>
      </c>
      <c r="Z685" t="s">
        <v>2315</v>
      </c>
      <c r="AA685">
        <v>10</v>
      </c>
      <c r="AB685" s="14">
        <v>80</v>
      </c>
      <c r="AC685" t="s">
        <v>2316</v>
      </c>
      <c r="AD685" t="s">
        <v>2317</v>
      </c>
      <c r="AE685" t="s">
        <v>2643</v>
      </c>
      <c r="AF685">
        <v>6</v>
      </c>
      <c r="AG685">
        <v>1</v>
      </c>
      <c r="AJ685">
        <v>1</v>
      </c>
      <c r="AK685">
        <v>0</v>
      </c>
      <c r="AL685">
        <v>1</v>
      </c>
      <c r="AM685" s="14">
        <v>0</v>
      </c>
      <c r="AN685" t="s">
        <v>2644</v>
      </c>
      <c r="AO685" s="12">
        <v>46143</v>
      </c>
      <c r="AP685">
        <v>2026</v>
      </c>
      <c r="AQ685">
        <v>5</v>
      </c>
      <c r="AR685" t="s">
        <v>2652</v>
      </c>
    </row>
    <row r="686" spans="1:44">
      <c r="A686" t="s">
        <v>1911</v>
      </c>
      <c r="B686" s="12">
        <v>46163</v>
      </c>
      <c r="C686" s="12">
        <v>46111</v>
      </c>
      <c r="D686" t="s">
        <v>454</v>
      </c>
      <c r="E686" t="s">
        <v>255</v>
      </c>
      <c r="F686" t="s">
        <v>297</v>
      </c>
      <c r="G686" t="s">
        <v>331</v>
      </c>
      <c r="H686" t="s">
        <v>115</v>
      </c>
      <c r="I686" t="s">
        <v>316</v>
      </c>
      <c r="J686" s="13">
        <v>0.58333333333333337</v>
      </c>
      <c r="K686" s="13">
        <v>0.58263888888888893</v>
      </c>
      <c r="L686" s="13">
        <v>0.61111111111111116</v>
      </c>
      <c r="M686">
        <v>20</v>
      </c>
      <c r="N686" s="14">
        <v>65</v>
      </c>
      <c r="O686" t="s">
        <v>195</v>
      </c>
      <c r="P686">
        <v>5</v>
      </c>
      <c r="Q686" t="s">
        <v>305</v>
      </c>
      <c r="R686" t="s">
        <v>1821</v>
      </c>
      <c r="S686">
        <v>0</v>
      </c>
      <c r="T686">
        <v>0</v>
      </c>
      <c r="U686" t="s">
        <v>2299</v>
      </c>
      <c r="V686" t="s">
        <v>2295</v>
      </c>
      <c r="W686" t="s">
        <v>2300</v>
      </c>
      <c r="X686" t="s">
        <v>2288</v>
      </c>
      <c r="Y686" t="s">
        <v>2301</v>
      </c>
      <c r="Z686" t="s">
        <v>2306</v>
      </c>
      <c r="AA686">
        <v>7</v>
      </c>
      <c r="AB686" s="14">
        <v>65</v>
      </c>
      <c r="AC686" t="s">
        <v>2307</v>
      </c>
      <c r="AD686" t="s">
        <v>2308</v>
      </c>
      <c r="AE686" t="s">
        <v>2643</v>
      </c>
      <c r="AF686">
        <v>52</v>
      </c>
      <c r="AG686">
        <v>0</v>
      </c>
      <c r="AH686">
        <v>41</v>
      </c>
      <c r="AI686">
        <v>0</v>
      </c>
      <c r="AJ686">
        <v>1</v>
      </c>
      <c r="AK686">
        <v>0</v>
      </c>
      <c r="AL686">
        <v>1</v>
      </c>
      <c r="AM686" s="14">
        <v>0</v>
      </c>
      <c r="AN686" t="s">
        <v>2644</v>
      </c>
      <c r="AO686" s="12">
        <v>46143</v>
      </c>
      <c r="AP686">
        <v>2026</v>
      </c>
      <c r="AQ686">
        <v>5</v>
      </c>
      <c r="AR686" t="s">
        <v>2652</v>
      </c>
    </row>
    <row r="687" spans="1:44">
      <c r="A687" t="s">
        <v>1913</v>
      </c>
      <c r="B687" s="12">
        <v>46152</v>
      </c>
      <c r="C687" s="12">
        <v>46151</v>
      </c>
      <c r="D687" t="s">
        <v>577</v>
      </c>
      <c r="E687" t="s">
        <v>281</v>
      </c>
      <c r="F687" t="s">
        <v>409</v>
      </c>
      <c r="G687" t="s">
        <v>535</v>
      </c>
      <c r="H687" t="s">
        <v>115</v>
      </c>
      <c r="I687" t="s">
        <v>271</v>
      </c>
      <c r="J687" s="13">
        <v>0.375</v>
      </c>
      <c r="K687" s="13">
        <v>0.38611111111111113</v>
      </c>
      <c r="L687" s="13">
        <v>0.38541666666666669</v>
      </c>
      <c r="M687">
        <v>60</v>
      </c>
      <c r="N687" s="14">
        <v>150</v>
      </c>
      <c r="O687" t="s">
        <v>195</v>
      </c>
      <c r="P687">
        <v>4</v>
      </c>
      <c r="Q687" t="s">
        <v>262</v>
      </c>
      <c r="R687" t="s">
        <v>1821</v>
      </c>
      <c r="S687">
        <v>0</v>
      </c>
      <c r="T687">
        <v>0</v>
      </c>
      <c r="U687" t="s">
        <v>2290</v>
      </c>
      <c r="V687" t="s">
        <v>2291</v>
      </c>
      <c r="W687" t="s">
        <v>2292</v>
      </c>
      <c r="X687" t="s">
        <v>2288</v>
      </c>
      <c r="Y687" t="s">
        <v>2293</v>
      </c>
      <c r="Z687" t="s">
        <v>2318</v>
      </c>
      <c r="AA687">
        <v>28</v>
      </c>
      <c r="AB687" s="14">
        <v>150</v>
      </c>
      <c r="AC687" t="s">
        <v>2319</v>
      </c>
      <c r="AD687" t="s">
        <v>2320</v>
      </c>
      <c r="AE687" t="s">
        <v>2643</v>
      </c>
      <c r="AF687">
        <v>1</v>
      </c>
      <c r="AG687">
        <v>1</v>
      </c>
      <c r="AJ687">
        <v>1</v>
      </c>
      <c r="AK687">
        <v>0</v>
      </c>
      <c r="AL687">
        <v>1</v>
      </c>
      <c r="AM687" s="14">
        <v>0</v>
      </c>
      <c r="AN687" t="s">
        <v>2644</v>
      </c>
      <c r="AO687" s="12">
        <v>46143</v>
      </c>
      <c r="AP687">
        <v>2026</v>
      </c>
      <c r="AQ687">
        <v>5</v>
      </c>
      <c r="AR687" t="s">
        <v>2652</v>
      </c>
    </row>
    <row r="688" spans="1:44">
      <c r="A688" t="s">
        <v>1915</v>
      </c>
      <c r="B688" s="12">
        <v>46171</v>
      </c>
      <c r="C688" s="12">
        <v>46146</v>
      </c>
      <c r="D688" t="s">
        <v>1425</v>
      </c>
      <c r="E688" t="s">
        <v>281</v>
      </c>
      <c r="F688" t="s">
        <v>269</v>
      </c>
      <c r="G688" t="s">
        <v>363</v>
      </c>
      <c r="H688" t="s">
        <v>122</v>
      </c>
      <c r="I688" t="s">
        <v>316</v>
      </c>
      <c r="J688" s="13">
        <v>0.4375</v>
      </c>
      <c r="K688" s="13"/>
      <c r="L688" s="13"/>
      <c r="M688">
        <v>0</v>
      </c>
      <c r="N688" s="14">
        <v>80</v>
      </c>
      <c r="O688" t="s">
        <v>195</v>
      </c>
      <c r="Q688" t="s">
        <v>262</v>
      </c>
      <c r="R688" t="s">
        <v>1821</v>
      </c>
      <c r="S688">
        <v>0</v>
      </c>
      <c r="T688">
        <v>0</v>
      </c>
      <c r="U688" t="s">
        <v>2290</v>
      </c>
      <c r="V688" t="s">
        <v>2291</v>
      </c>
      <c r="W688" t="s">
        <v>2292</v>
      </c>
      <c r="X688" t="s">
        <v>2288</v>
      </c>
      <c r="Y688" t="s">
        <v>2293</v>
      </c>
      <c r="Z688" t="s">
        <v>2315</v>
      </c>
      <c r="AA688">
        <v>10</v>
      </c>
      <c r="AB688" s="14">
        <v>80</v>
      </c>
      <c r="AC688" t="s">
        <v>2316</v>
      </c>
      <c r="AD688" t="s">
        <v>2317</v>
      </c>
      <c r="AE688" t="s">
        <v>2643</v>
      </c>
      <c r="AF688">
        <v>25</v>
      </c>
      <c r="AG688">
        <v>0</v>
      </c>
      <c r="AJ688">
        <v>1</v>
      </c>
      <c r="AK688">
        <v>1</v>
      </c>
      <c r="AL688">
        <v>1</v>
      </c>
      <c r="AM688" s="14">
        <v>0</v>
      </c>
      <c r="AN688" t="s">
        <v>2644</v>
      </c>
      <c r="AO688" s="12">
        <v>46143</v>
      </c>
      <c r="AP688">
        <v>2026</v>
      </c>
      <c r="AQ688">
        <v>5</v>
      </c>
      <c r="AR688" t="s">
        <v>2652</v>
      </c>
    </row>
    <row r="689" spans="1:44">
      <c r="A689" t="s">
        <v>1916</v>
      </c>
      <c r="B689" s="12">
        <v>46156</v>
      </c>
      <c r="C689" s="12">
        <v>46114</v>
      </c>
      <c r="D689" t="s">
        <v>1239</v>
      </c>
      <c r="E689" t="s">
        <v>281</v>
      </c>
      <c r="F689" t="s">
        <v>409</v>
      </c>
      <c r="G689" t="s">
        <v>496</v>
      </c>
      <c r="H689" t="s">
        <v>115</v>
      </c>
      <c r="I689" t="s">
        <v>271</v>
      </c>
      <c r="J689" s="13">
        <v>0.33333333333333331</v>
      </c>
      <c r="K689" s="13">
        <v>0.34583333333333333</v>
      </c>
      <c r="L689" s="13">
        <v>0.34861111111111109</v>
      </c>
      <c r="M689">
        <v>60</v>
      </c>
      <c r="N689" s="14">
        <v>150</v>
      </c>
      <c r="O689" t="s">
        <v>195</v>
      </c>
      <c r="P689">
        <v>2</v>
      </c>
      <c r="Q689" t="s">
        <v>285</v>
      </c>
      <c r="R689" t="s">
        <v>1821</v>
      </c>
      <c r="S689">
        <v>0</v>
      </c>
      <c r="T689">
        <v>0</v>
      </c>
      <c r="U689" t="s">
        <v>2290</v>
      </c>
      <c r="V689" t="s">
        <v>2291</v>
      </c>
      <c r="W689" t="s">
        <v>2292</v>
      </c>
      <c r="X689" t="s">
        <v>2288</v>
      </c>
      <c r="Y689" t="s">
        <v>2293</v>
      </c>
      <c r="Z689" t="s">
        <v>2318</v>
      </c>
      <c r="AA689">
        <v>28</v>
      </c>
      <c r="AB689" s="14">
        <v>150</v>
      </c>
      <c r="AC689" t="s">
        <v>2319</v>
      </c>
      <c r="AD689" t="s">
        <v>2320</v>
      </c>
      <c r="AE689" t="s">
        <v>2643</v>
      </c>
      <c r="AF689">
        <v>42</v>
      </c>
      <c r="AG689">
        <v>0</v>
      </c>
      <c r="AH689">
        <v>4</v>
      </c>
      <c r="AI689">
        <v>1</v>
      </c>
      <c r="AJ689">
        <v>1</v>
      </c>
      <c r="AK689">
        <v>0</v>
      </c>
      <c r="AL689">
        <v>1</v>
      </c>
      <c r="AM689" s="14">
        <v>0</v>
      </c>
      <c r="AN689" t="s">
        <v>2644</v>
      </c>
      <c r="AO689" s="12">
        <v>46143</v>
      </c>
      <c r="AP689">
        <v>2026</v>
      </c>
      <c r="AQ689">
        <v>5</v>
      </c>
      <c r="AR689" t="s">
        <v>2652</v>
      </c>
    </row>
    <row r="690" spans="1:44">
      <c r="A690" t="s">
        <v>1918</v>
      </c>
      <c r="B690" s="12">
        <v>46153</v>
      </c>
      <c r="C690" s="12">
        <v>46102</v>
      </c>
      <c r="D690" t="s">
        <v>551</v>
      </c>
      <c r="E690" t="s">
        <v>281</v>
      </c>
      <c r="F690" t="s">
        <v>409</v>
      </c>
      <c r="G690" t="s">
        <v>535</v>
      </c>
      <c r="H690" t="s">
        <v>466</v>
      </c>
      <c r="I690" t="s">
        <v>316</v>
      </c>
      <c r="J690" s="13">
        <v>0.33333333333333331</v>
      </c>
      <c r="K690" s="13"/>
      <c r="L690" s="13"/>
      <c r="M690">
        <v>0</v>
      </c>
      <c r="N690" s="14">
        <v>150</v>
      </c>
      <c r="O690" t="s">
        <v>195</v>
      </c>
      <c r="Q690" t="s">
        <v>318</v>
      </c>
      <c r="R690" t="s">
        <v>1821</v>
      </c>
      <c r="S690">
        <v>0</v>
      </c>
      <c r="T690">
        <v>0</v>
      </c>
      <c r="U690" t="s">
        <v>2290</v>
      </c>
      <c r="V690" t="s">
        <v>2291</v>
      </c>
      <c r="W690" t="s">
        <v>2292</v>
      </c>
      <c r="X690" t="s">
        <v>2288</v>
      </c>
      <c r="Y690" t="s">
        <v>2293</v>
      </c>
      <c r="Z690" t="s">
        <v>2318</v>
      </c>
      <c r="AA690">
        <v>28</v>
      </c>
      <c r="AB690" s="14">
        <v>150</v>
      </c>
      <c r="AC690" t="s">
        <v>2319</v>
      </c>
      <c r="AD690" t="s">
        <v>2320</v>
      </c>
      <c r="AE690" t="s">
        <v>2643</v>
      </c>
      <c r="AF690">
        <v>51</v>
      </c>
      <c r="AG690">
        <v>0</v>
      </c>
      <c r="AJ690">
        <v>0</v>
      </c>
      <c r="AL690">
        <v>1</v>
      </c>
      <c r="AM690" s="14">
        <v>0</v>
      </c>
      <c r="AN690" t="s">
        <v>2644</v>
      </c>
      <c r="AO690" s="12">
        <v>46143</v>
      </c>
      <c r="AP690">
        <v>2026</v>
      </c>
      <c r="AQ690">
        <v>5</v>
      </c>
      <c r="AR690" t="s">
        <v>2652</v>
      </c>
    </row>
    <row r="691" spans="1:44">
      <c r="A691" t="s">
        <v>1919</v>
      </c>
      <c r="B691" s="12">
        <v>46172</v>
      </c>
      <c r="C691" s="12">
        <v>46157</v>
      </c>
      <c r="D691" t="s">
        <v>875</v>
      </c>
      <c r="E691" t="s">
        <v>281</v>
      </c>
      <c r="F691" t="s">
        <v>409</v>
      </c>
      <c r="G691" t="s">
        <v>535</v>
      </c>
      <c r="H691" t="s">
        <v>115</v>
      </c>
      <c r="I691" t="s">
        <v>258</v>
      </c>
      <c r="J691" s="13">
        <v>0.35416666666666669</v>
      </c>
      <c r="K691" s="13">
        <v>0.34861111111111109</v>
      </c>
      <c r="L691" s="13">
        <v>0.36180555555555555</v>
      </c>
      <c r="M691">
        <v>20</v>
      </c>
      <c r="N691" s="14">
        <v>150</v>
      </c>
      <c r="O691" t="s">
        <v>169</v>
      </c>
      <c r="P691">
        <v>4</v>
      </c>
      <c r="Q691" t="s">
        <v>262</v>
      </c>
      <c r="R691" t="s">
        <v>1821</v>
      </c>
      <c r="S691">
        <v>0</v>
      </c>
      <c r="T691">
        <v>0</v>
      </c>
      <c r="U691" t="s">
        <v>2290</v>
      </c>
      <c r="V691" t="s">
        <v>2291</v>
      </c>
      <c r="W691" t="s">
        <v>2292</v>
      </c>
      <c r="X691" t="s">
        <v>2288</v>
      </c>
      <c r="Y691" t="s">
        <v>2293</v>
      </c>
      <c r="Z691" t="s">
        <v>2318</v>
      </c>
      <c r="AA691">
        <v>28</v>
      </c>
      <c r="AB691" s="14">
        <v>150</v>
      </c>
      <c r="AC691" t="s">
        <v>2319</v>
      </c>
      <c r="AD691" t="s">
        <v>2320</v>
      </c>
      <c r="AE691" t="s">
        <v>2643</v>
      </c>
      <c r="AF691">
        <v>15</v>
      </c>
      <c r="AG691">
        <v>1</v>
      </c>
      <c r="AH691">
        <v>19</v>
      </c>
      <c r="AI691">
        <v>1</v>
      </c>
      <c r="AJ691">
        <v>1</v>
      </c>
      <c r="AK691">
        <v>0</v>
      </c>
      <c r="AL691">
        <v>1</v>
      </c>
      <c r="AM691" s="14">
        <v>0</v>
      </c>
      <c r="AN691" t="s">
        <v>2644</v>
      </c>
      <c r="AO691" s="12">
        <v>46143</v>
      </c>
      <c r="AP691">
        <v>2026</v>
      </c>
      <c r="AQ691">
        <v>5</v>
      </c>
      <c r="AR691" t="s">
        <v>2652</v>
      </c>
    </row>
    <row r="692" spans="1:44">
      <c r="A692" t="s">
        <v>1920</v>
      </c>
      <c r="B692" s="12">
        <v>46173</v>
      </c>
      <c r="C692" s="12">
        <v>46163</v>
      </c>
      <c r="D692" t="s">
        <v>1472</v>
      </c>
      <c r="E692" t="s">
        <v>281</v>
      </c>
      <c r="F692" t="s">
        <v>269</v>
      </c>
      <c r="G692" t="s">
        <v>363</v>
      </c>
      <c r="H692" t="s">
        <v>466</v>
      </c>
      <c r="I692" t="s">
        <v>271</v>
      </c>
      <c r="J692" s="13">
        <v>0.35416666666666669</v>
      </c>
      <c r="K692" s="13"/>
      <c r="L692" s="13"/>
      <c r="M692">
        <v>0</v>
      </c>
      <c r="N692" s="14">
        <v>80</v>
      </c>
      <c r="O692" t="s">
        <v>195</v>
      </c>
      <c r="Q692" t="s">
        <v>326</v>
      </c>
      <c r="R692" t="s">
        <v>1821</v>
      </c>
      <c r="S692">
        <v>0</v>
      </c>
      <c r="T692">
        <v>0</v>
      </c>
      <c r="U692" t="s">
        <v>2290</v>
      </c>
      <c r="V692" t="s">
        <v>2291</v>
      </c>
      <c r="W692" t="s">
        <v>2292</v>
      </c>
      <c r="X692" t="s">
        <v>2288</v>
      </c>
      <c r="Y692" t="s">
        <v>2293</v>
      </c>
      <c r="Z692" t="s">
        <v>2315</v>
      </c>
      <c r="AA692">
        <v>10</v>
      </c>
      <c r="AB692" s="14">
        <v>80</v>
      </c>
      <c r="AC692" t="s">
        <v>2316</v>
      </c>
      <c r="AD692" t="s">
        <v>2317</v>
      </c>
      <c r="AE692" t="s">
        <v>2643</v>
      </c>
      <c r="AF692">
        <v>10</v>
      </c>
      <c r="AG692">
        <v>1</v>
      </c>
      <c r="AJ692">
        <v>0</v>
      </c>
      <c r="AL692">
        <v>1</v>
      </c>
      <c r="AM692" s="14">
        <v>0</v>
      </c>
      <c r="AN692" t="s">
        <v>2644</v>
      </c>
      <c r="AO692" s="12">
        <v>46143</v>
      </c>
      <c r="AP692">
        <v>2026</v>
      </c>
      <c r="AQ692">
        <v>5</v>
      </c>
      <c r="AR692" t="s">
        <v>2652</v>
      </c>
    </row>
    <row r="693" spans="1:44">
      <c r="A693" t="s">
        <v>1922</v>
      </c>
      <c r="B693" s="12">
        <v>46163</v>
      </c>
      <c r="C693" s="12">
        <v>46119</v>
      </c>
      <c r="D693" t="s">
        <v>514</v>
      </c>
      <c r="E693" t="s">
        <v>339</v>
      </c>
      <c r="F693" t="s">
        <v>256</v>
      </c>
      <c r="G693" t="s">
        <v>345</v>
      </c>
      <c r="H693" t="s">
        <v>115</v>
      </c>
      <c r="I693" t="s">
        <v>271</v>
      </c>
      <c r="J693" s="13">
        <v>0.47916666666666669</v>
      </c>
      <c r="K693" s="13">
        <v>0.48402777777777778</v>
      </c>
      <c r="L693" s="13">
        <v>0.49930555555555556</v>
      </c>
      <c r="M693">
        <v>30</v>
      </c>
      <c r="N693" s="14">
        <v>95</v>
      </c>
      <c r="O693" t="s">
        <v>195</v>
      </c>
      <c r="P693">
        <v>3</v>
      </c>
      <c r="Q693" t="s">
        <v>318</v>
      </c>
      <c r="R693" t="s">
        <v>1821</v>
      </c>
      <c r="S693">
        <v>0</v>
      </c>
      <c r="T693">
        <v>0</v>
      </c>
      <c r="U693" t="s">
        <v>2294</v>
      </c>
      <c r="V693" t="s">
        <v>2295</v>
      </c>
      <c r="W693" t="s">
        <v>2296</v>
      </c>
      <c r="X693" t="s">
        <v>2297</v>
      </c>
      <c r="Y693" t="s">
        <v>2298</v>
      </c>
      <c r="Z693" t="s">
        <v>2312</v>
      </c>
      <c r="AA693">
        <v>21</v>
      </c>
      <c r="AB693" s="14">
        <v>95</v>
      </c>
      <c r="AC693" t="s">
        <v>2313</v>
      </c>
      <c r="AD693" t="s">
        <v>2314</v>
      </c>
      <c r="AE693" t="s">
        <v>2643</v>
      </c>
      <c r="AF693">
        <v>44</v>
      </c>
      <c r="AG693">
        <v>0</v>
      </c>
      <c r="AH693">
        <v>22</v>
      </c>
      <c r="AI693">
        <v>1</v>
      </c>
      <c r="AJ693">
        <v>1</v>
      </c>
      <c r="AK693">
        <v>0</v>
      </c>
      <c r="AL693">
        <v>1</v>
      </c>
      <c r="AM693" s="14">
        <v>0</v>
      </c>
      <c r="AN693" t="s">
        <v>2644</v>
      </c>
      <c r="AO693" s="12">
        <v>46143</v>
      </c>
      <c r="AP693">
        <v>2026</v>
      </c>
      <c r="AQ693">
        <v>5</v>
      </c>
      <c r="AR693" t="s">
        <v>2652</v>
      </c>
    </row>
    <row r="694" spans="1:44">
      <c r="A694" t="s">
        <v>1923</v>
      </c>
      <c r="B694" s="12">
        <v>46170</v>
      </c>
      <c r="C694" s="12">
        <v>46145</v>
      </c>
      <c r="D694" t="s">
        <v>610</v>
      </c>
      <c r="E694" t="s">
        <v>281</v>
      </c>
      <c r="F694" t="s">
        <v>256</v>
      </c>
      <c r="G694" t="s">
        <v>429</v>
      </c>
      <c r="H694" t="s">
        <v>466</v>
      </c>
      <c r="I694" t="s">
        <v>299</v>
      </c>
      <c r="J694" s="13">
        <v>0.4375</v>
      </c>
      <c r="K694" s="13"/>
      <c r="L694" s="13"/>
      <c r="M694">
        <v>0</v>
      </c>
      <c r="N694" s="14">
        <v>95</v>
      </c>
      <c r="O694" t="s">
        <v>195</v>
      </c>
      <c r="Q694" t="s">
        <v>262</v>
      </c>
      <c r="R694" t="s">
        <v>1821</v>
      </c>
      <c r="S694">
        <v>0</v>
      </c>
      <c r="T694">
        <v>0</v>
      </c>
      <c r="U694" t="s">
        <v>2290</v>
      </c>
      <c r="V694" t="s">
        <v>2291</v>
      </c>
      <c r="W694" t="s">
        <v>2292</v>
      </c>
      <c r="X694" t="s">
        <v>2288</v>
      </c>
      <c r="Y694" t="s">
        <v>2293</v>
      </c>
      <c r="Z694" t="s">
        <v>2312</v>
      </c>
      <c r="AA694">
        <v>21</v>
      </c>
      <c r="AB694" s="14">
        <v>95</v>
      </c>
      <c r="AC694" t="s">
        <v>2313</v>
      </c>
      <c r="AD694" t="s">
        <v>2314</v>
      </c>
      <c r="AE694" t="s">
        <v>2643</v>
      </c>
      <c r="AF694">
        <v>25</v>
      </c>
      <c r="AG694">
        <v>0</v>
      </c>
      <c r="AJ694">
        <v>0</v>
      </c>
      <c r="AL694">
        <v>1</v>
      </c>
      <c r="AM694" s="14">
        <v>0</v>
      </c>
      <c r="AN694" t="s">
        <v>2644</v>
      </c>
      <c r="AO694" s="12">
        <v>46143</v>
      </c>
      <c r="AP694">
        <v>2026</v>
      </c>
      <c r="AQ694">
        <v>5</v>
      </c>
      <c r="AR694" t="s">
        <v>2652</v>
      </c>
    </row>
    <row r="695" spans="1:44">
      <c r="A695" t="s">
        <v>1924</v>
      </c>
      <c r="B695" s="12">
        <v>46143</v>
      </c>
      <c r="C695" s="12">
        <v>46115</v>
      </c>
      <c r="D695" t="s">
        <v>1925</v>
      </c>
      <c r="E695" t="s">
        <v>281</v>
      </c>
      <c r="F695" t="s">
        <v>269</v>
      </c>
      <c r="G695" t="s">
        <v>322</v>
      </c>
      <c r="H695" t="s">
        <v>115</v>
      </c>
      <c r="I695" t="s">
        <v>299</v>
      </c>
      <c r="J695" s="13">
        <v>0.45833333333333331</v>
      </c>
      <c r="K695" s="13">
        <v>0.45694444444444443</v>
      </c>
      <c r="L695" s="13">
        <v>0.4777777777777778</v>
      </c>
      <c r="M695">
        <v>30</v>
      </c>
      <c r="N695" s="14">
        <v>80</v>
      </c>
      <c r="O695" t="s">
        <v>195</v>
      </c>
      <c r="P695">
        <v>2</v>
      </c>
      <c r="Q695" t="s">
        <v>262</v>
      </c>
      <c r="R695" t="s">
        <v>1821</v>
      </c>
      <c r="S695">
        <v>0</v>
      </c>
      <c r="T695">
        <v>0</v>
      </c>
      <c r="U695" t="s">
        <v>2290</v>
      </c>
      <c r="V695" t="s">
        <v>2291</v>
      </c>
      <c r="W695" t="s">
        <v>2292</v>
      </c>
      <c r="X695" t="s">
        <v>2288</v>
      </c>
      <c r="Y695" t="s">
        <v>2293</v>
      </c>
      <c r="Z695" t="s">
        <v>2315</v>
      </c>
      <c r="AA695">
        <v>10</v>
      </c>
      <c r="AB695" s="14">
        <v>80</v>
      </c>
      <c r="AC695" t="s">
        <v>2316</v>
      </c>
      <c r="AD695" t="s">
        <v>2317</v>
      </c>
      <c r="AE695" t="s">
        <v>2643</v>
      </c>
      <c r="AF695">
        <v>28</v>
      </c>
      <c r="AG695">
        <v>0</v>
      </c>
      <c r="AH695">
        <v>30</v>
      </c>
      <c r="AI695">
        <v>1</v>
      </c>
      <c r="AJ695">
        <v>1</v>
      </c>
      <c r="AK695">
        <v>0</v>
      </c>
      <c r="AL695">
        <v>1</v>
      </c>
      <c r="AM695" s="14">
        <v>0</v>
      </c>
      <c r="AN695" t="s">
        <v>2644</v>
      </c>
      <c r="AO695" s="12">
        <v>46143</v>
      </c>
      <c r="AP695">
        <v>2026</v>
      </c>
      <c r="AQ695">
        <v>5</v>
      </c>
      <c r="AR695" t="s">
        <v>2652</v>
      </c>
    </row>
    <row r="696" spans="1:44">
      <c r="A696" t="s">
        <v>1927</v>
      </c>
      <c r="B696" s="12">
        <v>46172</v>
      </c>
      <c r="C696" s="12">
        <v>46136</v>
      </c>
      <c r="D696" t="s">
        <v>1050</v>
      </c>
      <c r="E696" t="s">
        <v>281</v>
      </c>
      <c r="F696" t="s">
        <v>282</v>
      </c>
      <c r="G696" t="s">
        <v>446</v>
      </c>
      <c r="H696" t="s">
        <v>115</v>
      </c>
      <c r="I696" t="s">
        <v>299</v>
      </c>
      <c r="J696" s="13">
        <v>0.4375</v>
      </c>
      <c r="K696" s="13">
        <v>0.44444444444444442</v>
      </c>
      <c r="L696" s="13">
        <v>0.44444444444444442</v>
      </c>
      <c r="M696">
        <v>30</v>
      </c>
      <c r="N696" s="14">
        <v>120</v>
      </c>
      <c r="O696" t="s">
        <v>195</v>
      </c>
      <c r="P696">
        <v>5</v>
      </c>
      <c r="Q696" t="s">
        <v>285</v>
      </c>
      <c r="R696" t="s">
        <v>1821</v>
      </c>
      <c r="S696">
        <v>0</v>
      </c>
      <c r="T696">
        <v>0</v>
      </c>
      <c r="U696" t="s">
        <v>2290</v>
      </c>
      <c r="V696" t="s">
        <v>2291</v>
      </c>
      <c r="W696" t="s">
        <v>2292</v>
      </c>
      <c r="X696" t="s">
        <v>2288</v>
      </c>
      <c r="Y696" t="s">
        <v>2293</v>
      </c>
      <c r="Z696" t="s">
        <v>2309</v>
      </c>
      <c r="AA696">
        <v>14</v>
      </c>
      <c r="AB696" s="14">
        <v>120</v>
      </c>
      <c r="AC696" t="s">
        <v>2310</v>
      </c>
      <c r="AD696" t="s">
        <v>2311</v>
      </c>
      <c r="AE696" t="s">
        <v>2643</v>
      </c>
      <c r="AF696">
        <v>36</v>
      </c>
      <c r="AG696">
        <v>0</v>
      </c>
      <c r="AH696">
        <v>0</v>
      </c>
      <c r="AI696">
        <v>1</v>
      </c>
      <c r="AJ696">
        <v>1</v>
      </c>
      <c r="AK696">
        <v>0</v>
      </c>
      <c r="AL696">
        <v>1</v>
      </c>
      <c r="AM696" s="14">
        <v>0</v>
      </c>
      <c r="AN696" t="s">
        <v>2644</v>
      </c>
      <c r="AO696" s="12">
        <v>46143</v>
      </c>
      <c r="AP696">
        <v>2026</v>
      </c>
      <c r="AQ696">
        <v>5</v>
      </c>
      <c r="AR696" t="s">
        <v>2652</v>
      </c>
    </row>
    <row r="697" spans="1:44">
      <c r="A697" t="s">
        <v>1929</v>
      </c>
      <c r="B697" s="12">
        <v>46162</v>
      </c>
      <c r="C697" s="12">
        <v>46154</v>
      </c>
      <c r="D697" t="s">
        <v>1804</v>
      </c>
      <c r="E697" t="s">
        <v>281</v>
      </c>
      <c r="F697" t="s">
        <v>269</v>
      </c>
      <c r="G697" t="s">
        <v>363</v>
      </c>
      <c r="H697" t="s">
        <v>115</v>
      </c>
      <c r="I697" t="s">
        <v>316</v>
      </c>
      <c r="J697" s="13">
        <v>0.4375</v>
      </c>
      <c r="K697" s="13">
        <v>0.44374999999999998</v>
      </c>
      <c r="L697" s="13">
        <v>0.44722222222222224</v>
      </c>
      <c r="M697">
        <v>20</v>
      </c>
      <c r="N697" s="14">
        <v>80</v>
      </c>
      <c r="O697" t="s">
        <v>195</v>
      </c>
      <c r="P697">
        <v>4</v>
      </c>
      <c r="Q697" t="s">
        <v>262</v>
      </c>
      <c r="R697" t="s">
        <v>1821</v>
      </c>
      <c r="S697">
        <v>0</v>
      </c>
      <c r="T697">
        <v>0</v>
      </c>
      <c r="U697" t="s">
        <v>2290</v>
      </c>
      <c r="V697" t="s">
        <v>2291</v>
      </c>
      <c r="W697" t="s">
        <v>2292</v>
      </c>
      <c r="X697" t="s">
        <v>2288</v>
      </c>
      <c r="Y697" t="s">
        <v>2293</v>
      </c>
      <c r="Z697" t="s">
        <v>2315</v>
      </c>
      <c r="AA697">
        <v>10</v>
      </c>
      <c r="AB697" s="14">
        <v>80</v>
      </c>
      <c r="AC697" t="s">
        <v>2316</v>
      </c>
      <c r="AD697" t="s">
        <v>2317</v>
      </c>
      <c r="AE697" t="s">
        <v>2643</v>
      </c>
      <c r="AF697">
        <v>8</v>
      </c>
      <c r="AG697">
        <v>1</v>
      </c>
      <c r="AH697">
        <v>5</v>
      </c>
      <c r="AI697">
        <v>1</v>
      </c>
      <c r="AJ697">
        <v>1</v>
      </c>
      <c r="AK697">
        <v>0</v>
      </c>
      <c r="AL697">
        <v>1</v>
      </c>
      <c r="AM697" s="14">
        <v>0</v>
      </c>
      <c r="AN697" t="s">
        <v>2644</v>
      </c>
      <c r="AO697" s="12">
        <v>46143</v>
      </c>
      <c r="AP697">
        <v>2026</v>
      </c>
      <c r="AQ697">
        <v>5</v>
      </c>
      <c r="AR697" t="s">
        <v>2652</v>
      </c>
    </row>
    <row r="698" spans="1:44">
      <c r="A698" t="s">
        <v>1930</v>
      </c>
      <c r="B698" s="12">
        <v>46149</v>
      </c>
      <c r="C698" s="12">
        <v>46125</v>
      </c>
      <c r="D698" t="s">
        <v>1931</v>
      </c>
      <c r="E698" t="s">
        <v>255</v>
      </c>
      <c r="F698" t="s">
        <v>409</v>
      </c>
      <c r="G698" t="s">
        <v>410</v>
      </c>
      <c r="H698" t="s">
        <v>115</v>
      </c>
      <c r="I698" t="s">
        <v>271</v>
      </c>
      <c r="J698" s="13">
        <v>0.39583333333333331</v>
      </c>
      <c r="K698" s="13">
        <v>0.3972222222222222</v>
      </c>
      <c r="L698" s="13">
        <v>0.41458333333333336</v>
      </c>
      <c r="M698">
        <v>30</v>
      </c>
      <c r="N698" s="14">
        <v>150</v>
      </c>
      <c r="O698" t="s">
        <v>195</v>
      </c>
      <c r="P698">
        <v>4</v>
      </c>
      <c r="Q698" t="s">
        <v>305</v>
      </c>
      <c r="R698" t="s">
        <v>1821</v>
      </c>
      <c r="S698">
        <v>0</v>
      </c>
      <c r="T698">
        <v>0</v>
      </c>
      <c r="U698" t="s">
        <v>2299</v>
      </c>
      <c r="V698" t="s">
        <v>2295</v>
      </c>
      <c r="W698" t="s">
        <v>2300</v>
      </c>
      <c r="X698" t="s">
        <v>2288</v>
      </c>
      <c r="Y698" t="s">
        <v>2301</v>
      </c>
      <c r="Z698" t="s">
        <v>2318</v>
      </c>
      <c r="AA698">
        <v>28</v>
      </c>
      <c r="AB698" s="14">
        <v>150</v>
      </c>
      <c r="AC698" t="s">
        <v>2319</v>
      </c>
      <c r="AD698" t="s">
        <v>2320</v>
      </c>
      <c r="AE698" t="s">
        <v>2643</v>
      </c>
      <c r="AF698">
        <v>24</v>
      </c>
      <c r="AG698">
        <v>1</v>
      </c>
      <c r="AH698">
        <v>25</v>
      </c>
      <c r="AI698">
        <v>1</v>
      </c>
      <c r="AJ698">
        <v>1</v>
      </c>
      <c r="AK698">
        <v>0</v>
      </c>
      <c r="AL698">
        <v>1</v>
      </c>
      <c r="AM698" s="14">
        <v>0</v>
      </c>
      <c r="AN698" t="s">
        <v>2644</v>
      </c>
      <c r="AO698" s="12">
        <v>46143</v>
      </c>
      <c r="AP698">
        <v>2026</v>
      </c>
      <c r="AQ698">
        <v>5</v>
      </c>
      <c r="AR698" t="s">
        <v>2652</v>
      </c>
    </row>
    <row r="699" spans="1:44">
      <c r="A699" t="s">
        <v>1934</v>
      </c>
      <c r="B699" s="12">
        <v>46144</v>
      </c>
      <c r="C699" s="12">
        <v>46138</v>
      </c>
      <c r="D699" t="s">
        <v>875</v>
      </c>
      <c r="E699" t="s">
        <v>281</v>
      </c>
      <c r="F699" t="s">
        <v>256</v>
      </c>
      <c r="G699" t="s">
        <v>796</v>
      </c>
      <c r="H699" t="s">
        <v>466</v>
      </c>
      <c r="I699" t="s">
        <v>271</v>
      </c>
      <c r="J699" s="13">
        <v>0.66666666666666663</v>
      </c>
      <c r="K699" s="13">
        <v>0.67569444444444449</v>
      </c>
      <c r="L699" s="13">
        <v>0.69305555555555554</v>
      </c>
      <c r="M699">
        <v>60</v>
      </c>
      <c r="N699" s="14">
        <v>95</v>
      </c>
      <c r="O699" t="s">
        <v>195</v>
      </c>
      <c r="P699">
        <v>5</v>
      </c>
      <c r="Q699" t="s">
        <v>326</v>
      </c>
      <c r="R699" t="s">
        <v>1821</v>
      </c>
      <c r="S699">
        <v>0</v>
      </c>
      <c r="T699">
        <v>0</v>
      </c>
      <c r="U699" t="s">
        <v>2290</v>
      </c>
      <c r="V699" t="s">
        <v>2291</v>
      </c>
      <c r="W699" t="s">
        <v>2292</v>
      </c>
      <c r="X699" t="s">
        <v>2288</v>
      </c>
      <c r="Y699" t="s">
        <v>2293</v>
      </c>
      <c r="Z699" t="s">
        <v>2312</v>
      </c>
      <c r="AA699">
        <v>21</v>
      </c>
      <c r="AB699" s="14">
        <v>95</v>
      </c>
      <c r="AC699" t="s">
        <v>2313</v>
      </c>
      <c r="AD699" t="s">
        <v>2314</v>
      </c>
      <c r="AE699" t="s">
        <v>2643</v>
      </c>
      <c r="AF699">
        <v>6</v>
      </c>
      <c r="AG699">
        <v>1</v>
      </c>
      <c r="AJ699">
        <v>0</v>
      </c>
      <c r="AL699">
        <v>1</v>
      </c>
      <c r="AM699" s="14">
        <v>0</v>
      </c>
      <c r="AN699" t="s">
        <v>2644</v>
      </c>
      <c r="AO699" s="12">
        <v>46143</v>
      </c>
      <c r="AP699">
        <v>2026</v>
      </c>
      <c r="AQ699">
        <v>5</v>
      </c>
      <c r="AR699" t="s">
        <v>2652</v>
      </c>
    </row>
    <row r="700" spans="1:44">
      <c r="A700" t="s">
        <v>1935</v>
      </c>
      <c r="B700" s="12">
        <v>46172</v>
      </c>
      <c r="C700" s="12">
        <v>46133</v>
      </c>
      <c r="D700" t="s">
        <v>468</v>
      </c>
      <c r="E700" t="s">
        <v>255</v>
      </c>
      <c r="F700" t="s">
        <v>297</v>
      </c>
      <c r="G700" t="s">
        <v>331</v>
      </c>
      <c r="H700" t="s">
        <v>115</v>
      </c>
      <c r="I700" t="s">
        <v>271</v>
      </c>
      <c r="J700" s="13">
        <v>0.4375</v>
      </c>
      <c r="K700" s="13">
        <v>0.44722222222222224</v>
      </c>
      <c r="L700" s="13">
        <v>0.45624999999999999</v>
      </c>
      <c r="M700">
        <v>30</v>
      </c>
      <c r="N700" s="14">
        <v>65</v>
      </c>
      <c r="O700" t="s">
        <v>195</v>
      </c>
      <c r="P700">
        <v>3</v>
      </c>
      <c r="Q700" t="s">
        <v>262</v>
      </c>
      <c r="R700" t="s">
        <v>1821</v>
      </c>
      <c r="S700">
        <v>0</v>
      </c>
      <c r="T700">
        <v>0</v>
      </c>
      <c r="U700" t="s">
        <v>2299</v>
      </c>
      <c r="V700" t="s">
        <v>2295</v>
      </c>
      <c r="W700" t="s">
        <v>2300</v>
      </c>
      <c r="X700" t="s">
        <v>2288</v>
      </c>
      <c r="Y700" t="s">
        <v>2301</v>
      </c>
      <c r="Z700" t="s">
        <v>2306</v>
      </c>
      <c r="AA700">
        <v>7</v>
      </c>
      <c r="AB700" s="14">
        <v>65</v>
      </c>
      <c r="AC700" t="s">
        <v>2307</v>
      </c>
      <c r="AD700" t="s">
        <v>2308</v>
      </c>
      <c r="AE700" t="s">
        <v>2643</v>
      </c>
      <c r="AF700">
        <v>39</v>
      </c>
      <c r="AG700">
        <v>0</v>
      </c>
      <c r="AH700">
        <v>13</v>
      </c>
      <c r="AI700">
        <v>1</v>
      </c>
      <c r="AJ700">
        <v>1</v>
      </c>
      <c r="AK700">
        <v>0</v>
      </c>
      <c r="AL700">
        <v>1</v>
      </c>
      <c r="AM700" s="14">
        <v>0</v>
      </c>
      <c r="AN700" t="s">
        <v>2644</v>
      </c>
      <c r="AO700" s="12">
        <v>46143</v>
      </c>
      <c r="AP700">
        <v>2026</v>
      </c>
      <c r="AQ700">
        <v>5</v>
      </c>
      <c r="AR700" t="s">
        <v>2652</v>
      </c>
    </row>
    <row r="701" spans="1:44">
      <c r="A701" t="s">
        <v>1936</v>
      </c>
      <c r="B701" s="12">
        <v>46154</v>
      </c>
      <c r="C701" s="12">
        <v>46147</v>
      </c>
      <c r="D701" t="s">
        <v>895</v>
      </c>
      <c r="E701" t="s">
        <v>268</v>
      </c>
      <c r="F701" t="s">
        <v>409</v>
      </c>
      <c r="G701" t="s">
        <v>587</v>
      </c>
      <c r="H701" t="s">
        <v>127</v>
      </c>
      <c r="I701" t="s">
        <v>316</v>
      </c>
      <c r="J701" s="13">
        <v>0.625</v>
      </c>
      <c r="K701" s="13"/>
      <c r="L701" s="13"/>
      <c r="M701">
        <v>0</v>
      </c>
      <c r="N701" s="14">
        <v>150</v>
      </c>
      <c r="O701" t="s">
        <v>169</v>
      </c>
      <c r="Q701" t="s">
        <v>318</v>
      </c>
      <c r="R701" t="s">
        <v>1821</v>
      </c>
      <c r="S701">
        <v>0</v>
      </c>
      <c r="T701">
        <v>0</v>
      </c>
      <c r="U701" t="s">
        <v>2285</v>
      </c>
      <c r="V701" t="s">
        <v>2286</v>
      </c>
      <c r="W701" t="s">
        <v>2287</v>
      </c>
      <c r="X701" t="s">
        <v>2288</v>
      </c>
      <c r="Y701" t="s">
        <v>2289</v>
      </c>
      <c r="Z701" t="s">
        <v>2318</v>
      </c>
      <c r="AA701">
        <v>28</v>
      </c>
      <c r="AB701" s="14">
        <v>150</v>
      </c>
      <c r="AC701" t="s">
        <v>2319</v>
      </c>
      <c r="AD701" t="s">
        <v>2320</v>
      </c>
      <c r="AE701" t="s">
        <v>2643</v>
      </c>
      <c r="AF701">
        <v>7</v>
      </c>
      <c r="AG701">
        <v>1</v>
      </c>
      <c r="AJ701">
        <v>0</v>
      </c>
      <c r="AL701">
        <v>1</v>
      </c>
      <c r="AM701" s="14">
        <v>0</v>
      </c>
      <c r="AN701" t="s">
        <v>2644</v>
      </c>
      <c r="AO701" s="12">
        <v>46143</v>
      </c>
      <c r="AP701">
        <v>2026</v>
      </c>
      <c r="AQ701">
        <v>5</v>
      </c>
      <c r="AR701" t="s">
        <v>2652</v>
      </c>
    </row>
    <row r="702" spans="1:44">
      <c r="A702" t="s">
        <v>1937</v>
      </c>
      <c r="B702" s="12">
        <v>46170</v>
      </c>
      <c r="C702" s="12">
        <v>46142</v>
      </c>
      <c r="D702" t="s">
        <v>1083</v>
      </c>
      <c r="E702" t="s">
        <v>268</v>
      </c>
      <c r="F702" t="s">
        <v>409</v>
      </c>
      <c r="G702" t="s">
        <v>552</v>
      </c>
      <c r="H702" t="s">
        <v>127</v>
      </c>
      <c r="I702" t="s">
        <v>316</v>
      </c>
      <c r="J702" s="13">
        <v>0.52083333333333337</v>
      </c>
      <c r="K702" s="13"/>
      <c r="L702" s="13"/>
      <c r="M702">
        <v>0</v>
      </c>
      <c r="N702" s="14">
        <v>150</v>
      </c>
      <c r="O702" t="s">
        <v>195</v>
      </c>
      <c r="Q702" t="s">
        <v>318</v>
      </c>
      <c r="R702" t="s">
        <v>1821</v>
      </c>
      <c r="S702">
        <v>0</v>
      </c>
      <c r="T702">
        <v>0</v>
      </c>
      <c r="U702" t="s">
        <v>2285</v>
      </c>
      <c r="V702" t="s">
        <v>2286</v>
      </c>
      <c r="W702" t="s">
        <v>2287</v>
      </c>
      <c r="X702" t="s">
        <v>2288</v>
      </c>
      <c r="Y702" t="s">
        <v>2289</v>
      </c>
      <c r="Z702" t="s">
        <v>2318</v>
      </c>
      <c r="AA702">
        <v>28</v>
      </c>
      <c r="AB702" s="14">
        <v>150</v>
      </c>
      <c r="AC702" t="s">
        <v>2319</v>
      </c>
      <c r="AD702" t="s">
        <v>2320</v>
      </c>
      <c r="AE702" t="s">
        <v>2643</v>
      </c>
      <c r="AF702">
        <v>28</v>
      </c>
      <c r="AG702">
        <v>1</v>
      </c>
      <c r="AJ702">
        <v>0</v>
      </c>
      <c r="AL702">
        <v>1</v>
      </c>
      <c r="AM702" s="14">
        <v>0</v>
      </c>
      <c r="AN702" t="s">
        <v>2644</v>
      </c>
      <c r="AO702" s="12">
        <v>46143</v>
      </c>
      <c r="AP702">
        <v>2026</v>
      </c>
      <c r="AQ702">
        <v>5</v>
      </c>
      <c r="AR702" t="s">
        <v>2652</v>
      </c>
    </row>
    <row r="703" spans="1:44">
      <c r="A703" t="s">
        <v>1938</v>
      </c>
      <c r="B703" s="12">
        <v>46143</v>
      </c>
      <c r="C703" s="12">
        <v>46093</v>
      </c>
      <c r="D703" t="s">
        <v>904</v>
      </c>
      <c r="E703" t="s">
        <v>339</v>
      </c>
      <c r="F703" t="s">
        <v>409</v>
      </c>
      <c r="G703" t="s">
        <v>476</v>
      </c>
      <c r="H703" t="s">
        <v>115</v>
      </c>
      <c r="I703" t="s">
        <v>316</v>
      </c>
      <c r="J703" s="13">
        <v>0.39583333333333331</v>
      </c>
      <c r="K703" s="13">
        <v>0.39166666666666666</v>
      </c>
      <c r="L703" s="13">
        <v>0.40902777777777777</v>
      </c>
      <c r="M703">
        <v>30</v>
      </c>
      <c r="N703" s="14">
        <v>150</v>
      </c>
      <c r="O703" t="s">
        <v>195</v>
      </c>
      <c r="P703">
        <v>5</v>
      </c>
      <c r="Q703" t="s">
        <v>262</v>
      </c>
      <c r="R703" t="s">
        <v>1821</v>
      </c>
      <c r="S703">
        <v>0</v>
      </c>
      <c r="T703">
        <v>0</v>
      </c>
      <c r="U703" t="s">
        <v>2294</v>
      </c>
      <c r="V703" t="s">
        <v>2295</v>
      </c>
      <c r="W703" t="s">
        <v>2296</v>
      </c>
      <c r="X703" t="s">
        <v>2297</v>
      </c>
      <c r="Y703" t="s">
        <v>2298</v>
      </c>
      <c r="Z703" t="s">
        <v>2318</v>
      </c>
      <c r="AA703">
        <v>28</v>
      </c>
      <c r="AB703" s="14">
        <v>150</v>
      </c>
      <c r="AC703" t="s">
        <v>2319</v>
      </c>
      <c r="AD703" t="s">
        <v>2320</v>
      </c>
      <c r="AE703" t="s">
        <v>2643</v>
      </c>
      <c r="AF703">
        <v>50</v>
      </c>
      <c r="AG703">
        <v>0</v>
      </c>
      <c r="AH703">
        <v>25</v>
      </c>
      <c r="AI703">
        <v>1</v>
      </c>
      <c r="AJ703">
        <v>1</v>
      </c>
      <c r="AK703">
        <v>0</v>
      </c>
      <c r="AL703">
        <v>1</v>
      </c>
      <c r="AM703" s="14">
        <v>0</v>
      </c>
      <c r="AN703" t="s">
        <v>2644</v>
      </c>
      <c r="AO703" s="12">
        <v>46143</v>
      </c>
      <c r="AP703">
        <v>2026</v>
      </c>
      <c r="AQ703">
        <v>5</v>
      </c>
      <c r="AR703" t="s">
        <v>2652</v>
      </c>
    </row>
    <row r="704" spans="1:44">
      <c r="A704" t="s">
        <v>1939</v>
      </c>
      <c r="B704" s="12">
        <v>46144</v>
      </c>
      <c r="C704" s="12">
        <v>46102</v>
      </c>
      <c r="D704" t="s">
        <v>1138</v>
      </c>
      <c r="E704" t="s">
        <v>339</v>
      </c>
      <c r="F704" t="s">
        <v>256</v>
      </c>
      <c r="G704" t="s">
        <v>345</v>
      </c>
      <c r="H704" t="s">
        <v>115</v>
      </c>
      <c r="I704" t="s">
        <v>258</v>
      </c>
      <c r="J704" s="13">
        <v>0.58333333333333337</v>
      </c>
      <c r="K704" s="13">
        <v>0.58819444444444446</v>
      </c>
      <c r="L704" s="13">
        <v>0.59583333333333333</v>
      </c>
      <c r="M704">
        <v>45</v>
      </c>
      <c r="N704" s="14">
        <v>95</v>
      </c>
      <c r="O704" t="s">
        <v>169</v>
      </c>
      <c r="P704">
        <v>4</v>
      </c>
      <c r="Q704" t="s">
        <v>326</v>
      </c>
      <c r="R704" t="s">
        <v>1821</v>
      </c>
      <c r="S704">
        <v>0</v>
      </c>
      <c r="T704">
        <v>0</v>
      </c>
      <c r="U704" t="s">
        <v>2294</v>
      </c>
      <c r="V704" t="s">
        <v>2295</v>
      </c>
      <c r="W704" t="s">
        <v>2296</v>
      </c>
      <c r="X704" t="s">
        <v>2297</v>
      </c>
      <c r="Y704" t="s">
        <v>2298</v>
      </c>
      <c r="Z704" t="s">
        <v>2312</v>
      </c>
      <c r="AA704">
        <v>21</v>
      </c>
      <c r="AB704" s="14">
        <v>95</v>
      </c>
      <c r="AC704" t="s">
        <v>2313</v>
      </c>
      <c r="AD704" t="s">
        <v>2314</v>
      </c>
      <c r="AE704" t="s">
        <v>2643</v>
      </c>
      <c r="AF704">
        <v>42</v>
      </c>
      <c r="AG704">
        <v>0</v>
      </c>
      <c r="AH704">
        <v>11</v>
      </c>
      <c r="AI704">
        <v>1</v>
      </c>
      <c r="AJ704">
        <v>1</v>
      </c>
      <c r="AK704">
        <v>0</v>
      </c>
      <c r="AL704">
        <v>1</v>
      </c>
      <c r="AM704" s="14">
        <v>0</v>
      </c>
      <c r="AN704" t="s">
        <v>2644</v>
      </c>
      <c r="AO704" s="12">
        <v>46143</v>
      </c>
      <c r="AP704">
        <v>2026</v>
      </c>
      <c r="AQ704">
        <v>5</v>
      </c>
      <c r="AR704" t="s">
        <v>2652</v>
      </c>
    </row>
    <row r="705" spans="1:44">
      <c r="A705" t="s">
        <v>1941</v>
      </c>
      <c r="B705" s="12">
        <v>46148</v>
      </c>
      <c r="C705" s="12">
        <v>46106</v>
      </c>
      <c r="D705" t="s">
        <v>357</v>
      </c>
      <c r="E705" t="s">
        <v>268</v>
      </c>
      <c r="F705" t="s">
        <v>256</v>
      </c>
      <c r="G705" t="s">
        <v>419</v>
      </c>
      <c r="H705" t="s">
        <v>115</v>
      </c>
      <c r="I705" t="s">
        <v>299</v>
      </c>
      <c r="J705" s="13">
        <v>0.52083333333333337</v>
      </c>
      <c r="K705" s="13">
        <v>0.53333333333333333</v>
      </c>
      <c r="L705" s="13">
        <v>0.53611111111111109</v>
      </c>
      <c r="M705">
        <v>30</v>
      </c>
      <c r="N705" s="14">
        <v>95</v>
      </c>
      <c r="O705" t="s">
        <v>169</v>
      </c>
      <c r="P705">
        <v>3</v>
      </c>
      <c r="Q705" t="s">
        <v>305</v>
      </c>
      <c r="R705" t="s">
        <v>1821</v>
      </c>
      <c r="S705">
        <v>0</v>
      </c>
      <c r="T705">
        <v>0</v>
      </c>
      <c r="U705" t="s">
        <v>2285</v>
      </c>
      <c r="V705" t="s">
        <v>2286</v>
      </c>
      <c r="W705" t="s">
        <v>2287</v>
      </c>
      <c r="X705" t="s">
        <v>2288</v>
      </c>
      <c r="Y705" t="s">
        <v>2289</v>
      </c>
      <c r="Z705" t="s">
        <v>2312</v>
      </c>
      <c r="AA705">
        <v>21</v>
      </c>
      <c r="AB705" s="14">
        <v>95</v>
      </c>
      <c r="AC705" t="s">
        <v>2313</v>
      </c>
      <c r="AD705" t="s">
        <v>2314</v>
      </c>
      <c r="AE705" t="s">
        <v>2643</v>
      </c>
      <c r="AF705">
        <v>42</v>
      </c>
      <c r="AG705">
        <v>0</v>
      </c>
      <c r="AH705">
        <v>4</v>
      </c>
      <c r="AI705">
        <v>1</v>
      </c>
      <c r="AJ705">
        <v>1</v>
      </c>
      <c r="AK705">
        <v>0</v>
      </c>
      <c r="AL705">
        <v>1</v>
      </c>
      <c r="AM705" s="14">
        <v>0</v>
      </c>
      <c r="AN705" t="s">
        <v>2644</v>
      </c>
      <c r="AO705" s="12">
        <v>46143</v>
      </c>
      <c r="AP705">
        <v>2026</v>
      </c>
      <c r="AQ705">
        <v>5</v>
      </c>
      <c r="AR705" t="s">
        <v>2652</v>
      </c>
    </row>
    <row r="706" spans="1:44">
      <c r="A706" t="s">
        <v>1942</v>
      </c>
      <c r="B706" s="12">
        <v>46156</v>
      </c>
      <c r="C706" s="12">
        <v>46148</v>
      </c>
      <c r="D706" t="s">
        <v>386</v>
      </c>
      <c r="E706" t="s">
        <v>255</v>
      </c>
      <c r="F706" t="s">
        <v>269</v>
      </c>
      <c r="G706" t="s">
        <v>391</v>
      </c>
      <c r="H706" t="s">
        <v>115</v>
      </c>
      <c r="I706" t="s">
        <v>316</v>
      </c>
      <c r="J706" s="13">
        <v>0.60416666666666663</v>
      </c>
      <c r="K706" s="13">
        <v>0.61111111111111116</v>
      </c>
      <c r="L706" s="13">
        <v>0.62361111111111112</v>
      </c>
      <c r="M706">
        <v>30</v>
      </c>
      <c r="N706" s="14">
        <v>80</v>
      </c>
      <c r="O706" t="s">
        <v>169</v>
      </c>
      <c r="P706">
        <v>2</v>
      </c>
      <c r="Q706" t="s">
        <v>262</v>
      </c>
      <c r="R706" t="s">
        <v>1821</v>
      </c>
      <c r="S706">
        <v>0</v>
      </c>
      <c r="T706">
        <v>0</v>
      </c>
      <c r="U706" t="s">
        <v>2299</v>
      </c>
      <c r="V706" t="s">
        <v>2295</v>
      </c>
      <c r="W706" t="s">
        <v>2300</v>
      </c>
      <c r="X706" t="s">
        <v>2288</v>
      </c>
      <c r="Y706" t="s">
        <v>2301</v>
      </c>
      <c r="Z706" t="s">
        <v>2315</v>
      </c>
      <c r="AA706">
        <v>10</v>
      </c>
      <c r="AB706" s="14">
        <v>80</v>
      </c>
      <c r="AC706" t="s">
        <v>2316</v>
      </c>
      <c r="AD706" t="s">
        <v>2317</v>
      </c>
      <c r="AE706" t="s">
        <v>2643</v>
      </c>
      <c r="AF706">
        <v>8</v>
      </c>
      <c r="AG706">
        <v>1</v>
      </c>
      <c r="AH706">
        <v>18</v>
      </c>
      <c r="AI706">
        <v>1</v>
      </c>
      <c r="AJ706">
        <v>1</v>
      </c>
      <c r="AK706">
        <v>0</v>
      </c>
      <c r="AL706">
        <v>1</v>
      </c>
      <c r="AM706" s="14">
        <v>0</v>
      </c>
      <c r="AN706" t="s">
        <v>2644</v>
      </c>
      <c r="AO706" s="12">
        <v>46143</v>
      </c>
      <c r="AP706">
        <v>2026</v>
      </c>
      <c r="AQ706">
        <v>5</v>
      </c>
      <c r="AR706" t="s">
        <v>2652</v>
      </c>
    </row>
    <row r="707" spans="1:44">
      <c r="A707" t="s">
        <v>1944</v>
      </c>
      <c r="B707" s="12">
        <v>46173</v>
      </c>
      <c r="C707" s="12">
        <v>46160</v>
      </c>
      <c r="D707" t="s">
        <v>594</v>
      </c>
      <c r="E707" t="s">
        <v>255</v>
      </c>
      <c r="F707" t="s">
        <v>282</v>
      </c>
      <c r="G707" t="s">
        <v>290</v>
      </c>
      <c r="H707" t="s">
        <v>115</v>
      </c>
      <c r="I707" t="s">
        <v>299</v>
      </c>
      <c r="J707" s="13">
        <v>0.41666666666666669</v>
      </c>
      <c r="K707" s="13">
        <v>0.41875000000000001</v>
      </c>
      <c r="L707" s="13">
        <v>0.42638888888888887</v>
      </c>
      <c r="M707">
        <v>45</v>
      </c>
      <c r="N707" s="14">
        <v>120</v>
      </c>
      <c r="O707" t="s">
        <v>195</v>
      </c>
      <c r="P707">
        <v>4</v>
      </c>
      <c r="Q707" t="s">
        <v>262</v>
      </c>
      <c r="R707" t="s">
        <v>1821</v>
      </c>
      <c r="S707">
        <v>0</v>
      </c>
      <c r="T707">
        <v>0</v>
      </c>
      <c r="U707" t="s">
        <v>2299</v>
      </c>
      <c r="V707" t="s">
        <v>2295</v>
      </c>
      <c r="W707" t="s">
        <v>2300</v>
      </c>
      <c r="X707" t="s">
        <v>2288</v>
      </c>
      <c r="Y707" t="s">
        <v>2301</v>
      </c>
      <c r="Z707" t="s">
        <v>2309</v>
      </c>
      <c r="AA707">
        <v>14</v>
      </c>
      <c r="AB707" s="14">
        <v>120</v>
      </c>
      <c r="AC707" t="s">
        <v>2310</v>
      </c>
      <c r="AD707" t="s">
        <v>2311</v>
      </c>
      <c r="AE707" t="s">
        <v>2643</v>
      </c>
      <c r="AF707">
        <v>13</v>
      </c>
      <c r="AG707">
        <v>1</v>
      </c>
      <c r="AH707">
        <v>11</v>
      </c>
      <c r="AI707">
        <v>1</v>
      </c>
      <c r="AJ707">
        <v>1</v>
      </c>
      <c r="AK707">
        <v>0</v>
      </c>
      <c r="AL707">
        <v>1</v>
      </c>
      <c r="AM707" s="14">
        <v>0</v>
      </c>
      <c r="AN707" t="s">
        <v>2644</v>
      </c>
      <c r="AO707" s="12">
        <v>46143</v>
      </c>
      <c r="AP707">
        <v>2026</v>
      </c>
      <c r="AQ707">
        <v>5</v>
      </c>
      <c r="AR707" t="s">
        <v>2652</v>
      </c>
    </row>
    <row r="708" spans="1:44">
      <c r="A708" t="s">
        <v>1947</v>
      </c>
      <c r="B708" s="12">
        <v>46162</v>
      </c>
      <c r="C708" s="12">
        <v>46159</v>
      </c>
      <c r="D708" t="s">
        <v>1215</v>
      </c>
      <c r="E708" t="s">
        <v>281</v>
      </c>
      <c r="F708" t="s">
        <v>297</v>
      </c>
      <c r="G708" t="s">
        <v>368</v>
      </c>
      <c r="H708" t="s">
        <v>115</v>
      </c>
      <c r="I708" t="s">
        <v>316</v>
      </c>
      <c r="J708" s="13">
        <v>0.625</v>
      </c>
      <c r="K708" s="13">
        <v>0.63749999999999996</v>
      </c>
      <c r="L708" s="13">
        <v>0.65208333333333335</v>
      </c>
      <c r="M708">
        <v>60</v>
      </c>
      <c r="N708" s="14">
        <v>65</v>
      </c>
      <c r="O708" t="s">
        <v>169</v>
      </c>
      <c r="P708">
        <v>4</v>
      </c>
      <c r="Q708" t="s">
        <v>262</v>
      </c>
      <c r="R708" t="s">
        <v>1821</v>
      </c>
      <c r="S708">
        <v>0</v>
      </c>
      <c r="T708">
        <v>0</v>
      </c>
      <c r="U708" t="s">
        <v>2290</v>
      </c>
      <c r="V708" t="s">
        <v>2291</v>
      </c>
      <c r="W708" t="s">
        <v>2292</v>
      </c>
      <c r="X708" t="s">
        <v>2288</v>
      </c>
      <c r="Y708" t="s">
        <v>2293</v>
      </c>
      <c r="Z708" t="s">
        <v>2306</v>
      </c>
      <c r="AA708">
        <v>7</v>
      </c>
      <c r="AB708" s="14">
        <v>65</v>
      </c>
      <c r="AC708" t="s">
        <v>2307</v>
      </c>
      <c r="AD708" t="s">
        <v>2308</v>
      </c>
      <c r="AE708" t="s">
        <v>2643</v>
      </c>
      <c r="AF708">
        <v>3</v>
      </c>
      <c r="AG708">
        <v>1</v>
      </c>
      <c r="AH708">
        <v>21</v>
      </c>
      <c r="AI708">
        <v>1</v>
      </c>
      <c r="AJ708">
        <v>1</v>
      </c>
      <c r="AK708">
        <v>0</v>
      </c>
      <c r="AL708">
        <v>1</v>
      </c>
      <c r="AM708" s="14">
        <v>0</v>
      </c>
      <c r="AN708" t="s">
        <v>2644</v>
      </c>
      <c r="AO708" s="12">
        <v>46143</v>
      </c>
      <c r="AP708">
        <v>2026</v>
      </c>
      <c r="AQ708">
        <v>5</v>
      </c>
      <c r="AR708" t="s">
        <v>2652</v>
      </c>
    </row>
    <row r="709" spans="1:44">
      <c r="A709" t="s">
        <v>1949</v>
      </c>
      <c r="B709" s="12">
        <v>46143</v>
      </c>
      <c r="C709" s="12">
        <v>46097</v>
      </c>
      <c r="D709" t="s">
        <v>592</v>
      </c>
      <c r="E709" t="s">
        <v>255</v>
      </c>
      <c r="F709" t="s">
        <v>269</v>
      </c>
      <c r="G709" t="s">
        <v>391</v>
      </c>
      <c r="H709" t="s">
        <v>115</v>
      </c>
      <c r="I709" t="s">
        <v>299</v>
      </c>
      <c r="J709" s="13">
        <v>0.60416666666666663</v>
      </c>
      <c r="K709" s="13">
        <v>0.61527777777777781</v>
      </c>
      <c r="L709" s="13">
        <v>0.61319444444444449</v>
      </c>
      <c r="M709">
        <v>45</v>
      </c>
      <c r="N709" s="14">
        <v>80</v>
      </c>
      <c r="O709" t="s">
        <v>169</v>
      </c>
      <c r="P709">
        <v>3</v>
      </c>
      <c r="Q709" t="s">
        <v>262</v>
      </c>
      <c r="R709" t="s">
        <v>1821</v>
      </c>
      <c r="S709">
        <v>0</v>
      </c>
      <c r="T709">
        <v>0</v>
      </c>
      <c r="U709" t="s">
        <v>2299</v>
      </c>
      <c r="V709" t="s">
        <v>2295</v>
      </c>
      <c r="W709" t="s">
        <v>2300</v>
      </c>
      <c r="X709" t="s">
        <v>2288</v>
      </c>
      <c r="Y709" t="s">
        <v>2301</v>
      </c>
      <c r="Z709" t="s">
        <v>2315</v>
      </c>
      <c r="AA709">
        <v>10</v>
      </c>
      <c r="AB709" s="14">
        <v>80</v>
      </c>
      <c r="AC709" t="s">
        <v>2316</v>
      </c>
      <c r="AD709" t="s">
        <v>2317</v>
      </c>
      <c r="AE709" t="s">
        <v>2643</v>
      </c>
      <c r="AF709">
        <v>46</v>
      </c>
      <c r="AG709">
        <v>0</v>
      </c>
      <c r="AJ709">
        <v>1</v>
      </c>
      <c r="AK709">
        <v>0</v>
      </c>
      <c r="AL709">
        <v>1</v>
      </c>
      <c r="AM709" s="14">
        <v>0</v>
      </c>
      <c r="AN709" t="s">
        <v>2644</v>
      </c>
      <c r="AO709" s="12">
        <v>46143</v>
      </c>
      <c r="AP709">
        <v>2026</v>
      </c>
      <c r="AQ709">
        <v>5</v>
      </c>
      <c r="AR709" t="s">
        <v>2652</v>
      </c>
    </row>
    <row r="710" spans="1:44">
      <c r="A710" t="s">
        <v>1951</v>
      </c>
      <c r="B710" s="12">
        <v>46166</v>
      </c>
      <c r="C710" s="12">
        <v>46121</v>
      </c>
      <c r="D710" t="s">
        <v>1055</v>
      </c>
      <c r="E710" t="s">
        <v>268</v>
      </c>
      <c r="F710" t="s">
        <v>409</v>
      </c>
      <c r="G710" t="s">
        <v>552</v>
      </c>
      <c r="H710" t="s">
        <v>115</v>
      </c>
      <c r="I710" t="s">
        <v>316</v>
      </c>
      <c r="J710" s="13">
        <v>0.35416666666666669</v>
      </c>
      <c r="K710" s="13">
        <v>0.35138888888888886</v>
      </c>
      <c r="L710" s="13">
        <v>0.35972222222222222</v>
      </c>
      <c r="M710">
        <v>45</v>
      </c>
      <c r="N710" s="14">
        <v>150</v>
      </c>
      <c r="O710" t="s">
        <v>169</v>
      </c>
      <c r="P710">
        <v>4</v>
      </c>
      <c r="Q710" t="s">
        <v>285</v>
      </c>
      <c r="R710" t="s">
        <v>1821</v>
      </c>
      <c r="S710">
        <v>0</v>
      </c>
      <c r="T710">
        <v>0</v>
      </c>
      <c r="U710" t="s">
        <v>2285</v>
      </c>
      <c r="V710" t="s">
        <v>2286</v>
      </c>
      <c r="W710" t="s">
        <v>2287</v>
      </c>
      <c r="X710" t="s">
        <v>2288</v>
      </c>
      <c r="Y710" t="s">
        <v>2289</v>
      </c>
      <c r="Z710" t="s">
        <v>2318</v>
      </c>
      <c r="AA710">
        <v>28</v>
      </c>
      <c r="AB710" s="14">
        <v>150</v>
      </c>
      <c r="AC710" t="s">
        <v>2319</v>
      </c>
      <c r="AD710" t="s">
        <v>2320</v>
      </c>
      <c r="AE710" t="s">
        <v>2643</v>
      </c>
      <c r="AF710">
        <v>45</v>
      </c>
      <c r="AG710">
        <v>0</v>
      </c>
      <c r="AH710">
        <v>12</v>
      </c>
      <c r="AI710">
        <v>1</v>
      </c>
      <c r="AJ710">
        <v>1</v>
      </c>
      <c r="AK710">
        <v>0</v>
      </c>
      <c r="AL710">
        <v>1</v>
      </c>
      <c r="AM710" s="14">
        <v>0</v>
      </c>
      <c r="AN710" t="s">
        <v>2644</v>
      </c>
      <c r="AO710" s="12">
        <v>46143</v>
      </c>
      <c r="AP710">
        <v>2026</v>
      </c>
      <c r="AQ710">
        <v>5</v>
      </c>
      <c r="AR710" t="s">
        <v>2652</v>
      </c>
    </row>
    <row r="711" spans="1:44">
      <c r="A711" t="s">
        <v>1953</v>
      </c>
      <c r="B711" s="12">
        <v>46165</v>
      </c>
      <c r="C711" s="12">
        <v>46120</v>
      </c>
      <c r="D711" t="s">
        <v>655</v>
      </c>
      <c r="E711" t="s">
        <v>255</v>
      </c>
      <c r="F711" t="s">
        <v>269</v>
      </c>
      <c r="G711" t="s">
        <v>542</v>
      </c>
      <c r="H711" t="s">
        <v>115</v>
      </c>
      <c r="I711" t="s">
        <v>299</v>
      </c>
      <c r="J711" s="13">
        <v>0.39583333333333331</v>
      </c>
      <c r="K711" s="13">
        <v>0.40347222222222223</v>
      </c>
      <c r="L711" s="13">
        <v>0.40347222222222223</v>
      </c>
      <c r="M711">
        <v>60</v>
      </c>
      <c r="N711" s="14">
        <v>80</v>
      </c>
      <c r="O711" t="s">
        <v>169</v>
      </c>
      <c r="P711">
        <v>5</v>
      </c>
      <c r="Q711" t="s">
        <v>305</v>
      </c>
      <c r="R711" t="s">
        <v>1821</v>
      </c>
      <c r="S711">
        <v>0</v>
      </c>
      <c r="T711">
        <v>0</v>
      </c>
      <c r="U711" t="s">
        <v>2299</v>
      </c>
      <c r="V711" t="s">
        <v>2295</v>
      </c>
      <c r="W711" t="s">
        <v>2300</v>
      </c>
      <c r="X711" t="s">
        <v>2288</v>
      </c>
      <c r="Y711" t="s">
        <v>2301</v>
      </c>
      <c r="Z711" t="s">
        <v>2315</v>
      </c>
      <c r="AA711">
        <v>10</v>
      </c>
      <c r="AB711" s="14">
        <v>80</v>
      </c>
      <c r="AC711" t="s">
        <v>2316</v>
      </c>
      <c r="AD711" t="s">
        <v>2317</v>
      </c>
      <c r="AE711" t="s">
        <v>2643</v>
      </c>
      <c r="AF711">
        <v>45</v>
      </c>
      <c r="AG711">
        <v>0</v>
      </c>
      <c r="AH711">
        <v>0</v>
      </c>
      <c r="AI711">
        <v>1</v>
      </c>
      <c r="AJ711">
        <v>1</v>
      </c>
      <c r="AK711">
        <v>0</v>
      </c>
      <c r="AL711">
        <v>1</v>
      </c>
      <c r="AM711" s="14">
        <v>0</v>
      </c>
      <c r="AN711" t="s">
        <v>2644</v>
      </c>
      <c r="AO711" s="12">
        <v>46143</v>
      </c>
      <c r="AP711">
        <v>2026</v>
      </c>
      <c r="AQ711">
        <v>5</v>
      </c>
      <c r="AR711" t="s">
        <v>2652</v>
      </c>
    </row>
    <row r="712" spans="1:44">
      <c r="A712" t="s">
        <v>1955</v>
      </c>
      <c r="B712" s="12">
        <v>46146</v>
      </c>
      <c r="C712" s="12">
        <v>46120</v>
      </c>
      <c r="D712" t="s">
        <v>254</v>
      </c>
      <c r="E712" t="s">
        <v>281</v>
      </c>
      <c r="F712" t="s">
        <v>409</v>
      </c>
      <c r="G712" t="s">
        <v>496</v>
      </c>
      <c r="H712" t="s">
        <v>115</v>
      </c>
      <c r="I712" t="s">
        <v>299</v>
      </c>
      <c r="J712" s="13">
        <v>0.625</v>
      </c>
      <c r="K712" s="13">
        <v>0.62083333333333335</v>
      </c>
      <c r="L712" s="13">
        <v>0.62916666666666665</v>
      </c>
      <c r="M712">
        <v>30</v>
      </c>
      <c r="N712" s="14">
        <v>150</v>
      </c>
      <c r="O712" t="s">
        <v>195</v>
      </c>
      <c r="P712">
        <v>4</v>
      </c>
      <c r="Q712" t="s">
        <v>285</v>
      </c>
      <c r="R712" t="s">
        <v>1821</v>
      </c>
      <c r="S712">
        <v>0</v>
      </c>
      <c r="T712">
        <v>0</v>
      </c>
      <c r="U712" t="s">
        <v>2290</v>
      </c>
      <c r="V712" t="s">
        <v>2291</v>
      </c>
      <c r="W712" t="s">
        <v>2292</v>
      </c>
      <c r="X712" t="s">
        <v>2288</v>
      </c>
      <c r="Y712" t="s">
        <v>2293</v>
      </c>
      <c r="Z712" t="s">
        <v>2318</v>
      </c>
      <c r="AA712">
        <v>28</v>
      </c>
      <c r="AB712" s="14">
        <v>150</v>
      </c>
      <c r="AC712" t="s">
        <v>2319</v>
      </c>
      <c r="AD712" t="s">
        <v>2320</v>
      </c>
      <c r="AE712" t="s">
        <v>2643</v>
      </c>
      <c r="AF712">
        <v>26</v>
      </c>
      <c r="AG712">
        <v>1</v>
      </c>
      <c r="AH712">
        <v>12</v>
      </c>
      <c r="AI712">
        <v>1</v>
      </c>
      <c r="AJ712">
        <v>1</v>
      </c>
      <c r="AK712">
        <v>0</v>
      </c>
      <c r="AL712">
        <v>1</v>
      </c>
      <c r="AM712" s="14">
        <v>0</v>
      </c>
      <c r="AN712" t="s">
        <v>2644</v>
      </c>
      <c r="AO712" s="12">
        <v>46143</v>
      </c>
      <c r="AP712">
        <v>2026</v>
      </c>
      <c r="AQ712">
        <v>5</v>
      </c>
      <c r="AR712" t="s">
        <v>2652</v>
      </c>
    </row>
    <row r="713" spans="1:44">
      <c r="A713" t="s">
        <v>1956</v>
      </c>
      <c r="B713" s="12">
        <v>46159</v>
      </c>
      <c r="C713" s="12">
        <v>46114</v>
      </c>
      <c r="D713" t="s">
        <v>1130</v>
      </c>
      <c r="E713" t="s">
        <v>281</v>
      </c>
      <c r="F713" t="s">
        <v>282</v>
      </c>
      <c r="G713" t="s">
        <v>283</v>
      </c>
      <c r="H713" t="s">
        <v>466</v>
      </c>
      <c r="I713" t="s">
        <v>316</v>
      </c>
      <c r="J713" s="13">
        <v>0.58333333333333337</v>
      </c>
      <c r="K713" s="13"/>
      <c r="L713" s="13"/>
      <c r="M713">
        <v>0</v>
      </c>
      <c r="N713" s="14">
        <v>120</v>
      </c>
      <c r="O713" t="s">
        <v>169</v>
      </c>
      <c r="Q713" t="s">
        <v>326</v>
      </c>
      <c r="R713" t="s">
        <v>1821</v>
      </c>
      <c r="S713">
        <v>0</v>
      </c>
      <c r="T713">
        <v>0</v>
      </c>
      <c r="U713" t="s">
        <v>2290</v>
      </c>
      <c r="V713" t="s">
        <v>2291</v>
      </c>
      <c r="W713" t="s">
        <v>2292</v>
      </c>
      <c r="X713" t="s">
        <v>2288</v>
      </c>
      <c r="Y713" t="s">
        <v>2293</v>
      </c>
      <c r="Z713" t="s">
        <v>2309</v>
      </c>
      <c r="AA713">
        <v>14</v>
      </c>
      <c r="AB713" s="14">
        <v>120</v>
      </c>
      <c r="AC713" t="s">
        <v>2310</v>
      </c>
      <c r="AD713" t="s">
        <v>2311</v>
      </c>
      <c r="AE713" t="s">
        <v>2643</v>
      </c>
      <c r="AF713">
        <v>45</v>
      </c>
      <c r="AG713">
        <v>0</v>
      </c>
      <c r="AJ713">
        <v>0</v>
      </c>
      <c r="AL713">
        <v>1</v>
      </c>
      <c r="AM713" s="14">
        <v>0</v>
      </c>
      <c r="AN713" t="s">
        <v>2644</v>
      </c>
      <c r="AO713" s="12">
        <v>46143</v>
      </c>
      <c r="AP713">
        <v>2026</v>
      </c>
      <c r="AQ713">
        <v>5</v>
      </c>
      <c r="AR713" t="s">
        <v>2652</v>
      </c>
    </row>
    <row r="714" spans="1:44">
      <c r="A714" t="s">
        <v>1957</v>
      </c>
      <c r="B714" s="12">
        <v>46162</v>
      </c>
      <c r="C714" s="12">
        <v>46144</v>
      </c>
      <c r="D714" t="s">
        <v>1297</v>
      </c>
      <c r="E714" t="s">
        <v>255</v>
      </c>
      <c r="F714" t="s">
        <v>409</v>
      </c>
      <c r="G714" t="s">
        <v>410</v>
      </c>
      <c r="H714" t="s">
        <v>115</v>
      </c>
      <c r="I714" t="s">
        <v>258</v>
      </c>
      <c r="J714" s="13">
        <v>0.45833333333333331</v>
      </c>
      <c r="K714" s="13">
        <v>0.4597222222222222</v>
      </c>
      <c r="L714" s="13">
        <v>0.46527777777777779</v>
      </c>
      <c r="M714">
        <v>20</v>
      </c>
      <c r="N714" s="14">
        <v>150</v>
      </c>
      <c r="O714" t="s">
        <v>169</v>
      </c>
      <c r="P714">
        <v>3</v>
      </c>
      <c r="Q714" t="s">
        <v>318</v>
      </c>
      <c r="R714" t="s">
        <v>1821</v>
      </c>
      <c r="S714">
        <v>0</v>
      </c>
      <c r="T714">
        <v>0</v>
      </c>
      <c r="U714" t="s">
        <v>2299</v>
      </c>
      <c r="V714" t="s">
        <v>2295</v>
      </c>
      <c r="W714" t="s">
        <v>2300</v>
      </c>
      <c r="X714" t="s">
        <v>2288</v>
      </c>
      <c r="Y714" t="s">
        <v>2301</v>
      </c>
      <c r="Z714" t="s">
        <v>2318</v>
      </c>
      <c r="AA714">
        <v>28</v>
      </c>
      <c r="AB714" s="14">
        <v>150</v>
      </c>
      <c r="AC714" t="s">
        <v>2319</v>
      </c>
      <c r="AD714" t="s">
        <v>2320</v>
      </c>
      <c r="AE714" t="s">
        <v>2643</v>
      </c>
      <c r="AF714">
        <v>18</v>
      </c>
      <c r="AG714">
        <v>1</v>
      </c>
      <c r="AH714">
        <v>8</v>
      </c>
      <c r="AI714">
        <v>1</v>
      </c>
      <c r="AJ714">
        <v>1</v>
      </c>
      <c r="AK714">
        <v>0</v>
      </c>
      <c r="AL714">
        <v>1</v>
      </c>
      <c r="AM714" s="14">
        <v>0</v>
      </c>
      <c r="AN714" t="s">
        <v>2644</v>
      </c>
      <c r="AO714" s="12">
        <v>46143</v>
      </c>
      <c r="AP714">
        <v>2026</v>
      </c>
      <c r="AQ714">
        <v>5</v>
      </c>
      <c r="AR714" t="s">
        <v>2652</v>
      </c>
    </row>
    <row r="715" spans="1:44">
      <c r="A715" t="s">
        <v>1959</v>
      </c>
      <c r="B715" s="12">
        <v>46168</v>
      </c>
      <c r="C715" s="12">
        <v>46143</v>
      </c>
      <c r="D715" t="s">
        <v>989</v>
      </c>
      <c r="E715" t="s">
        <v>255</v>
      </c>
      <c r="F715" t="s">
        <v>269</v>
      </c>
      <c r="G715" t="s">
        <v>391</v>
      </c>
      <c r="H715" t="s">
        <v>115</v>
      </c>
      <c r="I715" t="s">
        <v>258</v>
      </c>
      <c r="J715" s="13">
        <v>0.64583333333333337</v>
      </c>
      <c r="K715" s="13">
        <v>0.64166666666666672</v>
      </c>
      <c r="L715" s="13">
        <v>0.67152777777777772</v>
      </c>
      <c r="M715">
        <v>45</v>
      </c>
      <c r="N715" s="14">
        <v>80</v>
      </c>
      <c r="O715" t="s">
        <v>169</v>
      </c>
      <c r="P715">
        <v>5</v>
      </c>
      <c r="Q715" t="s">
        <v>285</v>
      </c>
      <c r="R715" t="s">
        <v>1821</v>
      </c>
      <c r="S715">
        <v>0</v>
      </c>
      <c r="T715">
        <v>0</v>
      </c>
      <c r="U715" t="s">
        <v>2299</v>
      </c>
      <c r="V715" t="s">
        <v>2295</v>
      </c>
      <c r="W715" t="s">
        <v>2300</v>
      </c>
      <c r="X715" t="s">
        <v>2288</v>
      </c>
      <c r="Y715" t="s">
        <v>2301</v>
      </c>
      <c r="Z715" t="s">
        <v>2315</v>
      </c>
      <c r="AA715">
        <v>10</v>
      </c>
      <c r="AB715" s="14">
        <v>80</v>
      </c>
      <c r="AC715" t="s">
        <v>2316</v>
      </c>
      <c r="AD715" t="s">
        <v>2317</v>
      </c>
      <c r="AE715" t="s">
        <v>2643</v>
      </c>
      <c r="AF715">
        <v>25</v>
      </c>
      <c r="AG715">
        <v>0</v>
      </c>
      <c r="AH715">
        <v>43</v>
      </c>
      <c r="AI715">
        <v>0</v>
      </c>
      <c r="AJ715">
        <v>1</v>
      </c>
      <c r="AK715">
        <v>0</v>
      </c>
      <c r="AL715">
        <v>1</v>
      </c>
      <c r="AM715" s="14">
        <v>0</v>
      </c>
      <c r="AN715" t="s">
        <v>2644</v>
      </c>
      <c r="AO715" s="12">
        <v>46143</v>
      </c>
      <c r="AP715">
        <v>2026</v>
      </c>
      <c r="AQ715">
        <v>5</v>
      </c>
      <c r="AR715" t="s">
        <v>2652</v>
      </c>
    </row>
    <row r="716" spans="1:44">
      <c r="A716" t="s">
        <v>1960</v>
      </c>
      <c r="B716" s="12">
        <v>46173</v>
      </c>
      <c r="C716" s="12">
        <v>46136</v>
      </c>
      <c r="D716" t="s">
        <v>460</v>
      </c>
      <c r="E716" t="s">
        <v>255</v>
      </c>
      <c r="G716" t="s">
        <v>290</v>
      </c>
      <c r="H716" t="s">
        <v>115</v>
      </c>
      <c r="I716" t="s">
        <v>316</v>
      </c>
      <c r="J716" s="13">
        <v>0.47916666666666669</v>
      </c>
      <c r="K716" s="13">
        <v>0.47222222222222221</v>
      </c>
      <c r="L716" s="13">
        <v>0.48333333333333334</v>
      </c>
      <c r="M716">
        <v>45</v>
      </c>
      <c r="N716" s="14">
        <v>120</v>
      </c>
      <c r="O716" t="s">
        <v>195</v>
      </c>
      <c r="P716">
        <v>5</v>
      </c>
      <c r="Q716" t="s">
        <v>305</v>
      </c>
      <c r="R716" t="s">
        <v>1821</v>
      </c>
      <c r="S716">
        <v>0</v>
      </c>
      <c r="T716">
        <v>1</v>
      </c>
      <c r="U716" t="s">
        <v>2299</v>
      </c>
      <c r="V716" t="s">
        <v>2295</v>
      </c>
      <c r="W716" t="s">
        <v>2300</v>
      </c>
      <c r="X716" t="s">
        <v>2288</v>
      </c>
      <c r="Y716" t="s">
        <v>2301</v>
      </c>
      <c r="AE716" t="s">
        <v>2646</v>
      </c>
      <c r="AF716">
        <v>37</v>
      </c>
      <c r="AH716">
        <v>16</v>
      </c>
      <c r="AI716">
        <v>1</v>
      </c>
      <c r="AJ716">
        <v>1</v>
      </c>
      <c r="AK716">
        <v>0</v>
      </c>
      <c r="AL716">
        <v>1</v>
      </c>
      <c r="AN716" t="s">
        <v>2647</v>
      </c>
      <c r="AO716" s="12">
        <v>46143</v>
      </c>
      <c r="AP716">
        <v>2026</v>
      </c>
      <c r="AQ716">
        <v>5</v>
      </c>
      <c r="AR716" t="s">
        <v>2652</v>
      </c>
    </row>
    <row r="717" spans="1:44">
      <c r="A717" t="s">
        <v>1961</v>
      </c>
      <c r="B717" s="12">
        <v>46158</v>
      </c>
      <c r="C717" s="12">
        <v>46140</v>
      </c>
      <c r="D717" t="s">
        <v>1366</v>
      </c>
      <c r="E717" t="s">
        <v>339</v>
      </c>
      <c r="F717" t="s">
        <v>256</v>
      </c>
      <c r="G717" t="s">
        <v>345</v>
      </c>
      <c r="H717" t="s">
        <v>115</v>
      </c>
      <c r="I717" t="s">
        <v>316</v>
      </c>
      <c r="J717" s="13">
        <v>0.625</v>
      </c>
      <c r="K717" s="13">
        <v>0.61944444444444446</v>
      </c>
      <c r="L717" s="13">
        <v>0.62569444444444444</v>
      </c>
      <c r="M717">
        <v>30</v>
      </c>
      <c r="N717" s="14">
        <v>95</v>
      </c>
      <c r="O717" t="s">
        <v>195</v>
      </c>
      <c r="P717">
        <v>3</v>
      </c>
      <c r="Q717" t="s">
        <v>262</v>
      </c>
      <c r="R717" t="s">
        <v>1821</v>
      </c>
      <c r="S717">
        <v>0</v>
      </c>
      <c r="T717">
        <v>0</v>
      </c>
      <c r="U717" t="s">
        <v>2294</v>
      </c>
      <c r="V717" t="s">
        <v>2295</v>
      </c>
      <c r="W717" t="s">
        <v>2296</v>
      </c>
      <c r="X717" t="s">
        <v>2297</v>
      </c>
      <c r="Y717" t="s">
        <v>2298</v>
      </c>
      <c r="Z717" t="s">
        <v>2312</v>
      </c>
      <c r="AA717">
        <v>21</v>
      </c>
      <c r="AB717" s="14">
        <v>95</v>
      </c>
      <c r="AC717" t="s">
        <v>2313</v>
      </c>
      <c r="AD717" t="s">
        <v>2314</v>
      </c>
      <c r="AE717" t="s">
        <v>2643</v>
      </c>
      <c r="AF717">
        <v>18</v>
      </c>
      <c r="AG717">
        <v>1</v>
      </c>
      <c r="AH717">
        <v>9</v>
      </c>
      <c r="AI717">
        <v>1</v>
      </c>
      <c r="AJ717">
        <v>1</v>
      </c>
      <c r="AK717">
        <v>0</v>
      </c>
      <c r="AL717">
        <v>1</v>
      </c>
      <c r="AM717" s="14">
        <v>0</v>
      </c>
      <c r="AN717" t="s">
        <v>2644</v>
      </c>
      <c r="AO717" s="12">
        <v>46143</v>
      </c>
      <c r="AP717">
        <v>2026</v>
      </c>
      <c r="AQ717">
        <v>5</v>
      </c>
      <c r="AR717" t="s">
        <v>2652</v>
      </c>
    </row>
    <row r="718" spans="1:44">
      <c r="A718" t="s">
        <v>1963</v>
      </c>
      <c r="B718" s="12">
        <v>46157</v>
      </c>
      <c r="C718" s="12">
        <v>46136</v>
      </c>
      <c r="D718" t="s">
        <v>441</v>
      </c>
      <c r="E718" t="s">
        <v>255</v>
      </c>
      <c r="F718" t="s">
        <v>256</v>
      </c>
      <c r="G718" t="s">
        <v>257</v>
      </c>
      <c r="H718" t="s">
        <v>115</v>
      </c>
      <c r="I718" t="s">
        <v>299</v>
      </c>
      <c r="J718" s="13">
        <v>0.4375</v>
      </c>
      <c r="K718" s="13">
        <v>0.43819444444444444</v>
      </c>
      <c r="L718" s="13">
        <v>0.4513888888888889</v>
      </c>
      <c r="M718">
        <v>30</v>
      </c>
      <c r="N718" s="14">
        <v>95</v>
      </c>
      <c r="O718" t="s">
        <v>195</v>
      </c>
      <c r="P718">
        <v>5</v>
      </c>
      <c r="Q718" t="s">
        <v>262</v>
      </c>
      <c r="R718" t="s">
        <v>1821</v>
      </c>
      <c r="S718">
        <v>0</v>
      </c>
      <c r="T718">
        <v>0</v>
      </c>
      <c r="U718" t="s">
        <v>2299</v>
      </c>
      <c r="V718" t="s">
        <v>2295</v>
      </c>
      <c r="W718" t="s">
        <v>2300</v>
      </c>
      <c r="X718" t="s">
        <v>2288</v>
      </c>
      <c r="Y718" t="s">
        <v>2301</v>
      </c>
      <c r="Z718" t="s">
        <v>2312</v>
      </c>
      <c r="AA718">
        <v>21</v>
      </c>
      <c r="AB718" s="14">
        <v>95</v>
      </c>
      <c r="AC718" t="s">
        <v>2313</v>
      </c>
      <c r="AD718" t="s">
        <v>2314</v>
      </c>
      <c r="AE718" t="s">
        <v>2643</v>
      </c>
      <c r="AF718">
        <v>21</v>
      </c>
      <c r="AG718">
        <v>1</v>
      </c>
      <c r="AH718">
        <v>19</v>
      </c>
      <c r="AI718">
        <v>1</v>
      </c>
      <c r="AJ718">
        <v>1</v>
      </c>
      <c r="AK718">
        <v>0</v>
      </c>
      <c r="AL718">
        <v>1</v>
      </c>
      <c r="AM718" s="14">
        <v>0</v>
      </c>
      <c r="AN718" t="s">
        <v>2644</v>
      </c>
      <c r="AO718" s="12">
        <v>46143</v>
      </c>
      <c r="AP718">
        <v>2026</v>
      </c>
      <c r="AQ718">
        <v>5</v>
      </c>
      <c r="AR718" t="s">
        <v>2652</v>
      </c>
    </row>
    <row r="719" spans="1:44">
      <c r="A719" t="s">
        <v>1964</v>
      </c>
      <c r="B719" s="12">
        <v>46166</v>
      </c>
      <c r="C719" s="12">
        <v>46111</v>
      </c>
      <c r="D719" t="s">
        <v>610</v>
      </c>
      <c r="E719" t="s">
        <v>255</v>
      </c>
      <c r="F719" t="s">
        <v>409</v>
      </c>
      <c r="G719" t="s">
        <v>648</v>
      </c>
      <c r="H719" t="s">
        <v>127</v>
      </c>
      <c r="I719" t="s">
        <v>316</v>
      </c>
      <c r="J719" s="13">
        <v>0.33333333333333331</v>
      </c>
      <c r="K719" s="13"/>
      <c r="L719" s="13"/>
      <c r="M719">
        <v>0</v>
      </c>
      <c r="N719" s="14">
        <v>150</v>
      </c>
      <c r="O719" t="s">
        <v>195</v>
      </c>
      <c r="Q719" t="s">
        <v>305</v>
      </c>
      <c r="R719" t="s">
        <v>1821</v>
      </c>
      <c r="S719">
        <v>0</v>
      </c>
      <c r="T719">
        <v>0</v>
      </c>
      <c r="U719" t="s">
        <v>2299</v>
      </c>
      <c r="V719" t="s">
        <v>2295</v>
      </c>
      <c r="W719" t="s">
        <v>2300</v>
      </c>
      <c r="X719" t="s">
        <v>2288</v>
      </c>
      <c r="Y719" t="s">
        <v>2301</v>
      </c>
      <c r="Z719" t="s">
        <v>2318</v>
      </c>
      <c r="AA719">
        <v>28</v>
      </c>
      <c r="AB719" s="14">
        <v>150</v>
      </c>
      <c r="AC719" t="s">
        <v>2319</v>
      </c>
      <c r="AD719" t="s">
        <v>2320</v>
      </c>
      <c r="AE719" t="s">
        <v>2643</v>
      </c>
      <c r="AF719">
        <v>55</v>
      </c>
      <c r="AG719">
        <v>0</v>
      </c>
      <c r="AJ719">
        <v>0</v>
      </c>
      <c r="AL719">
        <v>1</v>
      </c>
      <c r="AM719" s="14">
        <v>0</v>
      </c>
      <c r="AN719" t="s">
        <v>2644</v>
      </c>
      <c r="AO719" s="12">
        <v>46143</v>
      </c>
      <c r="AP719">
        <v>2026</v>
      </c>
      <c r="AQ719">
        <v>5</v>
      </c>
      <c r="AR719" t="s">
        <v>2652</v>
      </c>
    </row>
    <row r="720" spans="1:44">
      <c r="A720" t="s">
        <v>1965</v>
      </c>
      <c r="B720" s="12">
        <v>46168</v>
      </c>
      <c r="C720" s="12">
        <v>46160</v>
      </c>
      <c r="D720" t="s">
        <v>963</v>
      </c>
      <c r="E720" t="s">
        <v>268</v>
      </c>
      <c r="F720" t="s">
        <v>256</v>
      </c>
      <c r="G720" t="s">
        <v>419</v>
      </c>
      <c r="H720" t="s">
        <v>115</v>
      </c>
      <c r="I720" t="s">
        <v>316</v>
      </c>
      <c r="J720" s="13">
        <v>0.58333333333333337</v>
      </c>
      <c r="K720" s="13">
        <v>0.57708333333333328</v>
      </c>
      <c r="L720" s="13">
        <v>0.60277777777777775</v>
      </c>
      <c r="M720">
        <v>30</v>
      </c>
      <c r="N720" s="14">
        <v>95</v>
      </c>
      <c r="O720" t="s">
        <v>195</v>
      </c>
      <c r="Q720" t="s">
        <v>318</v>
      </c>
      <c r="R720" t="s">
        <v>1821</v>
      </c>
      <c r="S720">
        <v>0</v>
      </c>
      <c r="T720">
        <v>0</v>
      </c>
      <c r="U720" t="s">
        <v>2285</v>
      </c>
      <c r="V720" t="s">
        <v>2286</v>
      </c>
      <c r="W720" t="s">
        <v>2287</v>
      </c>
      <c r="X720" t="s">
        <v>2288</v>
      </c>
      <c r="Y720" t="s">
        <v>2289</v>
      </c>
      <c r="Z720" t="s">
        <v>2312</v>
      </c>
      <c r="AA720">
        <v>21</v>
      </c>
      <c r="AB720" s="14">
        <v>95</v>
      </c>
      <c r="AC720" t="s">
        <v>2313</v>
      </c>
      <c r="AD720" t="s">
        <v>2314</v>
      </c>
      <c r="AE720" t="s">
        <v>2643</v>
      </c>
      <c r="AF720">
        <v>8</v>
      </c>
      <c r="AG720">
        <v>1</v>
      </c>
      <c r="AH720">
        <v>37</v>
      </c>
      <c r="AI720">
        <v>0</v>
      </c>
      <c r="AJ720">
        <v>1</v>
      </c>
      <c r="AK720">
        <v>0</v>
      </c>
      <c r="AL720">
        <v>1</v>
      </c>
      <c r="AM720" s="14">
        <v>0</v>
      </c>
      <c r="AN720" t="s">
        <v>2644</v>
      </c>
      <c r="AO720" s="12">
        <v>46143</v>
      </c>
      <c r="AP720">
        <v>2026</v>
      </c>
      <c r="AQ720">
        <v>5</v>
      </c>
      <c r="AR720" t="s">
        <v>2652</v>
      </c>
    </row>
    <row r="721" spans="1:44">
      <c r="A721" t="s">
        <v>1966</v>
      </c>
      <c r="B721" s="12">
        <v>46160</v>
      </c>
      <c r="C721" s="12">
        <v>46148</v>
      </c>
      <c r="D721" t="s">
        <v>601</v>
      </c>
      <c r="E721" t="s">
        <v>268</v>
      </c>
      <c r="F721" t="s">
        <v>282</v>
      </c>
      <c r="G721" t="s">
        <v>524</v>
      </c>
      <c r="H721" t="s">
        <v>115</v>
      </c>
      <c r="I721" t="s">
        <v>258</v>
      </c>
      <c r="J721" s="13">
        <v>0.54166666666666663</v>
      </c>
      <c r="K721" s="13">
        <v>0.55208333333333337</v>
      </c>
      <c r="L721" s="13">
        <v>0.55625000000000002</v>
      </c>
      <c r="M721">
        <v>45</v>
      </c>
      <c r="N721" s="14">
        <v>120</v>
      </c>
      <c r="O721" t="s">
        <v>195</v>
      </c>
      <c r="P721">
        <v>5</v>
      </c>
      <c r="Q721" t="s">
        <v>305</v>
      </c>
      <c r="R721" t="s">
        <v>1821</v>
      </c>
      <c r="S721">
        <v>0</v>
      </c>
      <c r="T721">
        <v>0</v>
      </c>
      <c r="U721" t="s">
        <v>2285</v>
      </c>
      <c r="V721" t="s">
        <v>2286</v>
      </c>
      <c r="W721" t="s">
        <v>2287</v>
      </c>
      <c r="X721" t="s">
        <v>2288</v>
      </c>
      <c r="Y721" t="s">
        <v>2289</v>
      </c>
      <c r="Z721" t="s">
        <v>2309</v>
      </c>
      <c r="AA721">
        <v>14</v>
      </c>
      <c r="AB721" s="14">
        <v>120</v>
      </c>
      <c r="AC721" t="s">
        <v>2310</v>
      </c>
      <c r="AD721" t="s">
        <v>2311</v>
      </c>
      <c r="AE721" t="s">
        <v>2643</v>
      </c>
      <c r="AF721">
        <v>12</v>
      </c>
      <c r="AG721">
        <v>1</v>
      </c>
      <c r="AH721">
        <v>6</v>
      </c>
      <c r="AI721">
        <v>1</v>
      </c>
      <c r="AJ721">
        <v>1</v>
      </c>
      <c r="AK721">
        <v>0</v>
      </c>
      <c r="AL721">
        <v>1</v>
      </c>
      <c r="AM721" s="14">
        <v>0</v>
      </c>
      <c r="AN721" t="s">
        <v>2644</v>
      </c>
      <c r="AO721" s="12">
        <v>46143</v>
      </c>
      <c r="AP721">
        <v>2026</v>
      </c>
      <c r="AQ721">
        <v>5</v>
      </c>
      <c r="AR721" t="s">
        <v>2652</v>
      </c>
    </row>
    <row r="722" spans="1:44">
      <c r="A722" t="s">
        <v>1967</v>
      </c>
      <c r="B722" s="12">
        <v>46149</v>
      </c>
      <c r="C722" s="12">
        <v>46132</v>
      </c>
      <c r="D722" t="s">
        <v>1968</v>
      </c>
      <c r="E722" t="s">
        <v>339</v>
      </c>
      <c r="F722" t="s">
        <v>409</v>
      </c>
      <c r="G722" t="s">
        <v>476</v>
      </c>
      <c r="H722" t="s">
        <v>115</v>
      </c>
      <c r="I722" t="s">
        <v>258</v>
      </c>
      <c r="J722" s="13">
        <v>0.375</v>
      </c>
      <c r="K722" s="13">
        <v>0.38124999999999998</v>
      </c>
      <c r="L722" s="13">
        <v>0.3923611111111111</v>
      </c>
      <c r="M722">
        <v>20</v>
      </c>
      <c r="N722" s="14">
        <v>150</v>
      </c>
      <c r="O722" t="s">
        <v>195</v>
      </c>
      <c r="P722">
        <v>2</v>
      </c>
      <c r="Q722" t="s">
        <v>318</v>
      </c>
      <c r="R722" t="s">
        <v>1821</v>
      </c>
      <c r="S722">
        <v>0</v>
      </c>
      <c r="T722">
        <v>0</v>
      </c>
      <c r="U722" t="s">
        <v>2294</v>
      </c>
      <c r="V722" t="s">
        <v>2295</v>
      </c>
      <c r="W722" t="s">
        <v>2296</v>
      </c>
      <c r="X722" t="s">
        <v>2297</v>
      </c>
      <c r="Y722" t="s">
        <v>2298</v>
      </c>
      <c r="Z722" t="s">
        <v>2318</v>
      </c>
      <c r="AA722">
        <v>28</v>
      </c>
      <c r="AB722" s="14">
        <v>150</v>
      </c>
      <c r="AC722" t="s">
        <v>2319</v>
      </c>
      <c r="AD722" t="s">
        <v>2320</v>
      </c>
      <c r="AE722" t="s">
        <v>2643</v>
      </c>
      <c r="AF722">
        <v>17</v>
      </c>
      <c r="AG722">
        <v>1</v>
      </c>
      <c r="AH722">
        <v>16</v>
      </c>
      <c r="AI722">
        <v>1</v>
      </c>
      <c r="AJ722">
        <v>1</v>
      </c>
      <c r="AK722">
        <v>0</v>
      </c>
      <c r="AL722">
        <v>1</v>
      </c>
      <c r="AM722" s="14">
        <v>0</v>
      </c>
      <c r="AN722" t="s">
        <v>2644</v>
      </c>
      <c r="AO722" s="12">
        <v>46143</v>
      </c>
      <c r="AP722">
        <v>2026</v>
      </c>
      <c r="AQ722">
        <v>5</v>
      </c>
      <c r="AR722" t="s">
        <v>2652</v>
      </c>
    </row>
    <row r="723" spans="1:44">
      <c r="A723" t="s">
        <v>1970</v>
      </c>
      <c r="B723" s="12">
        <v>46167</v>
      </c>
      <c r="C723" s="12">
        <v>46139</v>
      </c>
      <c r="D723" t="s">
        <v>1103</v>
      </c>
      <c r="E723" t="s">
        <v>281</v>
      </c>
      <c r="F723" t="s">
        <v>409</v>
      </c>
      <c r="G723" t="s">
        <v>496</v>
      </c>
      <c r="H723" t="s">
        <v>115</v>
      </c>
      <c r="I723" t="s">
        <v>316</v>
      </c>
      <c r="J723" s="13">
        <v>0.54166666666666663</v>
      </c>
      <c r="K723" s="13">
        <v>0.54305555555555551</v>
      </c>
      <c r="L723" s="13">
        <v>0.5444444444444444</v>
      </c>
      <c r="M723">
        <v>20</v>
      </c>
      <c r="N723" s="14">
        <v>150</v>
      </c>
      <c r="O723" t="s">
        <v>195</v>
      </c>
      <c r="P723">
        <v>4</v>
      </c>
      <c r="Q723" t="s">
        <v>285</v>
      </c>
      <c r="R723" t="s">
        <v>1821</v>
      </c>
      <c r="S723">
        <v>0</v>
      </c>
      <c r="T723">
        <v>0</v>
      </c>
      <c r="U723" t="s">
        <v>2290</v>
      </c>
      <c r="V723" t="s">
        <v>2291</v>
      </c>
      <c r="W723" t="s">
        <v>2292</v>
      </c>
      <c r="X723" t="s">
        <v>2288</v>
      </c>
      <c r="Y723" t="s">
        <v>2293</v>
      </c>
      <c r="Z723" t="s">
        <v>2318</v>
      </c>
      <c r="AA723">
        <v>28</v>
      </c>
      <c r="AB723" s="14">
        <v>150</v>
      </c>
      <c r="AC723" t="s">
        <v>2319</v>
      </c>
      <c r="AD723" t="s">
        <v>2320</v>
      </c>
      <c r="AE723" t="s">
        <v>2643</v>
      </c>
      <c r="AF723">
        <v>28</v>
      </c>
      <c r="AG723">
        <v>1</v>
      </c>
      <c r="AH723">
        <v>2</v>
      </c>
      <c r="AI723">
        <v>1</v>
      </c>
      <c r="AJ723">
        <v>1</v>
      </c>
      <c r="AK723">
        <v>0</v>
      </c>
      <c r="AL723">
        <v>1</v>
      </c>
      <c r="AM723" s="14">
        <v>0</v>
      </c>
      <c r="AN723" t="s">
        <v>2644</v>
      </c>
      <c r="AO723" s="12">
        <v>46143</v>
      </c>
      <c r="AP723">
        <v>2026</v>
      </c>
      <c r="AQ723">
        <v>5</v>
      </c>
      <c r="AR723" t="s">
        <v>2652</v>
      </c>
    </row>
    <row r="724" spans="1:44">
      <c r="A724" t="s">
        <v>1972</v>
      </c>
      <c r="B724" s="12">
        <v>46151</v>
      </c>
      <c r="C724" s="12">
        <v>46141</v>
      </c>
      <c r="D724" t="s">
        <v>1222</v>
      </c>
      <c r="E724" t="s">
        <v>268</v>
      </c>
      <c r="F724" t="s">
        <v>269</v>
      </c>
      <c r="G724" t="s">
        <v>270</v>
      </c>
      <c r="H724" t="s">
        <v>122</v>
      </c>
      <c r="I724" t="s">
        <v>316</v>
      </c>
      <c r="J724" s="13">
        <v>0.39583333333333331</v>
      </c>
      <c r="K724" s="13"/>
      <c r="L724" s="13"/>
      <c r="M724">
        <v>0</v>
      </c>
      <c r="N724" s="14">
        <v>80</v>
      </c>
      <c r="O724" t="s">
        <v>195</v>
      </c>
      <c r="Q724" t="s">
        <v>318</v>
      </c>
      <c r="R724" t="s">
        <v>1821</v>
      </c>
      <c r="S724">
        <v>0</v>
      </c>
      <c r="T724">
        <v>0</v>
      </c>
      <c r="U724" t="s">
        <v>2285</v>
      </c>
      <c r="V724" t="s">
        <v>2286</v>
      </c>
      <c r="W724" t="s">
        <v>2287</v>
      </c>
      <c r="X724" t="s">
        <v>2288</v>
      </c>
      <c r="Y724" t="s">
        <v>2289</v>
      </c>
      <c r="Z724" t="s">
        <v>2315</v>
      </c>
      <c r="AA724">
        <v>10</v>
      </c>
      <c r="AB724" s="14">
        <v>80</v>
      </c>
      <c r="AC724" t="s">
        <v>2316</v>
      </c>
      <c r="AD724" t="s">
        <v>2317</v>
      </c>
      <c r="AE724" t="s">
        <v>2643</v>
      </c>
      <c r="AF724">
        <v>10</v>
      </c>
      <c r="AG724">
        <v>1</v>
      </c>
      <c r="AJ724">
        <v>1</v>
      </c>
      <c r="AK724">
        <v>1</v>
      </c>
      <c r="AL724">
        <v>1</v>
      </c>
      <c r="AM724" s="14">
        <v>0</v>
      </c>
      <c r="AN724" t="s">
        <v>2644</v>
      </c>
      <c r="AO724" s="12">
        <v>46143</v>
      </c>
      <c r="AP724">
        <v>2026</v>
      </c>
      <c r="AQ724">
        <v>5</v>
      </c>
      <c r="AR724" t="s">
        <v>2652</v>
      </c>
    </row>
    <row r="725" spans="1:44">
      <c r="A725" t="s">
        <v>1973</v>
      </c>
      <c r="B725" s="12">
        <v>46153</v>
      </c>
      <c r="C725" s="12">
        <v>46145</v>
      </c>
      <c r="D725" t="s">
        <v>468</v>
      </c>
      <c r="E725" t="s">
        <v>255</v>
      </c>
      <c r="F725" t="s">
        <v>282</v>
      </c>
      <c r="G725" t="s">
        <v>290</v>
      </c>
      <c r="H725" t="s">
        <v>115</v>
      </c>
      <c r="I725" t="s">
        <v>316</v>
      </c>
      <c r="J725" s="13">
        <v>0.4375</v>
      </c>
      <c r="K725" s="13">
        <v>0.43333333333333335</v>
      </c>
      <c r="L725" s="13">
        <v>0.44513888888888886</v>
      </c>
      <c r="M725">
        <v>30</v>
      </c>
      <c r="N725" s="14">
        <v>120</v>
      </c>
      <c r="O725" t="s">
        <v>169</v>
      </c>
      <c r="P725">
        <v>4</v>
      </c>
      <c r="Q725" t="s">
        <v>305</v>
      </c>
      <c r="R725" t="s">
        <v>1821</v>
      </c>
      <c r="S725">
        <v>0</v>
      </c>
      <c r="T725">
        <v>0</v>
      </c>
      <c r="U725" t="s">
        <v>2299</v>
      </c>
      <c r="V725" t="s">
        <v>2295</v>
      </c>
      <c r="W725" t="s">
        <v>2300</v>
      </c>
      <c r="X725" t="s">
        <v>2288</v>
      </c>
      <c r="Y725" t="s">
        <v>2301</v>
      </c>
      <c r="Z725" t="s">
        <v>2309</v>
      </c>
      <c r="AA725">
        <v>14</v>
      </c>
      <c r="AB725" s="14">
        <v>120</v>
      </c>
      <c r="AC725" t="s">
        <v>2310</v>
      </c>
      <c r="AD725" t="s">
        <v>2311</v>
      </c>
      <c r="AE725" t="s">
        <v>2643</v>
      </c>
      <c r="AF725">
        <v>8</v>
      </c>
      <c r="AG725">
        <v>1</v>
      </c>
      <c r="AH725">
        <v>17</v>
      </c>
      <c r="AI725">
        <v>1</v>
      </c>
      <c r="AJ725">
        <v>1</v>
      </c>
      <c r="AK725">
        <v>0</v>
      </c>
      <c r="AL725">
        <v>1</v>
      </c>
      <c r="AM725" s="14">
        <v>0</v>
      </c>
      <c r="AN725" t="s">
        <v>2644</v>
      </c>
      <c r="AO725" s="12">
        <v>46143</v>
      </c>
      <c r="AP725">
        <v>2026</v>
      </c>
      <c r="AQ725">
        <v>5</v>
      </c>
      <c r="AR725" t="s">
        <v>2652</v>
      </c>
    </row>
    <row r="726" spans="1:44">
      <c r="A726" t="s">
        <v>1974</v>
      </c>
      <c r="B726" s="12">
        <v>46169</v>
      </c>
      <c r="C726" s="12">
        <v>46149</v>
      </c>
      <c r="D726" t="s">
        <v>1755</v>
      </c>
      <c r="E726" t="s">
        <v>281</v>
      </c>
      <c r="F726" t="s">
        <v>409</v>
      </c>
      <c r="G726" t="s">
        <v>496</v>
      </c>
      <c r="H726" t="s">
        <v>115</v>
      </c>
      <c r="I726" t="s">
        <v>316</v>
      </c>
      <c r="J726" s="13">
        <v>0.47916666666666669</v>
      </c>
      <c r="K726" s="13">
        <v>0.47222222222222221</v>
      </c>
      <c r="L726" s="13">
        <v>0.49444444444444446</v>
      </c>
      <c r="M726">
        <v>45</v>
      </c>
      <c r="N726" s="14">
        <v>150</v>
      </c>
      <c r="O726" t="s">
        <v>195</v>
      </c>
      <c r="P726">
        <v>4</v>
      </c>
      <c r="Q726" t="s">
        <v>305</v>
      </c>
      <c r="R726" t="s">
        <v>1821</v>
      </c>
      <c r="S726">
        <v>0</v>
      </c>
      <c r="T726">
        <v>0</v>
      </c>
      <c r="U726" t="s">
        <v>2290</v>
      </c>
      <c r="V726" t="s">
        <v>2291</v>
      </c>
      <c r="W726" t="s">
        <v>2292</v>
      </c>
      <c r="X726" t="s">
        <v>2288</v>
      </c>
      <c r="Y726" t="s">
        <v>2293</v>
      </c>
      <c r="Z726" t="s">
        <v>2318</v>
      </c>
      <c r="AA726">
        <v>28</v>
      </c>
      <c r="AB726" s="14">
        <v>150</v>
      </c>
      <c r="AC726" t="s">
        <v>2319</v>
      </c>
      <c r="AD726" t="s">
        <v>2320</v>
      </c>
      <c r="AE726" t="s">
        <v>2643</v>
      </c>
      <c r="AF726">
        <v>20</v>
      </c>
      <c r="AG726">
        <v>1</v>
      </c>
      <c r="AH726">
        <v>32</v>
      </c>
      <c r="AI726">
        <v>0</v>
      </c>
      <c r="AJ726">
        <v>1</v>
      </c>
      <c r="AK726">
        <v>0</v>
      </c>
      <c r="AL726">
        <v>1</v>
      </c>
      <c r="AM726" s="14">
        <v>0</v>
      </c>
      <c r="AN726" t="s">
        <v>2644</v>
      </c>
      <c r="AO726" s="12">
        <v>46143</v>
      </c>
      <c r="AP726">
        <v>2026</v>
      </c>
      <c r="AQ726">
        <v>5</v>
      </c>
      <c r="AR726" t="s">
        <v>2652</v>
      </c>
    </row>
    <row r="727" spans="1:44">
      <c r="A727" t="s">
        <v>1975</v>
      </c>
      <c r="B727" s="12">
        <v>46156</v>
      </c>
      <c r="C727" s="12">
        <v>46141</v>
      </c>
      <c r="D727" t="s">
        <v>642</v>
      </c>
      <c r="E727" t="s">
        <v>339</v>
      </c>
      <c r="F727" t="s">
        <v>409</v>
      </c>
      <c r="G727" t="s">
        <v>476</v>
      </c>
      <c r="H727" t="s">
        <v>115</v>
      </c>
      <c r="I727" t="s">
        <v>299</v>
      </c>
      <c r="J727" s="13">
        <v>0.4375</v>
      </c>
      <c r="K727" s="13">
        <v>0.43333333333333335</v>
      </c>
      <c r="L727" s="13">
        <v>0.45833333333333331</v>
      </c>
      <c r="M727">
        <v>30</v>
      </c>
      <c r="N727" s="14">
        <v>150</v>
      </c>
      <c r="O727" t="s">
        <v>195</v>
      </c>
      <c r="P727">
        <v>5</v>
      </c>
      <c r="Q727" t="s">
        <v>262</v>
      </c>
      <c r="R727" t="s">
        <v>1821</v>
      </c>
      <c r="S727">
        <v>0</v>
      </c>
      <c r="T727">
        <v>0</v>
      </c>
      <c r="U727" t="s">
        <v>2294</v>
      </c>
      <c r="V727" t="s">
        <v>2295</v>
      </c>
      <c r="W727" t="s">
        <v>2296</v>
      </c>
      <c r="X727" t="s">
        <v>2297</v>
      </c>
      <c r="Y727" t="s">
        <v>2298</v>
      </c>
      <c r="Z727" t="s">
        <v>2318</v>
      </c>
      <c r="AA727">
        <v>28</v>
      </c>
      <c r="AB727" s="14">
        <v>150</v>
      </c>
      <c r="AC727" t="s">
        <v>2319</v>
      </c>
      <c r="AD727" t="s">
        <v>2320</v>
      </c>
      <c r="AE727" t="s">
        <v>2643</v>
      </c>
      <c r="AF727">
        <v>15</v>
      </c>
      <c r="AG727">
        <v>1</v>
      </c>
      <c r="AH727">
        <v>36</v>
      </c>
      <c r="AI727">
        <v>0</v>
      </c>
      <c r="AJ727">
        <v>1</v>
      </c>
      <c r="AK727">
        <v>0</v>
      </c>
      <c r="AL727">
        <v>1</v>
      </c>
      <c r="AM727" s="14">
        <v>0</v>
      </c>
      <c r="AN727" t="s">
        <v>2644</v>
      </c>
      <c r="AO727" s="12">
        <v>46143</v>
      </c>
      <c r="AP727">
        <v>2026</v>
      </c>
      <c r="AQ727">
        <v>5</v>
      </c>
      <c r="AR727" t="s">
        <v>2652</v>
      </c>
    </row>
    <row r="728" spans="1:44">
      <c r="A728" t="s">
        <v>1976</v>
      </c>
      <c r="B728" s="12">
        <v>46172</v>
      </c>
      <c r="C728" s="12">
        <v>46128</v>
      </c>
      <c r="D728" t="s">
        <v>1503</v>
      </c>
      <c r="E728" t="s">
        <v>255</v>
      </c>
      <c r="F728" t="s">
        <v>297</v>
      </c>
      <c r="G728" t="s">
        <v>331</v>
      </c>
      <c r="H728" t="s">
        <v>115</v>
      </c>
      <c r="I728" t="s">
        <v>316</v>
      </c>
      <c r="J728" s="13">
        <v>0.64583333333333337</v>
      </c>
      <c r="K728" s="13">
        <v>0.64861111111111114</v>
      </c>
      <c r="L728" s="13">
        <v>0.65347222222222223</v>
      </c>
      <c r="M728">
        <v>30</v>
      </c>
      <c r="N728" s="14">
        <v>65</v>
      </c>
      <c r="O728" t="s">
        <v>195</v>
      </c>
      <c r="P728">
        <v>4</v>
      </c>
      <c r="Q728" t="s">
        <v>262</v>
      </c>
      <c r="R728" t="s">
        <v>1821</v>
      </c>
      <c r="S728">
        <v>0</v>
      </c>
      <c r="T728">
        <v>0</v>
      </c>
      <c r="U728" t="s">
        <v>2299</v>
      </c>
      <c r="V728" t="s">
        <v>2295</v>
      </c>
      <c r="W728" t="s">
        <v>2300</v>
      </c>
      <c r="X728" t="s">
        <v>2288</v>
      </c>
      <c r="Y728" t="s">
        <v>2301</v>
      </c>
      <c r="Z728" t="s">
        <v>2306</v>
      </c>
      <c r="AA728">
        <v>7</v>
      </c>
      <c r="AB728" s="14">
        <v>65</v>
      </c>
      <c r="AC728" t="s">
        <v>2307</v>
      </c>
      <c r="AD728" t="s">
        <v>2308</v>
      </c>
      <c r="AE728" t="s">
        <v>2643</v>
      </c>
      <c r="AF728">
        <v>44</v>
      </c>
      <c r="AG728">
        <v>0</v>
      </c>
      <c r="AH728">
        <v>7</v>
      </c>
      <c r="AI728">
        <v>1</v>
      </c>
      <c r="AJ728">
        <v>1</v>
      </c>
      <c r="AK728">
        <v>0</v>
      </c>
      <c r="AL728">
        <v>1</v>
      </c>
      <c r="AM728" s="14">
        <v>0</v>
      </c>
      <c r="AN728" t="s">
        <v>2644</v>
      </c>
      <c r="AO728" s="12">
        <v>46143</v>
      </c>
      <c r="AP728">
        <v>2026</v>
      </c>
      <c r="AQ728">
        <v>5</v>
      </c>
      <c r="AR728" t="s">
        <v>2652</v>
      </c>
    </row>
    <row r="729" spans="1:44">
      <c r="A729" t="s">
        <v>1977</v>
      </c>
      <c r="B729" s="12">
        <v>46151</v>
      </c>
      <c r="C729" s="12">
        <v>46129</v>
      </c>
      <c r="D729" t="s">
        <v>1978</v>
      </c>
      <c r="E729" t="s">
        <v>255</v>
      </c>
      <c r="F729" t="s">
        <v>282</v>
      </c>
      <c r="G729" t="s">
        <v>290</v>
      </c>
      <c r="H729" t="s">
        <v>115</v>
      </c>
      <c r="I729" t="s">
        <v>299</v>
      </c>
      <c r="J729" s="13">
        <v>0.35416666666666669</v>
      </c>
      <c r="K729" s="13">
        <v>0.35625000000000001</v>
      </c>
      <c r="L729" s="13">
        <v>0.38194444444444442</v>
      </c>
      <c r="M729">
        <v>20</v>
      </c>
      <c r="N729" s="14">
        <v>120</v>
      </c>
      <c r="O729" t="s">
        <v>195</v>
      </c>
      <c r="P729">
        <v>3</v>
      </c>
      <c r="Q729" t="s">
        <v>318</v>
      </c>
      <c r="R729" t="s">
        <v>1821</v>
      </c>
      <c r="S729">
        <v>0</v>
      </c>
      <c r="T729">
        <v>0</v>
      </c>
      <c r="U729" t="s">
        <v>2299</v>
      </c>
      <c r="V729" t="s">
        <v>2295</v>
      </c>
      <c r="W729" t="s">
        <v>2300</v>
      </c>
      <c r="X729" t="s">
        <v>2288</v>
      </c>
      <c r="Y729" t="s">
        <v>2301</v>
      </c>
      <c r="Z729" t="s">
        <v>2309</v>
      </c>
      <c r="AA729">
        <v>14</v>
      </c>
      <c r="AB729" s="14">
        <v>120</v>
      </c>
      <c r="AC729" t="s">
        <v>2310</v>
      </c>
      <c r="AD729" t="s">
        <v>2311</v>
      </c>
      <c r="AE729" t="s">
        <v>2643</v>
      </c>
      <c r="AF729">
        <v>22</v>
      </c>
      <c r="AG729">
        <v>0</v>
      </c>
      <c r="AH729">
        <v>37</v>
      </c>
      <c r="AI729">
        <v>0</v>
      </c>
      <c r="AJ729">
        <v>1</v>
      </c>
      <c r="AK729">
        <v>0</v>
      </c>
      <c r="AL729">
        <v>1</v>
      </c>
      <c r="AM729" s="14">
        <v>0</v>
      </c>
      <c r="AN729" t="s">
        <v>2644</v>
      </c>
      <c r="AO729" s="12">
        <v>46143</v>
      </c>
      <c r="AP729">
        <v>2026</v>
      </c>
      <c r="AQ729">
        <v>5</v>
      </c>
      <c r="AR729" t="s">
        <v>2652</v>
      </c>
    </row>
    <row r="730" spans="1:44">
      <c r="A730" t="s">
        <v>1979</v>
      </c>
      <c r="B730" s="12">
        <v>46146</v>
      </c>
      <c r="C730" s="12">
        <v>46144</v>
      </c>
      <c r="D730" t="s">
        <v>381</v>
      </c>
      <c r="E730" t="s">
        <v>268</v>
      </c>
      <c r="F730" t="s">
        <v>256</v>
      </c>
      <c r="G730" t="s">
        <v>886</v>
      </c>
      <c r="H730" t="s">
        <v>122</v>
      </c>
      <c r="I730" t="s">
        <v>258</v>
      </c>
      <c r="J730" s="13">
        <v>0.52083333333333337</v>
      </c>
      <c r="K730" s="13">
        <v>0.51597222222222228</v>
      </c>
      <c r="L730" s="13">
        <v>0.52152777777777781</v>
      </c>
      <c r="M730">
        <v>30</v>
      </c>
      <c r="N730" s="14">
        <v>95</v>
      </c>
      <c r="O730" t="s">
        <v>195</v>
      </c>
      <c r="P730">
        <v>5</v>
      </c>
      <c r="Q730" t="s">
        <v>326</v>
      </c>
      <c r="R730" t="s">
        <v>1821</v>
      </c>
      <c r="S730">
        <v>0</v>
      </c>
      <c r="T730">
        <v>0</v>
      </c>
      <c r="U730" t="s">
        <v>2285</v>
      </c>
      <c r="V730" t="s">
        <v>2286</v>
      </c>
      <c r="W730" t="s">
        <v>2287</v>
      </c>
      <c r="X730" t="s">
        <v>2288</v>
      </c>
      <c r="Y730" t="s">
        <v>2289</v>
      </c>
      <c r="Z730" t="s">
        <v>2312</v>
      </c>
      <c r="AA730">
        <v>21</v>
      </c>
      <c r="AB730" s="14">
        <v>95</v>
      </c>
      <c r="AC730" t="s">
        <v>2313</v>
      </c>
      <c r="AD730" t="s">
        <v>2314</v>
      </c>
      <c r="AE730" t="s">
        <v>2643</v>
      </c>
      <c r="AF730">
        <v>2</v>
      </c>
      <c r="AG730">
        <v>1</v>
      </c>
      <c r="AJ730">
        <v>1</v>
      </c>
      <c r="AK730">
        <v>1</v>
      </c>
      <c r="AL730">
        <v>1</v>
      </c>
      <c r="AM730" s="14">
        <v>0</v>
      </c>
      <c r="AN730" t="s">
        <v>2644</v>
      </c>
      <c r="AO730" s="12">
        <v>46143</v>
      </c>
      <c r="AP730">
        <v>2026</v>
      </c>
      <c r="AQ730">
        <v>5</v>
      </c>
      <c r="AR730" t="s">
        <v>2652</v>
      </c>
    </row>
    <row r="731" spans="1:44">
      <c r="A731" t="s">
        <v>1980</v>
      </c>
      <c r="B731" s="12">
        <v>46151</v>
      </c>
      <c r="C731" s="12">
        <v>46100</v>
      </c>
      <c r="D731" t="s">
        <v>330</v>
      </c>
      <c r="E731" t="s">
        <v>268</v>
      </c>
      <c r="F731" t="s">
        <v>409</v>
      </c>
      <c r="G731" t="s">
        <v>587</v>
      </c>
      <c r="H731" t="s">
        <v>115</v>
      </c>
      <c r="I731" t="s">
        <v>271</v>
      </c>
      <c r="J731" s="13">
        <v>0.625</v>
      </c>
      <c r="K731" s="13">
        <v>0.62222222222222223</v>
      </c>
      <c r="L731" s="13">
        <v>0.65208333333333335</v>
      </c>
      <c r="M731">
        <v>45</v>
      </c>
      <c r="N731" s="14">
        <v>150</v>
      </c>
      <c r="O731" t="s">
        <v>169</v>
      </c>
      <c r="P731">
        <v>5</v>
      </c>
      <c r="Q731" t="s">
        <v>305</v>
      </c>
      <c r="R731" t="s">
        <v>1821</v>
      </c>
      <c r="S731">
        <v>0</v>
      </c>
      <c r="T731">
        <v>0</v>
      </c>
      <c r="U731" t="s">
        <v>2285</v>
      </c>
      <c r="V731" t="s">
        <v>2286</v>
      </c>
      <c r="W731" t="s">
        <v>2287</v>
      </c>
      <c r="X731" t="s">
        <v>2288</v>
      </c>
      <c r="Y731" t="s">
        <v>2289</v>
      </c>
      <c r="Z731" t="s">
        <v>2318</v>
      </c>
      <c r="AA731">
        <v>28</v>
      </c>
      <c r="AB731" s="14">
        <v>150</v>
      </c>
      <c r="AC731" t="s">
        <v>2319</v>
      </c>
      <c r="AD731" t="s">
        <v>2320</v>
      </c>
      <c r="AE731" t="s">
        <v>2643</v>
      </c>
      <c r="AF731">
        <v>51</v>
      </c>
      <c r="AG731">
        <v>0</v>
      </c>
      <c r="AH731">
        <v>43</v>
      </c>
      <c r="AI731">
        <v>0</v>
      </c>
      <c r="AJ731">
        <v>1</v>
      </c>
      <c r="AK731">
        <v>0</v>
      </c>
      <c r="AL731">
        <v>1</v>
      </c>
      <c r="AM731" s="14">
        <v>0</v>
      </c>
      <c r="AN731" t="s">
        <v>2644</v>
      </c>
      <c r="AO731" s="12">
        <v>46143</v>
      </c>
      <c r="AP731">
        <v>2026</v>
      </c>
      <c r="AQ731">
        <v>5</v>
      </c>
      <c r="AR731" t="s">
        <v>2652</v>
      </c>
    </row>
    <row r="732" spans="1:44">
      <c r="A732" t="s">
        <v>1982</v>
      </c>
      <c r="B732" s="12">
        <v>46160</v>
      </c>
      <c r="C732" s="12">
        <v>46127</v>
      </c>
      <c r="D732" t="s">
        <v>610</v>
      </c>
      <c r="E732" t="s">
        <v>255</v>
      </c>
      <c r="F732" t="s">
        <v>282</v>
      </c>
      <c r="G732" t="s">
        <v>290</v>
      </c>
      <c r="H732" t="s">
        <v>127</v>
      </c>
      <c r="I732" t="s">
        <v>316</v>
      </c>
      <c r="J732" s="13">
        <v>0.35416666666666669</v>
      </c>
      <c r="K732" s="13"/>
      <c r="L732" s="13"/>
      <c r="M732">
        <v>0</v>
      </c>
      <c r="N732" s="14">
        <v>120</v>
      </c>
      <c r="O732" t="s">
        <v>195</v>
      </c>
      <c r="Q732" t="s">
        <v>305</v>
      </c>
      <c r="R732" t="s">
        <v>1821</v>
      </c>
      <c r="S732">
        <v>0</v>
      </c>
      <c r="T732">
        <v>0</v>
      </c>
      <c r="U732" t="s">
        <v>2299</v>
      </c>
      <c r="V732" t="s">
        <v>2295</v>
      </c>
      <c r="W732" t="s">
        <v>2300</v>
      </c>
      <c r="X732" t="s">
        <v>2288</v>
      </c>
      <c r="Y732" t="s">
        <v>2301</v>
      </c>
      <c r="Z732" t="s">
        <v>2309</v>
      </c>
      <c r="AA732">
        <v>14</v>
      </c>
      <c r="AB732" s="14">
        <v>120</v>
      </c>
      <c r="AC732" t="s">
        <v>2310</v>
      </c>
      <c r="AD732" t="s">
        <v>2311</v>
      </c>
      <c r="AE732" t="s">
        <v>2643</v>
      </c>
      <c r="AF732">
        <v>33</v>
      </c>
      <c r="AG732">
        <v>0</v>
      </c>
      <c r="AJ732">
        <v>0</v>
      </c>
      <c r="AL732">
        <v>1</v>
      </c>
      <c r="AM732" s="14">
        <v>0</v>
      </c>
      <c r="AN732" t="s">
        <v>2644</v>
      </c>
      <c r="AO732" s="12">
        <v>46143</v>
      </c>
      <c r="AP732">
        <v>2026</v>
      </c>
      <c r="AQ732">
        <v>5</v>
      </c>
      <c r="AR732" t="s">
        <v>2652</v>
      </c>
    </row>
    <row r="733" spans="1:44">
      <c r="A733" t="s">
        <v>1983</v>
      </c>
      <c r="B733" s="12">
        <v>46160</v>
      </c>
      <c r="C733" s="12">
        <v>46149</v>
      </c>
      <c r="D733" t="s">
        <v>946</v>
      </c>
      <c r="E733" t="s">
        <v>281</v>
      </c>
      <c r="F733" t="s">
        <v>409</v>
      </c>
      <c r="G733" t="s">
        <v>535</v>
      </c>
      <c r="H733" t="s">
        <v>115</v>
      </c>
      <c r="I733" t="s">
        <v>258</v>
      </c>
      <c r="J733" s="13">
        <v>0.47916666666666669</v>
      </c>
      <c r="K733" s="13">
        <v>0.47222222222222221</v>
      </c>
      <c r="L733" s="13">
        <v>0.49722222222222223</v>
      </c>
      <c r="M733">
        <v>30</v>
      </c>
      <c r="N733" s="14">
        <v>150</v>
      </c>
      <c r="O733" t="s">
        <v>195</v>
      </c>
      <c r="P733">
        <v>2</v>
      </c>
      <c r="Q733" t="s">
        <v>318</v>
      </c>
      <c r="R733" t="s">
        <v>1821</v>
      </c>
      <c r="S733">
        <v>0</v>
      </c>
      <c r="T733">
        <v>0</v>
      </c>
      <c r="U733" t="s">
        <v>2290</v>
      </c>
      <c r="V733" t="s">
        <v>2291</v>
      </c>
      <c r="W733" t="s">
        <v>2292</v>
      </c>
      <c r="X733" t="s">
        <v>2288</v>
      </c>
      <c r="Y733" t="s">
        <v>2293</v>
      </c>
      <c r="Z733" t="s">
        <v>2318</v>
      </c>
      <c r="AA733">
        <v>28</v>
      </c>
      <c r="AB733" s="14">
        <v>150</v>
      </c>
      <c r="AC733" t="s">
        <v>2319</v>
      </c>
      <c r="AD733" t="s">
        <v>2320</v>
      </c>
      <c r="AE733" t="s">
        <v>2643</v>
      </c>
      <c r="AF733">
        <v>11</v>
      </c>
      <c r="AG733">
        <v>1</v>
      </c>
      <c r="AH733">
        <v>36</v>
      </c>
      <c r="AI733">
        <v>0</v>
      </c>
      <c r="AJ733">
        <v>1</v>
      </c>
      <c r="AK733">
        <v>0</v>
      </c>
      <c r="AL733">
        <v>1</v>
      </c>
      <c r="AM733" s="14">
        <v>0</v>
      </c>
      <c r="AN733" t="s">
        <v>2644</v>
      </c>
      <c r="AO733" s="12">
        <v>46143</v>
      </c>
      <c r="AP733">
        <v>2026</v>
      </c>
      <c r="AQ733">
        <v>5</v>
      </c>
      <c r="AR733" t="s">
        <v>2652</v>
      </c>
    </row>
    <row r="734" spans="1:44">
      <c r="A734" t="s">
        <v>1984</v>
      </c>
      <c r="B734" s="12"/>
      <c r="C734" s="12">
        <v>46153</v>
      </c>
      <c r="D734" t="s">
        <v>486</v>
      </c>
      <c r="E734" t="s">
        <v>255</v>
      </c>
      <c r="F734" t="s">
        <v>297</v>
      </c>
      <c r="G734" t="s">
        <v>331</v>
      </c>
      <c r="H734" t="s">
        <v>115</v>
      </c>
      <c r="I734" t="s">
        <v>299</v>
      </c>
      <c r="J734" s="13">
        <v>0.60416666666666663</v>
      </c>
      <c r="K734" s="13">
        <v>0.6</v>
      </c>
      <c r="L734" s="13">
        <v>0.60763888888888884</v>
      </c>
      <c r="M734">
        <v>45</v>
      </c>
      <c r="N734" s="14">
        <v>65</v>
      </c>
      <c r="O734" t="s">
        <v>169</v>
      </c>
      <c r="P734">
        <v>4</v>
      </c>
      <c r="Q734" t="s">
        <v>285</v>
      </c>
      <c r="R734" t="s">
        <v>1821</v>
      </c>
      <c r="S734">
        <v>0</v>
      </c>
      <c r="T734">
        <v>0</v>
      </c>
      <c r="U734" t="s">
        <v>2299</v>
      </c>
      <c r="V734" t="s">
        <v>2295</v>
      </c>
      <c r="W734" t="s">
        <v>2300</v>
      </c>
      <c r="X734" t="s">
        <v>2288</v>
      </c>
      <c r="Y734" t="s">
        <v>2301</v>
      </c>
      <c r="Z734" t="s">
        <v>2306</v>
      </c>
      <c r="AA734">
        <v>7</v>
      </c>
      <c r="AB734" s="14">
        <v>65</v>
      </c>
      <c r="AC734" t="s">
        <v>2307</v>
      </c>
      <c r="AD734" t="s">
        <v>2308</v>
      </c>
      <c r="AE734" t="s">
        <v>2643</v>
      </c>
      <c r="AH734">
        <v>11</v>
      </c>
      <c r="AI734">
        <v>1</v>
      </c>
      <c r="AJ734">
        <v>1</v>
      </c>
      <c r="AK734">
        <v>0</v>
      </c>
      <c r="AL734">
        <v>1</v>
      </c>
      <c r="AM734" s="14">
        <v>0</v>
      </c>
      <c r="AN734" t="s">
        <v>2644</v>
      </c>
      <c r="AO734" s="12"/>
    </row>
    <row r="735" spans="1:44">
      <c r="A735" t="s">
        <v>1985</v>
      </c>
      <c r="B735" s="12">
        <v>46143</v>
      </c>
      <c r="C735" s="12">
        <v>46142</v>
      </c>
      <c r="D735" t="s">
        <v>1103</v>
      </c>
      <c r="E735" t="s">
        <v>339</v>
      </c>
      <c r="F735" t="s">
        <v>409</v>
      </c>
      <c r="G735" t="s">
        <v>476</v>
      </c>
      <c r="H735" t="s">
        <v>115</v>
      </c>
      <c r="I735" t="s">
        <v>271</v>
      </c>
      <c r="J735" s="13">
        <v>0.39583333333333331</v>
      </c>
      <c r="K735" s="13">
        <v>0.40625</v>
      </c>
      <c r="L735" s="13">
        <v>0.40208333333333335</v>
      </c>
      <c r="M735">
        <v>60</v>
      </c>
      <c r="N735" s="14">
        <v>150</v>
      </c>
      <c r="O735" t="s">
        <v>195</v>
      </c>
      <c r="P735">
        <v>4</v>
      </c>
      <c r="Q735" t="s">
        <v>285</v>
      </c>
      <c r="R735" t="s">
        <v>1821</v>
      </c>
      <c r="S735">
        <v>0</v>
      </c>
      <c r="T735">
        <v>0</v>
      </c>
      <c r="U735" t="s">
        <v>2294</v>
      </c>
      <c r="V735" t="s">
        <v>2295</v>
      </c>
      <c r="W735" t="s">
        <v>2296</v>
      </c>
      <c r="X735" t="s">
        <v>2297</v>
      </c>
      <c r="Y735" t="s">
        <v>2298</v>
      </c>
      <c r="Z735" t="s">
        <v>2318</v>
      </c>
      <c r="AA735">
        <v>28</v>
      </c>
      <c r="AB735" s="14">
        <v>150</v>
      </c>
      <c r="AC735" t="s">
        <v>2319</v>
      </c>
      <c r="AD735" t="s">
        <v>2320</v>
      </c>
      <c r="AE735" t="s">
        <v>2643</v>
      </c>
      <c r="AF735">
        <v>1</v>
      </c>
      <c r="AG735">
        <v>1</v>
      </c>
      <c r="AJ735">
        <v>1</v>
      </c>
      <c r="AK735">
        <v>0</v>
      </c>
      <c r="AL735">
        <v>1</v>
      </c>
      <c r="AM735" s="14">
        <v>0</v>
      </c>
      <c r="AN735" t="s">
        <v>2644</v>
      </c>
      <c r="AO735" s="12">
        <v>46143</v>
      </c>
      <c r="AP735">
        <v>2026</v>
      </c>
      <c r="AQ735">
        <v>5</v>
      </c>
      <c r="AR735" t="s">
        <v>2652</v>
      </c>
    </row>
    <row r="736" spans="1:44">
      <c r="A736" t="s">
        <v>1987</v>
      </c>
      <c r="B736" s="12">
        <v>46170</v>
      </c>
      <c r="C736" s="12">
        <v>46169</v>
      </c>
      <c r="D736" t="s">
        <v>514</v>
      </c>
      <c r="E736" t="s">
        <v>268</v>
      </c>
      <c r="F736" t="s">
        <v>256</v>
      </c>
      <c r="G736" t="s">
        <v>419</v>
      </c>
      <c r="H736" t="s">
        <v>115</v>
      </c>
      <c r="I736" t="s">
        <v>316</v>
      </c>
      <c r="J736" s="13">
        <v>0.33333333333333331</v>
      </c>
      <c r="K736" s="13">
        <v>0.33055555555555555</v>
      </c>
      <c r="L736" s="13">
        <v>0.34236111111111112</v>
      </c>
      <c r="M736">
        <v>20</v>
      </c>
      <c r="N736" s="14">
        <v>95</v>
      </c>
      <c r="O736" t="s">
        <v>195</v>
      </c>
      <c r="P736">
        <v>4</v>
      </c>
      <c r="Q736" t="s">
        <v>326</v>
      </c>
      <c r="R736" t="s">
        <v>1821</v>
      </c>
      <c r="S736">
        <v>0</v>
      </c>
      <c r="T736">
        <v>0</v>
      </c>
      <c r="U736" t="s">
        <v>2285</v>
      </c>
      <c r="V736" t="s">
        <v>2286</v>
      </c>
      <c r="W736" t="s">
        <v>2287</v>
      </c>
      <c r="X736" t="s">
        <v>2288</v>
      </c>
      <c r="Y736" t="s">
        <v>2289</v>
      </c>
      <c r="Z736" t="s">
        <v>2312</v>
      </c>
      <c r="AA736">
        <v>21</v>
      </c>
      <c r="AB736" s="14">
        <v>95</v>
      </c>
      <c r="AC736" t="s">
        <v>2313</v>
      </c>
      <c r="AD736" t="s">
        <v>2314</v>
      </c>
      <c r="AE736" t="s">
        <v>2643</v>
      </c>
      <c r="AF736">
        <v>1</v>
      </c>
      <c r="AG736">
        <v>1</v>
      </c>
      <c r="AH736">
        <v>17</v>
      </c>
      <c r="AI736">
        <v>1</v>
      </c>
      <c r="AJ736">
        <v>1</v>
      </c>
      <c r="AK736">
        <v>0</v>
      </c>
      <c r="AL736">
        <v>1</v>
      </c>
      <c r="AM736" s="14">
        <v>0</v>
      </c>
      <c r="AN736" t="s">
        <v>2644</v>
      </c>
      <c r="AO736" s="12">
        <v>46143</v>
      </c>
      <c r="AP736">
        <v>2026</v>
      </c>
      <c r="AQ736">
        <v>5</v>
      </c>
      <c r="AR736" t="s">
        <v>2652</v>
      </c>
    </row>
    <row r="737" spans="1:44">
      <c r="A737" t="s">
        <v>1989</v>
      </c>
      <c r="B737" s="12">
        <v>46145</v>
      </c>
      <c r="C737" s="12">
        <v>46109</v>
      </c>
      <c r="D737" t="s">
        <v>1366</v>
      </c>
      <c r="E737" t="s">
        <v>281</v>
      </c>
      <c r="F737" t="s">
        <v>256</v>
      </c>
      <c r="G737" t="s">
        <v>796</v>
      </c>
      <c r="H737" t="s">
        <v>115</v>
      </c>
      <c r="I737" t="s">
        <v>316</v>
      </c>
      <c r="J737" s="13">
        <v>0.64583333333333337</v>
      </c>
      <c r="K737" s="13">
        <v>0.64166666666666672</v>
      </c>
      <c r="L737" s="13">
        <v>0.66041666666666665</v>
      </c>
      <c r="M737">
        <v>30</v>
      </c>
      <c r="N737" s="14">
        <v>95</v>
      </c>
      <c r="O737" t="s">
        <v>195</v>
      </c>
      <c r="P737">
        <v>5</v>
      </c>
      <c r="Q737" t="s">
        <v>262</v>
      </c>
      <c r="R737" t="s">
        <v>1821</v>
      </c>
      <c r="S737">
        <v>0</v>
      </c>
      <c r="T737">
        <v>0</v>
      </c>
      <c r="U737" t="s">
        <v>2290</v>
      </c>
      <c r="V737" t="s">
        <v>2291</v>
      </c>
      <c r="W737" t="s">
        <v>2292</v>
      </c>
      <c r="X737" t="s">
        <v>2288</v>
      </c>
      <c r="Y737" t="s">
        <v>2293</v>
      </c>
      <c r="Z737" t="s">
        <v>2312</v>
      </c>
      <c r="AA737">
        <v>21</v>
      </c>
      <c r="AB737" s="14">
        <v>95</v>
      </c>
      <c r="AC737" t="s">
        <v>2313</v>
      </c>
      <c r="AD737" t="s">
        <v>2314</v>
      </c>
      <c r="AE737" t="s">
        <v>2643</v>
      </c>
      <c r="AF737">
        <v>36</v>
      </c>
      <c r="AG737">
        <v>0</v>
      </c>
      <c r="AH737">
        <v>27</v>
      </c>
      <c r="AI737">
        <v>1</v>
      </c>
      <c r="AJ737">
        <v>1</v>
      </c>
      <c r="AK737">
        <v>0</v>
      </c>
      <c r="AL737">
        <v>1</v>
      </c>
      <c r="AM737" s="14">
        <v>0</v>
      </c>
      <c r="AN737" t="s">
        <v>2644</v>
      </c>
      <c r="AO737" s="12">
        <v>46143</v>
      </c>
      <c r="AP737">
        <v>2026</v>
      </c>
      <c r="AQ737">
        <v>5</v>
      </c>
      <c r="AR737" t="s">
        <v>2652</v>
      </c>
    </row>
    <row r="738" spans="1:44">
      <c r="A738" t="s">
        <v>1990</v>
      </c>
      <c r="B738" s="12">
        <v>46173</v>
      </c>
      <c r="C738" s="12">
        <v>46160</v>
      </c>
      <c r="D738" t="s">
        <v>1036</v>
      </c>
      <c r="E738" t="s">
        <v>268</v>
      </c>
      <c r="F738" t="s">
        <v>409</v>
      </c>
      <c r="G738" t="s">
        <v>725</v>
      </c>
      <c r="H738" t="s">
        <v>115</v>
      </c>
      <c r="I738" t="s">
        <v>258</v>
      </c>
      <c r="J738" s="13">
        <v>0.5</v>
      </c>
      <c r="K738" s="13">
        <v>0.50486111111111109</v>
      </c>
      <c r="L738" s="13">
        <v>0.52222222222222225</v>
      </c>
      <c r="M738">
        <v>20</v>
      </c>
      <c r="N738" s="14">
        <v>150</v>
      </c>
      <c r="O738" t="s">
        <v>195</v>
      </c>
      <c r="P738">
        <v>4</v>
      </c>
      <c r="Q738" t="s">
        <v>305</v>
      </c>
      <c r="R738" t="s">
        <v>1821</v>
      </c>
      <c r="S738">
        <v>0</v>
      </c>
      <c r="T738">
        <v>0</v>
      </c>
      <c r="U738" t="s">
        <v>2285</v>
      </c>
      <c r="V738" t="s">
        <v>2286</v>
      </c>
      <c r="W738" t="s">
        <v>2287</v>
      </c>
      <c r="X738" t="s">
        <v>2288</v>
      </c>
      <c r="Y738" t="s">
        <v>2289</v>
      </c>
      <c r="Z738" t="s">
        <v>2318</v>
      </c>
      <c r="AA738">
        <v>28</v>
      </c>
      <c r="AB738" s="14">
        <v>150</v>
      </c>
      <c r="AC738" t="s">
        <v>2319</v>
      </c>
      <c r="AD738" t="s">
        <v>2320</v>
      </c>
      <c r="AE738" t="s">
        <v>2643</v>
      </c>
      <c r="AF738">
        <v>13</v>
      </c>
      <c r="AG738">
        <v>1</v>
      </c>
      <c r="AH738">
        <v>25</v>
      </c>
      <c r="AI738">
        <v>1</v>
      </c>
      <c r="AJ738">
        <v>1</v>
      </c>
      <c r="AK738">
        <v>0</v>
      </c>
      <c r="AL738">
        <v>1</v>
      </c>
      <c r="AM738" s="14">
        <v>0</v>
      </c>
      <c r="AN738" t="s">
        <v>2644</v>
      </c>
      <c r="AO738" s="12">
        <v>46143</v>
      </c>
      <c r="AP738">
        <v>2026</v>
      </c>
      <c r="AQ738">
        <v>5</v>
      </c>
      <c r="AR738" t="s">
        <v>2652</v>
      </c>
    </row>
    <row r="739" spans="1:44">
      <c r="A739" t="s">
        <v>1991</v>
      </c>
      <c r="B739" s="12">
        <v>46146</v>
      </c>
      <c r="C739" s="12">
        <v>46094</v>
      </c>
      <c r="D739" t="s">
        <v>1760</v>
      </c>
      <c r="E739" t="s">
        <v>339</v>
      </c>
      <c r="F739" t="s">
        <v>282</v>
      </c>
      <c r="G739" t="s">
        <v>564</v>
      </c>
      <c r="H739" t="s">
        <v>115</v>
      </c>
      <c r="I739" t="s">
        <v>271</v>
      </c>
      <c r="J739" s="13">
        <v>0.5</v>
      </c>
      <c r="K739" s="13">
        <v>0.50416666666666665</v>
      </c>
      <c r="L739" s="13">
        <v>0.52222222222222225</v>
      </c>
      <c r="M739">
        <v>30</v>
      </c>
      <c r="N739" s="14">
        <v>120</v>
      </c>
      <c r="O739" t="s">
        <v>169</v>
      </c>
      <c r="P739">
        <v>4</v>
      </c>
      <c r="Q739" t="s">
        <v>262</v>
      </c>
      <c r="R739" t="s">
        <v>1821</v>
      </c>
      <c r="S739">
        <v>0</v>
      </c>
      <c r="T739">
        <v>0</v>
      </c>
      <c r="U739" t="s">
        <v>2294</v>
      </c>
      <c r="V739" t="s">
        <v>2295</v>
      </c>
      <c r="W739" t="s">
        <v>2296</v>
      </c>
      <c r="X739" t="s">
        <v>2297</v>
      </c>
      <c r="Y739" t="s">
        <v>2298</v>
      </c>
      <c r="Z739" t="s">
        <v>2309</v>
      </c>
      <c r="AA739">
        <v>14</v>
      </c>
      <c r="AB739" s="14">
        <v>120</v>
      </c>
      <c r="AC739" t="s">
        <v>2310</v>
      </c>
      <c r="AD739" t="s">
        <v>2311</v>
      </c>
      <c r="AE739" t="s">
        <v>2643</v>
      </c>
      <c r="AF739">
        <v>52</v>
      </c>
      <c r="AG739">
        <v>0</v>
      </c>
      <c r="AH739">
        <v>26</v>
      </c>
      <c r="AI739">
        <v>1</v>
      </c>
      <c r="AJ739">
        <v>1</v>
      </c>
      <c r="AK739">
        <v>0</v>
      </c>
      <c r="AL739">
        <v>1</v>
      </c>
      <c r="AM739" s="14">
        <v>0</v>
      </c>
      <c r="AN739" t="s">
        <v>2644</v>
      </c>
      <c r="AO739" s="12">
        <v>46143</v>
      </c>
      <c r="AP739">
        <v>2026</v>
      </c>
      <c r="AQ739">
        <v>5</v>
      </c>
      <c r="AR739" t="s">
        <v>2652</v>
      </c>
    </row>
    <row r="740" spans="1:44">
      <c r="A740" t="s">
        <v>1992</v>
      </c>
      <c r="B740" s="12">
        <v>46163</v>
      </c>
      <c r="C740" s="12">
        <v>46116</v>
      </c>
      <c r="D740" t="s">
        <v>1215</v>
      </c>
      <c r="E740" t="s">
        <v>281</v>
      </c>
      <c r="F740" t="s">
        <v>256</v>
      </c>
      <c r="G740" t="s">
        <v>796</v>
      </c>
      <c r="H740" t="s">
        <v>115</v>
      </c>
      <c r="I740" t="s">
        <v>258</v>
      </c>
      <c r="J740" s="13">
        <v>0.45833333333333331</v>
      </c>
      <c r="K740" s="13">
        <v>0.46944444444444444</v>
      </c>
      <c r="L740" s="13">
        <v>0.48402777777777778</v>
      </c>
      <c r="M740">
        <v>60</v>
      </c>
      <c r="N740" s="14">
        <v>95</v>
      </c>
      <c r="O740" t="s">
        <v>195</v>
      </c>
      <c r="P740">
        <v>4</v>
      </c>
      <c r="Q740" t="s">
        <v>318</v>
      </c>
      <c r="R740" t="s">
        <v>1821</v>
      </c>
      <c r="S740">
        <v>0</v>
      </c>
      <c r="T740">
        <v>0</v>
      </c>
      <c r="U740" t="s">
        <v>2290</v>
      </c>
      <c r="V740" t="s">
        <v>2291</v>
      </c>
      <c r="W740" t="s">
        <v>2292</v>
      </c>
      <c r="X740" t="s">
        <v>2288</v>
      </c>
      <c r="Y740" t="s">
        <v>2293</v>
      </c>
      <c r="Z740" t="s">
        <v>2312</v>
      </c>
      <c r="AA740">
        <v>21</v>
      </c>
      <c r="AB740" s="14">
        <v>95</v>
      </c>
      <c r="AC740" t="s">
        <v>2313</v>
      </c>
      <c r="AD740" t="s">
        <v>2314</v>
      </c>
      <c r="AE740" t="s">
        <v>2643</v>
      </c>
      <c r="AF740">
        <v>47</v>
      </c>
      <c r="AG740">
        <v>0</v>
      </c>
      <c r="AH740">
        <v>21</v>
      </c>
      <c r="AI740">
        <v>1</v>
      </c>
      <c r="AJ740">
        <v>1</v>
      </c>
      <c r="AK740">
        <v>0</v>
      </c>
      <c r="AL740">
        <v>1</v>
      </c>
      <c r="AM740" s="14">
        <v>0</v>
      </c>
      <c r="AN740" t="s">
        <v>2644</v>
      </c>
      <c r="AO740" s="12">
        <v>46143</v>
      </c>
      <c r="AP740">
        <v>2026</v>
      </c>
      <c r="AQ740">
        <v>5</v>
      </c>
      <c r="AR740" t="s">
        <v>2652</v>
      </c>
    </row>
    <row r="741" spans="1:44">
      <c r="A741" t="s">
        <v>1993</v>
      </c>
      <c r="B741" s="12">
        <v>46144</v>
      </c>
      <c r="C741" s="12">
        <v>46130</v>
      </c>
      <c r="D741" t="s">
        <v>586</v>
      </c>
      <c r="E741" t="s">
        <v>268</v>
      </c>
      <c r="F741" t="s">
        <v>269</v>
      </c>
      <c r="G741" t="s">
        <v>435</v>
      </c>
      <c r="H741" t="s">
        <v>122</v>
      </c>
      <c r="I741" t="s">
        <v>258</v>
      </c>
      <c r="J741" s="13">
        <v>0.33333333333333331</v>
      </c>
      <c r="K741" s="13"/>
      <c r="L741" s="13"/>
      <c r="M741">
        <v>0</v>
      </c>
      <c r="N741" s="14">
        <v>80</v>
      </c>
      <c r="O741" t="s">
        <v>195</v>
      </c>
      <c r="Q741" t="s">
        <v>305</v>
      </c>
      <c r="R741" t="s">
        <v>1821</v>
      </c>
      <c r="S741">
        <v>0</v>
      </c>
      <c r="T741">
        <v>0</v>
      </c>
      <c r="U741" t="s">
        <v>2285</v>
      </c>
      <c r="V741" t="s">
        <v>2286</v>
      </c>
      <c r="W741" t="s">
        <v>2287</v>
      </c>
      <c r="X741" t="s">
        <v>2288</v>
      </c>
      <c r="Y741" t="s">
        <v>2289</v>
      </c>
      <c r="Z741" t="s">
        <v>2315</v>
      </c>
      <c r="AA741">
        <v>10</v>
      </c>
      <c r="AB741" s="14">
        <v>80</v>
      </c>
      <c r="AC741" t="s">
        <v>2316</v>
      </c>
      <c r="AD741" t="s">
        <v>2317</v>
      </c>
      <c r="AE741" t="s">
        <v>2643</v>
      </c>
      <c r="AF741">
        <v>14</v>
      </c>
      <c r="AG741">
        <v>0</v>
      </c>
      <c r="AJ741">
        <v>1</v>
      </c>
      <c r="AK741">
        <v>1</v>
      </c>
      <c r="AL741">
        <v>1</v>
      </c>
      <c r="AM741" s="14">
        <v>0</v>
      </c>
      <c r="AN741" t="s">
        <v>2644</v>
      </c>
      <c r="AO741" s="12">
        <v>46143</v>
      </c>
      <c r="AP741">
        <v>2026</v>
      </c>
      <c r="AQ741">
        <v>5</v>
      </c>
      <c r="AR741" t="s">
        <v>2652</v>
      </c>
    </row>
    <row r="742" spans="1:44">
      <c r="A742" t="s">
        <v>1994</v>
      </c>
      <c r="B742" s="12">
        <v>46154</v>
      </c>
      <c r="C742" s="12">
        <v>46139</v>
      </c>
      <c r="D742" t="s">
        <v>1022</v>
      </c>
      <c r="E742" t="s">
        <v>339</v>
      </c>
      <c r="F742" t="s">
        <v>282</v>
      </c>
      <c r="G742" t="s">
        <v>564</v>
      </c>
      <c r="H742" t="s">
        <v>115</v>
      </c>
      <c r="I742" t="s">
        <v>258</v>
      </c>
      <c r="J742" s="13">
        <v>0.41666666666666669</v>
      </c>
      <c r="K742" s="13">
        <v>0.41597222222222224</v>
      </c>
      <c r="L742" s="13">
        <v>0.42152777777777778</v>
      </c>
      <c r="M742">
        <v>20</v>
      </c>
      <c r="N742" s="14">
        <v>120</v>
      </c>
      <c r="O742" t="s">
        <v>195</v>
      </c>
      <c r="P742">
        <v>3</v>
      </c>
      <c r="Q742" t="s">
        <v>305</v>
      </c>
      <c r="R742" t="s">
        <v>1821</v>
      </c>
      <c r="S742">
        <v>0</v>
      </c>
      <c r="T742">
        <v>0</v>
      </c>
      <c r="U742" t="s">
        <v>2294</v>
      </c>
      <c r="V742" t="s">
        <v>2295</v>
      </c>
      <c r="W742" t="s">
        <v>2296</v>
      </c>
      <c r="X742" t="s">
        <v>2297</v>
      </c>
      <c r="Y742" t="s">
        <v>2298</v>
      </c>
      <c r="Z742" t="s">
        <v>2309</v>
      </c>
      <c r="AA742">
        <v>14</v>
      </c>
      <c r="AB742" s="14">
        <v>120</v>
      </c>
      <c r="AC742" t="s">
        <v>2310</v>
      </c>
      <c r="AD742" t="s">
        <v>2311</v>
      </c>
      <c r="AE742" t="s">
        <v>2643</v>
      </c>
      <c r="AF742">
        <v>15</v>
      </c>
      <c r="AG742">
        <v>0</v>
      </c>
      <c r="AH742">
        <v>8</v>
      </c>
      <c r="AI742">
        <v>1</v>
      </c>
      <c r="AJ742">
        <v>1</v>
      </c>
      <c r="AK742">
        <v>0</v>
      </c>
      <c r="AL742">
        <v>1</v>
      </c>
      <c r="AM742" s="14">
        <v>0</v>
      </c>
      <c r="AN742" t="s">
        <v>2644</v>
      </c>
      <c r="AO742" s="12">
        <v>46143</v>
      </c>
      <c r="AP742">
        <v>2026</v>
      </c>
      <c r="AQ742">
        <v>5</v>
      </c>
      <c r="AR742" t="s">
        <v>2652</v>
      </c>
    </row>
    <row r="743" spans="1:44">
      <c r="A743" t="s">
        <v>1995</v>
      </c>
      <c r="B743" s="12">
        <v>46170</v>
      </c>
      <c r="C743" s="12">
        <v>46128</v>
      </c>
      <c r="D743" t="s">
        <v>1018</v>
      </c>
      <c r="E743" t="s">
        <v>281</v>
      </c>
      <c r="F743" t="s">
        <v>256</v>
      </c>
      <c r="G743" t="s">
        <v>796</v>
      </c>
      <c r="H743" t="s">
        <v>115</v>
      </c>
      <c r="I743" t="s">
        <v>299</v>
      </c>
      <c r="J743" s="13">
        <v>0.33333333333333331</v>
      </c>
      <c r="K743" s="13">
        <v>0.34583333333333333</v>
      </c>
      <c r="L743" s="13">
        <v>0.34375</v>
      </c>
      <c r="M743">
        <v>20</v>
      </c>
      <c r="N743" s="14">
        <v>95</v>
      </c>
      <c r="O743" t="s">
        <v>195</v>
      </c>
      <c r="P743">
        <v>4</v>
      </c>
      <c r="Q743" t="s">
        <v>326</v>
      </c>
      <c r="R743" t="s">
        <v>1821</v>
      </c>
      <c r="S743">
        <v>0</v>
      </c>
      <c r="T743">
        <v>0</v>
      </c>
      <c r="U743" t="s">
        <v>2290</v>
      </c>
      <c r="V743" t="s">
        <v>2291</v>
      </c>
      <c r="W743" t="s">
        <v>2292</v>
      </c>
      <c r="X743" t="s">
        <v>2288</v>
      </c>
      <c r="Y743" t="s">
        <v>2293</v>
      </c>
      <c r="Z743" t="s">
        <v>2312</v>
      </c>
      <c r="AA743">
        <v>21</v>
      </c>
      <c r="AB743" s="14">
        <v>95</v>
      </c>
      <c r="AC743" t="s">
        <v>2313</v>
      </c>
      <c r="AD743" t="s">
        <v>2314</v>
      </c>
      <c r="AE743" t="s">
        <v>2643</v>
      </c>
      <c r="AF743">
        <v>42</v>
      </c>
      <c r="AG743">
        <v>0</v>
      </c>
      <c r="AJ743">
        <v>1</v>
      </c>
      <c r="AK743">
        <v>0</v>
      </c>
      <c r="AL743">
        <v>1</v>
      </c>
      <c r="AM743" s="14">
        <v>0</v>
      </c>
      <c r="AN743" t="s">
        <v>2644</v>
      </c>
      <c r="AO743" s="12">
        <v>46143</v>
      </c>
      <c r="AP743">
        <v>2026</v>
      </c>
      <c r="AQ743">
        <v>5</v>
      </c>
      <c r="AR743" t="s">
        <v>2652</v>
      </c>
    </row>
    <row r="744" spans="1:44">
      <c r="A744" t="s">
        <v>1997</v>
      </c>
      <c r="B744" s="12">
        <v>46152</v>
      </c>
      <c r="C744" s="12">
        <v>46129</v>
      </c>
      <c r="D744" t="s">
        <v>837</v>
      </c>
      <c r="E744" t="s">
        <v>255</v>
      </c>
      <c r="F744" t="s">
        <v>269</v>
      </c>
      <c r="G744" t="s">
        <v>542</v>
      </c>
      <c r="H744" t="s">
        <v>115</v>
      </c>
      <c r="I744" t="s">
        <v>316</v>
      </c>
      <c r="J744" s="13">
        <v>0.52083333333333337</v>
      </c>
      <c r="K744" s="13">
        <v>0.51736111111111116</v>
      </c>
      <c r="L744" s="13">
        <v>0.52222222222222225</v>
      </c>
      <c r="M744">
        <v>45</v>
      </c>
      <c r="O744" t="s">
        <v>195</v>
      </c>
      <c r="P744">
        <v>4</v>
      </c>
      <c r="Q744" t="s">
        <v>305</v>
      </c>
      <c r="R744" t="s">
        <v>1821</v>
      </c>
      <c r="S744">
        <v>0</v>
      </c>
      <c r="T744">
        <v>0</v>
      </c>
      <c r="U744" t="s">
        <v>2299</v>
      </c>
      <c r="V744" t="s">
        <v>2295</v>
      </c>
      <c r="W744" t="s">
        <v>2300</v>
      </c>
      <c r="X744" t="s">
        <v>2288</v>
      </c>
      <c r="Y744" t="s">
        <v>2301</v>
      </c>
      <c r="Z744" t="s">
        <v>2315</v>
      </c>
      <c r="AA744">
        <v>10</v>
      </c>
      <c r="AB744" s="14">
        <v>80</v>
      </c>
      <c r="AC744" t="s">
        <v>2316</v>
      </c>
      <c r="AD744" t="s">
        <v>2317</v>
      </c>
      <c r="AE744" t="s">
        <v>2643</v>
      </c>
      <c r="AF744">
        <v>23</v>
      </c>
      <c r="AG744">
        <v>0</v>
      </c>
      <c r="AH744">
        <v>7</v>
      </c>
      <c r="AI744">
        <v>1</v>
      </c>
      <c r="AJ744">
        <v>1</v>
      </c>
      <c r="AK744">
        <v>0</v>
      </c>
      <c r="AL744">
        <v>0</v>
      </c>
      <c r="AN744" t="s">
        <v>2648</v>
      </c>
      <c r="AO744" s="12">
        <v>46143</v>
      </c>
      <c r="AP744">
        <v>2026</v>
      </c>
      <c r="AQ744">
        <v>5</v>
      </c>
      <c r="AR744" t="s">
        <v>2652</v>
      </c>
    </row>
    <row r="745" spans="1:44">
      <c r="A745" t="s">
        <v>1998</v>
      </c>
      <c r="B745" s="12">
        <v>46162</v>
      </c>
      <c r="C745" s="12">
        <v>46114</v>
      </c>
      <c r="D745" t="s">
        <v>1505</v>
      </c>
      <c r="E745" t="s">
        <v>268</v>
      </c>
      <c r="F745" t="s">
        <v>269</v>
      </c>
      <c r="G745" t="s">
        <v>435</v>
      </c>
      <c r="H745" t="s">
        <v>115</v>
      </c>
      <c r="I745" t="s">
        <v>258</v>
      </c>
      <c r="J745" s="13">
        <v>0.52083333333333337</v>
      </c>
      <c r="K745" s="13">
        <v>0.52430555555555558</v>
      </c>
      <c r="L745" s="13">
        <v>0.52222222222222225</v>
      </c>
      <c r="M745">
        <v>45</v>
      </c>
      <c r="N745" s="14">
        <v>80</v>
      </c>
      <c r="O745" t="s">
        <v>195</v>
      </c>
      <c r="P745">
        <v>3</v>
      </c>
      <c r="Q745" t="s">
        <v>262</v>
      </c>
      <c r="R745" t="s">
        <v>1821</v>
      </c>
      <c r="S745">
        <v>0</v>
      </c>
      <c r="T745">
        <v>0</v>
      </c>
      <c r="U745" t="s">
        <v>2285</v>
      </c>
      <c r="V745" t="s">
        <v>2286</v>
      </c>
      <c r="W745" t="s">
        <v>2287</v>
      </c>
      <c r="X745" t="s">
        <v>2288</v>
      </c>
      <c r="Y745" t="s">
        <v>2289</v>
      </c>
      <c r="Z745" t="s">
        <v>2315</v>
      </c>
      <c r="AA745">
        <v>10</v>
      </c>
      <c r="AB745" s="14">
        <v>80</v>
      </c>
      <c r="AC745" t="s">
        <v>2316</v>
      </c>
      <c r="AD745" t="s">
        <v>2317</v>
      </c>
      <c r="AE745" t="s">
        <v>2643</v>
      </c>
      <c r="AF745">
        <v>48</v>
      </c>
      <c r="AG745">
        <v>0</v>
      </c>
      <c r="AJ745">
        <v>1</v>
      </c>
      <c r="AK745">
        <v>0</v>
      </c>
      <c r="AL745">
        <v>1</v>
      </c>
      <c r="AM745" s="14">
        <v>0</v>
      </c>
      <c r="AN745" t="s">
        <v>2644</v>
      </c>
      <c r="AO745" s="12">
        <v>46143</v>
      </c>
      <c r="AP745">
        <v>2026</v>
      </c>
      <c r="AQ745">
        <v>5</v>
      </c>
      <c r="AR745" t="s">
        <v>2652</v>
      </c>
    </row>
    <row r="746" spans="1:44">
      <c r="A746" t="s">
        <v>2000</v>
      </c>
      <c r="B746" s="12">
        <v>46170</v>
      </c>
      <c r="C746" s="12">
        <v>46133</v>
      </c>
      <c r="E746" t="s">
        <v>281</v>
      </c>
      <c r="F746" t="s">
        <v>269</v>
      </c>
      <c r="G746" t="s">
        <v>363</v>
      </c>
      <c r="H746" t="s">
        <v>115</v>
      </c>
      <c r="I746" t="s">
        <v>299</v>
      </c>
      <c r="J746" s="13">
        <v>0.66666666666666663</v>
      </c>
      <c r="K746" s="13">
        <v>0.66736111111111107</v>
      </c>
      <c r="L746" s="13">
        <v>0.67777777777777781</v>
      </c>
      <c r="M746">
        <v>45</v>
      </c>
      <c r="N746" s="14">
        <v>80</v>
      </c>
      <c r="O746" t="s">
        <v>169</v>
      </c>
      <c r="P746">
        <v>2</v>
      </c>
      <c r="Q746" t="s">
        <v>305</v>
      </c>
      <c r="R746" t="s">
        <v>1821</v>
      </c>
      <c r="S746">
        <v>1</v>
      </c>
      <c r="T746">
        <v>0</v>
      </c>
      <c r="U746" t="s">
        <v>2290</v>
      </c>
      <c r="V746" t="s">
        <v>2291</v>
      </c>
      <c r="W746" t="s">
        <v>2292</v>
      </c>
      <c r="X746" t="s">
        <v>2288</v>
      </c>
      <c r="Y746" t="s">
        <v>2293</v>
      </c>
      <c r="Z746" t="s">
        <v>2315</v>
      </c>
      <c r="AA746">
        <v>10</v>
      </c>
      <c r="AB746" s="14">
        <v>80</v>
      </c>
      <c r="AC746" t="s">
        <v>2316</v>
      </c>
      <c r="AD746" t="s">
        <v>2317</v>
      </c>
      <c r="AE746" t="s">
        <v>2643</v>
      </c>
      <c r="AF746">
        <v>37</v>
      </c>
      <c r="AG746">
        <v>0</v>
      </c>
      <c r="AH746">
        <v>15</v>
      </c>
      <c r="AI746">
        <v>1</v>
      </c>
      <c r="AJ746">
        <v>1</v>
      </c>
      <c r="AK746">
        <v>0</v>
      </c>
      <c r="AL746">
        <v>1</v>
      </c>
      <c r="AM746" s="14">
        <v>0</v>
      </c>
      <c r="AN746" t="s">
        <v>2644</v>
      </c>
      <c r="AO746" s="12">
        <v>46143</v>
      </c>
      <c r="AP746">
        <v>2026</v>
      </c>
      <c r="AQ746">
        <v>5</v>
      </c>
      <c r="AR746" t="s">
        <v>2652</v>
      </c>
    </row>
    <row r="747" spans="1:44">
      <c r="A747" t="s">
        <v>2001</v>
      </c>
      <c r="B747" s="12">
        <v>46173</v>
      </c>
      <c r="C747" s="12">
        <v>46164</v>
      </c>
      <c r="D747" t="s">
        <v>1418</v>
      </c>
      <c r="E747" t="s">
        <v>255</v>
      </c>
      <c r="F747" t="s">
        <v>256</v>
      </c>
      <c r="G747" t="s">
        <v>257</v>
      </c>
      <c r="H747" t="s">
        <v>127</v>
      </c>
      <c r="I747" t="s">
        <v>258</v>
      </c>
      <c r="J747" s="13">
        <v>0.52083333333333337</v>
      </c>
      <c r="K747" s="13"/>
      <c r="L747" s="13"/>
      <c r="M747">
        <v>0</v>
      </c>
      <c r="N747" s="14">
        <v>95</v>
      </c>
      <c r="O747" t="s">
        <v>169</v>
      </c>
      <c r="Q747" t="s">
        <v>318</v>
      </c>
      <c r="R747" t="s">
        <v>1821</v>
      </c>
      <c r="S747">
        <v>0</v>
      </c>
      <c r="T747">
        <v>0</v>
      </c>
      <c r="U747" t="s">
        <v>2299</v>
      </c>
      <c r="V747" t="s">
        <v>2295</v>
      </c>
      <c r="W747" t="s">
        <v>2300</v>
      </c>
      <c r="X747" t="s">
        <v>2288</v>
      </c>
      <c r="Y747" t="s">
        <v>2301</v>
      </c>
      <c r="Z747" t="s">
        <v>2312</v>
      </c>
      <c r="AA747">
        <v>21</v>
      </c>
      <c r="AB747" s="14">
        <v>95</v>
      </c>
      <c r="AC747" t="s">
        <v>2313</v>
      </c>
      <c r="AD747" t="s">
        <v>2314</v>
      </c>
      <c r="AE747" t="s">
        <v>2643</v>
      </c>
      <c r="AF747">
        <v>9</v>
      </c>
      <c r="AG747">
        <v>1</v>
      </c>
      <c r="AJ747">
        <v>0</v>
      </c>
      <c r="AL747">
        <v>1</v>
      </c>
      <c r="AM747" s="14">
        <v>0</v>
      </c>
      <c r="AN747" t="s">
        <v>2644</v>
      </c>
      <c r="AO747" s="12">
        <v>46143</v>
      </c>
      <c r="AP747">
        <v>2026</v>
      </c>
      <c r="AQ747">
        <v>5</v>
      </c>
      <c r="AR747" t="s">
        <v>2652</v>
      </c>
    </row>
    <row r="748" spans="1:44">
      <c r="A748" t="s">
        <v>2002</v>
      </c>
      <c r="B748" s="12">
        <v>46145</v>
      </c>
      <c r="C748" s="12">
        <v>46113</v>
      </c>
      <c r="D748" t="s">
        <v>1447</v>
      </c>
      <c r="E748" t="s">
        <v>268</v>
      </c>
      <c r="F748" t="s">
        <v>297</v>
      </c>
      <c r="G748" t="s">
        <v>628</v>
      </c>
      <c r="H748" t="s">
        <v>115</v>
      </c>
      <c r="I748" t="s">
        <v>299</v>
      </c>
      <c r="J748" s="13">
        <v>0.39583333333333331</v>
      </c>
      <c r="K748" s="13">
        <v>0.39444444444444443</v>
      </c>
      <c r="L748" s="13">
        <v>0.40972222222222221</v>
      </c>
      <c r="M748">
        <v>30</v>
      </c>
      <c r="N748" s="14">
        <v>65</v>
      </c>
      <c r="O748" t="s">
        <v>195</v>
      </c>
      <c r="P748">
        <v>3</v>
      </c>
      <c r="Q748" t="s">
        <v>318</v>
      </c>
      <c r="R748" t="s">
        <v>1821</v>
      </c>
      <c r="S748">
        <v>0</v>
      </c>
      <c r="T748">
        <v>0</v>
      </c>
      <c r="U748" t="s">
        <v>2285</v>
      </c>
      <c r="V748" t="s">
        <v>2286</v>
      </c>
      <c r="W748" t="s">
        <v>2287</v>
      </c>
      <c r="X748" t="s">
        <v>2288</v>
      </c>
      <c r="Y748" t="s">
        <v>2289</v>
      </c>
      <c r="Z748" t="s">
        <v>2306</v>
      </c>
      <c r="AA748">
        <v>7</v>
      </c>
      <c r="AB748" s="14">
        <v>65</v>
      </c>
      <c r="AC748" t="s">
        <v>2307</v>
      </c>
      <c r="AD748" t="s">
        <v>2308</v>
      </c>
      <c r="AE748" t="s">
        <v>2643</v>
      </c>
      <c r="AF748">
        <v>32</v>
      </c>
      <c r="AG748">
        <v>0</v>
      </c>
      <c r="AH748">
        <v>22</v>
      </c>
      <c r="AI748">
        <v>1</v>
      </c>
      <c r="AJ748">
        <v>1</v>
      </c>
      <c r="AK748">
        <v>0</v>
      </c>
      <c r="AL748">
        <v>1</v>
      </c>
      <c r="AM748" s="14">
        <v>0</v>
      </c>
      <c r="AN748" t="s">
        <v>2644</v>
      </c>
      <c r="AO748" s="12">
        <v>46143</v>
      </c>
      <c r="AP748">
        <v>2026</v>
      </c>
      <c r="AQ748">
        <v>5</v>
      </c>
      <c r="AR748" t="s">
        <v>2652</v>
      </c>
    </row>
    <row r="749" spans="1:44">
      <c r="A749" t="s">
        <v>2003</v>
      </c>
      <c r="B749" s="12">
        <v>46164</v>
      </c>
      <c r="C749" s="12">
        <v>46150</v>
      </c>
      <c r="D749" t="s">
        <v>1239</v>
      </c>
      <c r="E749" t="s">
        <v>268</v>
      </c>
      <c r="F749" t="s">
        <v>297</v>
      </c>
      <c r="G749" t="s">
        <v>583</v>
      </c>
      <c r="H749" t="s">
        <v>115</v>
      </c>
      <c r="I749" t="s">
        <v>271</v>
      </c>
      <c r="J749" s="13">
        <v>0.5625</v>
      </c>
      <c r="K749" s="13">
        <v>0.56388888888888888</v>
      </c>
      <c r="L749" s="13">
        <v>0.56597222222222221</v>
      </c>
      <c r="M749">
        <v>60</v>
      </c>
      <c r="N749" s="14">
        <v>65</v>
      </c>
      <c r="O749" t="s">
        <v>195</v>
      </c>
      <c r="P749">
        <v>2</v>
      </c>
      <c r="Q749" t="s">
        <v>318</v>
      </c>
      <c r="R749" t="s">
        <v>1821</v>
      </c>
      <c r="S749">
        <v>0</v>
      </c>
      <c r="T749">
        <v>0</v>
      </c>
      <c r="U749" t="s">
        <v>2285</v>
      </c>
      <c r="V749" t="s">
        <v>2286</v>
      </c>
      <c r="W749" t="s">
        <v>2287</v>
      </c>
      <c r="X749" t="s">
        <v>2288</v>
      </c>
      <c r="Y749" t="s">
        <v>2289</v>
      </c>
      <c r="Z749" t="s">
        <v>2306</v>
      </c>
      <c r="AA749">
        <v>7</v>
      </c>
      <c r="AB749" s="14">
        <v>65</v>
      </c>
      <c r="AC749" t="s">
        <v>2307</v>
      </c>
      <c r="AD749" t="s">
        <v>2308</v>
      </c>
      <c r="AE749" t="s">
        <v>2643</v>
      </c>
      <c r="AF749">
        <v>14</v>
      </c>
      <c r="AG749">
        <v>0</v>
      </c>
      <c r="AH749">
        <v>3</v>
      </c>
      <c r="AI749">
        <v>1</v>
      </c>
      <c r="AJ749">
        <v>1</v>
      </c>
      <c r="AK749">
        <v>0</v>
      </c>
      <c r="AL749">
        <v>1</v>
      </c>
      <c r="AM749" s="14">
        <v>0</v>
      </c>
      <c r="AN749" t="s">
        <v>2644</v>
      </c>
      <c r="AO749" s="12">
        <v>46143</v>
      </c>
      <c r="AP749">
        <v>2026</v>
      </c>
      <c r="AQ749">
        <v>5</v>
      </c>
      <c r="AR749" t="s">
        <v>2652</v>
      </c>
    </row>
    <row r="750" spans="1:44">
      <c r="A750" t="s">
        <v>2004</v>
      </c>
      <c r="B750" s="12">
        <v>46158</v>
      </c>
      <c r="C750" s="12"/>
      <c r="D750" t="s">
        <v>2005</v>
      </c>
      <c r="E750" t="s">
        <v>255</v>
      </c>
      <c r="F750" t="s">
        <v>269</v>
      </c>
      <c r="G750" t="s">
        <v>542</v>
      </c>
      <c r="H750" t="s">
        <v>122</v>
      </c>
      <c r="I750" t="s">
        <v>299</v>
      </c>
      <c r="J750" s="13">
        <v>0.60416666666666663</v>
      </c>
      <c r="K750" s="13"/>
      <c r="L750" s="13"/>
      <c r="M750">
        <v>0</v>
      </c>
      <c r="N750" s="14">
        <v>80</v>
      </c>
      <c r="O750" t="s">
        <v>195</v>
      </c>
      <c r="Q750" t="s">
        <v>285</v>
      </c>
      <c r="R750" t="s">
        <v>1821</v>
      </c>
      <c r="S750">
        <v>0</v>
      </c>
      <c r="T750">
        <v>0</v>
      </c>
      <c r="U750" t="s">
        <v>2299</v>
      </c>
      <c r="V750" t="s">
        <v>2295</v>
      </c>
      <c r="W750" t="s">
        <v>2300</v>
      </c>
      <c r="X750" t="s">
        <v>2288</v>
      </c>
      <c r="Y750" t="s">
        <v>2301</v>
      </c>
      <c r="Z750" t="s">
        <v>2315</v>
      </c>
      <c r="AA750">
        <v>10</v>
      </c>
      <c r="AB750" s="14">
        <v>80</v>
      </c>
      <c r="AC750" t="s">
        <v>2316</v>
      </c>
      <c r="AD750" t="s">
        <v>2317</v>
      </c>
      <c r="AE750" t="s">
        <v>2643</v>
      </c>
      <c r="AJ750">
        <v>1</v>
      </c>
      <c r="AK750">
        <v>1</v>
      </c>
      <c r="AL750">
        <v>1</v>
      </c>
      <c r="AM750" s="14">
        <v>0</v>
      </c>
      <c r="AN750" t="s">
        <v>2644</v>
      </c>
      <c r="AO750" s="12">
        <v>46143</v>
      </c>
      <c r="AP750">
        <v>2026</v>
      </c>
      <c r="AQ750">
        <v>5</v>
      </c>
      <c r="AR750" t="s">
        <v>2652</v>
      </c>
    </row>
    <row r="751" spans="1:44">
      <c r="A751" t="s">
        <v>2006</v>
      </c>
      <c r="B751" s="12">
        <v>46168</v>
      </c>
      <c r="C751" s="12">
        <v>46151</v>
      </c>
      <c r="D751" t="s">
        <v>934</v>
      </c>
      <c r="E751" t="s">
        <v>255</v>
      </c>
      <c r="F751" t="s">
        <v>282</v>
      </c>
      <c r="G751" t="s">
        <v>290</v>
      </c>
      <c r="H751" t="s">
        <v>127</v>
      </c>
      <c r="I751" t="s">
        <v>299</v>
      </c>
      <c r="J751" s="13">
        <v>0.4375</v>
      </c>
      <c r="K751" s="13"/>
      <c r="L751" s="13"/>
      <c r="M751">
        <v>0</v>
      </c>
      <c r="N751" s="14">
        <v>120</v>
      </c>
      <c r="O751" t="s">
        <v>195</v>
      </c>
      <c r="Q751" t="s">
        <v>285</v>
      </c>
      <c r="R751" t="s">
        <v>1821</v>
      </c>
      <c r="S751">
        <v>0</v>
      </c>
      <c r="T751">
        <v>0</v>
      </c>
      <c r="U751" t="s">
        <v>2299</v>
      </c>
      <c r="V751" t="s">
        <v>2295</v>
      </c>
      <c r="W751" t="s">
        <v>2300</v>
      </c>
      <c r="X751" t="s">
        <v>2288</v>
      </c>
      <c r="Y751" t="s">
        <v>2301</v>
      </c>
      <c r="Z751" t="s">
        <v>2309</v>
      </c>
      <c r="AA751">
        <v>14</v>
      </c>
      <c r="AB751" s="14">
        <v>120</v>
      </c>
      <c r="AC751" t="s">
        <v>2310</v>
      </c>
      <c r="AD751" t="s">
        <v>2311</v>
      </c>
      <c r="AE751" t="s">
        <v>2643</v>
      </c>
      <c r="AF751">
        <v>17</v>
      </c>
      <c r="AG751">
        <v>0</v>
      </c>
      <c r="AJ751">
        <v>0</v>
      </c>
      <c r="AL751">
        <v>1</v>
      </c>
      <c r="AM751" s="14">
        <v>0</v>
      </c>
      <c r="AN751" t="s">
        <v>2644</v>
      </c>
      <c r="AO751" s="12">
        <v>46143</v>
      </c>
      <c r="AP751">
        <v>2026</v>
      </c>
      <c r="AQ751">
        <v>5</v>
      </c>
      <c r="AR751" t="s">
        <v>2652</v>
      </c>
    </row>
    <row r="752" spans="1:44">
      <c r="A752" t="s">
        <v>2007</v>
      </c>
      <c r="B752" s="12">
        <v>46143</v>
      </c>
      <c r="C752" s="12">
        <v>46133</v>
      </c>
      <c r="D752" t="s">
        <v>820</v>
      </c>
      <c r="E752" t="s">
        <v>281</v>
      </c>
      <c r="F752" t="s">
        <v>297</v>
      </c>
      <c r="G752" t="s">
        <v>298</v>
      </c>
      <c r="H752" t="s">
        <v>115</v>
      </c>
      <c r="I752" t="s">
        <v>258</v>
      </c>
      <c r="J752" s="13">
        <v>0.47916666666666669</v>
      </c>
      <c r="K752" s="13">
        <v>0.47638888888888886</v>
      </c>
      <c r="L752" s="13">
        <v>0.50486111111111109</v>
      </c>
      <c r="M752">
        <v>20</v>
      </c>
      <c r="N752" s="14">
        <v>65</v>
      </c>
      <c r="O752" t="s">
        <v>195</v>
      </c>
      <c r="P752">
        <v>4</v>
      </c>
      <c r="Q752" t="s">
        <v>285</v>
      </c>
      <c r="R752" t="s">
        <v>1821</v>
      </c>
      <c r="S752">
        <v>0</v>
      </c>
      <c r="T752">
        <v>0</v>
      </c>
      <c r="U752" t="s">
        <v>2290</v>
      </c>
      <c r="V752" t="s">
        <v>2291</v>
      </c>
      <c r="W752" t="s">
        <v>2292</v>
      </c>
      <c r="X752" t="s">
        <v>2288</v>
      </c>
      <c r="Y752" t="s">
        <v>2293</v>
      </c>
      <c r="Z752" t="s">
        <v>2306</v>
      </c>
      <c r="AA752">
        <v>7</v>
      </c>
      <c r="AB752" s="14">
        <v>65</v>
      </c>
      <c r="AC752" t="s">
        <v>2307</v>
      </c>
      <c r="AD752" t="s">
        <v>2308</v>
      </c>
      <c r="AE752" t="s">
        <v>2643</v>
      </c>
      <c r="AF752">
        <v>10</v>
      </c>
      <c r="AG752">
        <v>0</v>
      </c>
      <c r="AH752">
        <v>41</v>
      </c>
      <c r="AI752">
        <v>0</v>
      </c>
      <c r="AJ752">
        <v>1</v>
      </c>
      <c r="AK752">
        <v>0</v>
      </c>
      <c r="AL752">
        <v>1</v>
      </c>
      <c r="AM752" s="14">
        <v>0</v>
      </c>
      <c r="AN752" t="s">
        <v>2644</v>
      </c>
      <c r="AO752" s="12">
        <v>46143</v>
      </c>
      <c r="AP752">
        <v>2026</v>
      </c>
      <c r="AQ752">
        <v>5</v>
      </c>
      <c r="AR752" t="s">
        <v>2652</v>
      </c>
    </row>
    <row r="753" spans="1:44">
      <c r="A753" t="s">
        <v>2009</v>
      </c>
      <c r="B753" s="12">
        <v>46172</v>
      </c>
      <c r="C753" s="12">
        <v>46141</v>
      </c>
      <c r="D753" t="s">
        <v>445</v>
      </c>
      <c r="E753" t="s">
        <v>255</v>
      </c>
      <c r="F753" t="s">
        <v>269</v>
      </c>
      <c r="G753" t="s">
        <v>542</v>
      </c>
      <c r="H753" t="s">
        <v>115</v>
      </c>
      <c r="I753" t="s">
        <v>316</v>
      </c>
      <c r="J753" s="13">
        <v>0.39583333333333331</v>
      </c>
      <c r="K753" s="13">
        <v>0.39791666666666664</v>
      </c>
      <c r="L753" s="13">
        <v>0.41111111111111109</v>
      </c>
      <c r="M753">
        <v>60</v>
      </c>
      <c r="N753" s="14">
        <v>80</v>
      </c>
      <c r="O753" t="s">
        <v>195</v>
      </c>
      <c r="P753">
        <v>4</v>
      </c>
      <c r="Q753" t="s">
        <v>262</v>
      </c>
      <c r="R753" t="s">
        <v>1821</v>
      </c>
      <c r="S753">
        <v>0</v>
      </c>
      <c r="T753">
        <v>0</v>
      </c>
      <c r="U753" t="s">
        <v>2299</v>
      </c>
      <c r="V753" t="s">
        <v>2295</v>
      </c>
      <c r="W753" t="s">
        <v>2300</v>
      </c>
      <c r="X753" t="s">
        <v>2288</v>
      </c>
      <c r="Y753" t="s">
        <v>2301</v>
      </c>
      <c r="Z753" t="s">
        <v>2315</v>
      </c>
      <c r="AA753">
        <v>10</v>
      </c>
      <c r="AB753" s="14">
        <v>80</v>
      </c>
      <c r="AC753" t="s">
        <v>2316</v>
      </c>
      <c r="AD753" t="s">
        <v>2317</v>
      </c>
      <c r="AE753" t="s">
        <v>2643</v>
      </c>
      <c r="AF753">
        <v>31</v>
      </c>
      <c r="AG753">
        <v>0</v>
      </c>
      <c r="AH753">
        <v>19</v>
      </c>
      <c r="AI753">
        <v>1</v>
      </c>
      <c r="AJ753">
        <v>1</v>
      </c>
      <c r="AK753">
        <v>0</v>
      </c>
      <c r="AL753">
        <v>1</v>
      </c>
      <c r="AM753" s="14">
        <v>0</v>
      </c>
      <c r="AN753" t="s">
        <v>2644</v>
      </c>
      <c r="AO753" s="12">
        <v>46143</v>
      </c>
      <c r="AP753">
        <v>2026</v>
      </c>
      <c r="AQ753">
        <v>5</v>
      </c>
      <c r="AR753" t="s">
        <v>2652</v>
      </c>
    </row>
    <row r="754" spans="1:44">
      <c r="A754" t="s">
        <v>2010</v>
      </c>
      <c r="B754" s="12">
        <v>46161</v>
      </c>
      <c r="C754" s="12">
        <v>46108</v>
      </c>
      <c r="D754" t="s">
        <v>518</v>
      </c>
      <c r="E754" t="s">
        <v>339</v>
      </c>
      <c r="F754" t="s">
        <v>409</v>
      </c>
      <c r="G754" t="s">
        <v>501</v>
      </c>
      <c r="H754" t="s">
        <v>115</v>
      </c>
      <c r="I754" t="s">
        <v>258</v>
      </c>
      <c r="J754" s="13">
        <v>0.54166666666666663</v>
      </c>
      <c r="K754" s="13">
        <v>0.55138888888888893</v>
      </c>
      <c r="L754" s="13">
        <v>0.55277777777777781</v>
      </c>
      <c r="M754">
        <v>30</v>
      </c>
      <c r="N754" s="14">
        <v>150</v>
      </c>
      <c r="O754" t="s">
        <v>195</v>
      </c>
      <c r="P754">
        <v>5</v>
      </c>
      <c r="Q754" t="s">
        <v>326</v>
      </c>
      <c r="R754" t="s">
        <v>1821</v>
      </c>
      <c r="S754">
        <v>0</v>
      </c>
      <c r="T754">
        <v>0</v>
      </c>
      <c r="U754" t="s">
        <v>2294</v>
      </c>
      <c r="V754" t="s">
        <v>2295</v>
      </c>
      <c r="W754" t="s">
        <v>2296</v>
      </c>
      <c r="X754" t="s">
        <v>2297</v>
      </c>
      <c r="Y754" t="s">
        <v>2298</v>
      </c>
      <c r="Z754" t="s">
        <v>2318</v>
      </c>
      <c r="AA754">
        <v>28</v>
      </c>
      <c r="AB754" s="14">
        <v>150</v>
      </c>
      <c r="AC754" t="s">
        <v>2319</v>
      </c>
      <c r="AD754" t="s">
        <v>2320</v>
      </c>
      <c r="AE754" t="s">
        <v>2643</v>
      </c>
      <c r="AF754">
        <v>53</v>
      </c>
      <c r="AG754">
        <v>0</v>
      </c>
      <c r="AH754">
        <v>2</v>
      </c>
      <c r="AI754">
        <v>1</v>
      </c>
      <c r="AJ754">
        <v>1</v>
      </c>
      <c r="AK754">
        <v>0</v>
      </c>
      <c r="AL754">
        <v>1</v>
      </c>
      <c r="AM754" s="14">
        <v>0</v>
      </c>
      <c r="AN754" t="s">
        <v>2644</v>
      </c>
      <c r="AO754" s="12">
        <v>46143</v>
      </c>
      <c r="AP754">
        <v>2026</v>
      </c>
      <c r="AQ754">
        <v>5</v>
      </c>
      <c r="AR754" t="s">
        <v>2652</v>
      </c>
    </row>
    <row r="755" spans="1:44">
      <c r="A755" t="s">
        <v>2011</v>
      </c>
      <c r="B755" s="12">
        <v>46149</v>
      </c>
      <c r="C755" s="12">
        <v>46136</v>
      </c>
      <c r="D755" t="s">
        <v>2005</v>
      </c>
      <c r="E755" t="s">
        <v>268</v>
      </c>
      <c r="F755" t="s">
        <v>282</v>
      </c>
      <c r="G755" t="s">
        <v>505</v>
      </c>
      <c r="H755" t="s">
        <v>115</v>
      </c>
      <c r="I755" t="s">
        <v>316</v>
      </c>
      <c r="J755" s="13">
        <v>0.5625</v>
      </c>
      <c r="K755" s="13">
        <v>0.56805555555555554</v>
      </c>
      <c r="L755" s="13">
        <v>0.5708333333333333</v>
      </c>
      <c r="M755">
        <v>60</v>
      </c>
      <c r="N755" s="14">
        <v>120</v>
      </c>
      <c r="O755" t="s">
        <v>195</v>
      </c>
      <c r="P755">
        <v>2</v>
      </c>
      <c r="Q755" t="s">
        <v>285</v>
      </c>
      <c r="R755" t="s">
        <v>1821</v>
      </c>
      <c r="S755">
        <v>0</v>
      </c>
      <c r="T755">
        <v>0</v>
      </c>
      <c r="U755" t="s">
        <v>2285</v>
      </c>
      <c r="V755" t="s">
        <v>2286</v>
      </c>
      <c r="W755" t="s">
        <v>2287</v>
      </c>
      <c r="X755" t="s">
        <v>2288</v>
      </c>
      <c r="Y755" t="s">
        <v>2289</v>
      </c>
      <c r="Z755" t="s">
        <v>2309</v>
      </c>
      <c r="AA755">
        <v>14</v>
      </c>
      <c r="AB755" s="14">
        <v>120</v>
      </c>
      <c r="AC755" t="s">
        <v>2310</v>
      </c>
      <c r="AD755" t="s">
        <v>2311</v>
      </c>
      <c r="AE755" t="s">
        <v>2643</v>
      </c>
      <c r="AF755">
        <v>13</v>
      </c>
      <c r="AG755">
        <v>1</v>
      </c>
      <c r="AH755">
        <v>4</v>
      </c>
      <c r="AI755">
        <v>1</v>
      </c>
      <c r="AJ755">
        <v>1</v>
      </c>
      <c r="AK755">
        <v>0</v>
      </c>
      <c r="AL755">
        <v>1</v>
      </c>
      <c r="AM755" s="14">
        <v>0</v>
      </c>
      <c r="AN755" t="s">
        <v>2644</v>
      </c>
      <c r="AO755" s="12">
        <v>46143</v>
      </c>
      <c r="AP755">
        <v>2026</v>
      </c>
      <c r="AQ755">
        <v>5</v>
      </c>
      <c r="AR755" t="s">
        <v>2652</v>
      </c>
    </row>
    <row r="756" spans="1:44">
      <c r="A756" t="s">
        <v>2013</v>
      </c>
      <c r="B756" s="12">
        <v>46163</v>
      </c>
      <c r="C756" s="12">
        <v>46152</v>
      </c>
      <c r="D756" t="s">
        <v>1494</v>
      </c>
      <c r="E756" t="s">
        <v>281</v>
      </c>
      <c r="F756" t="s">
        <v>282</v>
      </c>
      <c r="G756" t="s">
        <v>446</v>
      </c>
      <c r="H756" t="s">
        <v>115</v>
      </c>
      <c r="I756" t="s">
        <v>258</v>
      </c>
      <c r="J756" s="13">
        <v>0.64583333333333337</v>
      </c>
      <c r="K756" s="13">
        <v>0.64930555555555558</v>
      </c>
      <c r="L756" s="13">
        <v>0.6479166666666667</v>
      </c>
      <c r="M756">
        <v>45</v>
      </c>
      <c r="N756" s="14">
        <v>120</v>
      </c>
      <c r="O756" t="s">
        <v>169</v>
      </c>
      <c r="P756">
        <v>5</v>
      </c>
      <c r="Q756" t="s">
        <v>318</v>
      </c>
      <c r="R756" t="s">
        <v>1821</v>
      </c>
      <c r="S756">
        <v>0</v>
      </c>
      <c r="T756">
        <v>0</v>
      </c>
      <c r="U756" t="s">
        <v>2290</v>
      </c>
      <c r="V756" t="s">
        <v>2291</v>
      </c>
      <c r="W756" t="s">
        <v>2292</v>
      </c>
      <c r="X756" t="s">
        <v>2288</v>
      </c>
      <c r="Y756" t="s">
        <v>2293</v>
      </c>
      <c r="Z756" t="s">
        <v>2309</v>
      </c>
      <c r="AA756">
        <v>14</v>
      </c>
      <c r="AB756" s="14">
        <v>120</v>
      </c>
      <c r="AC756" t="s">
        <v>2310</v>
      </c>
      <c r="AD756" t="s">
        <v>2311</v>
      </c>
      <c r="AE756" t="s">
        <v>2643</v>
      </c>
      <c r="AF756">
        <v>11</v>
      </c>
      <c r="AG756">
        <v>1</v>
      </c>
      <c r="AJ756">
        <v>1</v>
      </c>
      <c r="AK756">
        <v>0</v>
      </c>
      <c r="AL756">
        <v>1</v>
      </c>
      <c r="AM756" s="14">
        <v>0</v>
      </c>
      <c r="AN756" t="s">
        <v>2644</v>
      </c>
      <c r="AO756" s="12">
        <v>46143</v>
      </c>
      <c r="AP756">
        <v>2026</v>
      </c>
      <c r="AQ756">
        <v>5</v>
      </c>
      <c r="AR756" t="s">
        <v>2652</v>
      </c>
    </row>
    <row r="757" spans="1:44">
      <c r="A757" t="s">
        <v>2014</v>
      </c>
      <c r="B757" s="12">
        <v>46170</v>
      </c>
      <c r="C757" s="12">
        <v>46115</v>
      </c>
      <c r="D757" t="s">
        <v>916</v>
      </c>
      <c r="E757" t="s">
        <v>339</v>
      </c>
      <c r="F757" t="s">
        <v>409</v>
      </c>
      <c r="G757" t="s">
        <v>476</v>
      </c>
      <c r="H757" t="s">
        <v>127</v>
      </c>
      <c r="I757" t="s">
        <v>258</v>
      </c>
      <c r="J757" s="13">
        <v>0.60416666666666663</v>
      </c>
      <c r="K757" s="13"/>
      <c r="L757" s="13"/>
      <c r="M757">
        <v>0</v>
      </c>
      <c r="N757" s="14">
        <v>150</v>
      </c>
      <c r="O757" t="s">
        <v>195</v>
      </c>
      <c r="Q757" t="s">
        <v>326</v>
      </c>
      <c r="R757" t="s">
        <v>1821</v>
      </c>
      <c r="S757">
        <v>0</v>
      </c>
      <c r="T757">
        <v>0</v>
      </c>
      <c r="U757" t="s">
        <v>2294</v>
      </c>
      <c r="V757" t="s">
        <v>2295</v>
      </c>
      <c r="W757" t="s">
        <v>2296</v>
      </c>
      <c r="X757" t="s">
        <v>2297</v>
      </c>
      <c r="Y757" t="s">
        <v>2298</v>
      </c>
      <c r="Z757" t="s">
        <v>2318</v>
      </c>
      <c r="AA757">
        <v>28</v>
      </c>
      <c r="AB757" s="14">
        <v>150</v>
      </c>
      <c r="AC757" t="s">
        <v>2319</v>
      </c>
      <c r="AD757" t="s">
        <v>2320</v>
      </c>
      <c r="AE757" t="s">
        <v>2643</v>
      </c>
      <c r="AF757">
        <v>55</v>
      </c>
      <c r="AG757">
        <v>0</v>
      </c>
      <c r="AJ757">
        <v>0</v>
      </c>
      <c r="AL757">
        <v>1</v>
      </c>
      <c r="AM757" s="14">
        <v>0</v>
      </c>
      <c r="AN757" t="s">
        <v>2644</v>
      </c>
      <c r="AO757" s="12">
        <v>46143</v>
      </c>
      <c r="AP757">
        <v>2026</v>
      </c>
      <c r="AQ757">
        <v>5</v>
      </c>
      <c r="AR757" t="s">
        <v>2652</v>
      </c>
    </row>
    <row r="758" spans="1:44">
      <c r="A758" t="s">
        <v>2015</v>
      </c>
      <c r="B758" s="12">
        <v>46151</v>
      </c>
      <c r="C758" s="12">
        <v>46131</v>
      </c>
      <c r="D758" t="s">
        <v>1088</v>
      </c>
      <c r="E758" t="s">
        <v>255</v>
      </c>
      <c r="F758" t="s">
        <v>409</v>
      </c>
      <c r="G758" t="s">
        <v>410</v>
      </c>
      <c r="H758" t="s">
        <v>115</v>
      </c>
      <c r="I758" t="s">
        <v>271</v>
      </c>
      <c r="J758" s="13">
        <v>0.54166666666666663</v>
      </c>
      <c r="K758" s="13">
        <v>0.54513888888888884</v>
      </c>
      <c r="L758" s="13">
        <v>0.5541666666666667</v>
      </c>
      <c r="M758">
        <v>45</v>
      </c>
      <c r="N758" s="14">
        <v>150</v>
      </c>
      <c r="O758" t="s">
        <v>195</v>
      </c>
      <c r="P758">
        <v>4</v>
      </c>
      <c r="Q758" t="s">
        <v>318</v>
      </c>
      <c r="R758" t="s">
        <v>1821</v>
      </c>
      <c r="S758">
        <v>0</v>
      </c>
      <c r="T758">
        <v>0</v>
      </c>
      <c r="U758" t="s">
        <v>2299</v>
      </c>
      <c r="V758" t="s">
        <v>2295</v>
      </c>
      <c r="W758" t="s">
        <v>2300</v>
      </c>
      <c r="X758" t="s">
        <v>2288</v>
      </c>
      <c r="Y758" t="s">
        <v>2301</v>
      </c>
      <c r="Z758" t="s">
        <v>2318</v>
      </c>
      <c r="AA758">
        <v>28</v>
      </c>
      <c r="AB758" s="14">
        <v>150</v>
      </c>
      <c r="AC758" t="s">
        <v>2319</v>
      </c>
      <c r="AD758" t="s">
        <v>2320</v>
      </c>
      <c r="AE758" t="s">
        <v>2643</v>
      </c>
      <c r="AF758">
        <v>20</v>
      </c>
      <c r="AG758">
        <v>1</v>
      </c>
      <c r="AH758">
        <v>13</v>
      </c>
      <c r="AI758">
        <v>1</v>
      </c>
      <c r="AJ758">
        <v>1</v>
      </c>
      <c r="AK758">
        <v>0</v>
      </c>
      <c r="AL758">
        <v>1</v>
      </c>
      <c r="AM758" s="14">
        <v>0</v>
      </c>
      <c r="AN758" t="s">
        <v>2644</v>
      </c>
      <c r="AO758" s="12">
        <v>46143</v>
      </c>
      <c r="AP758">
        <v>2026</v>
      </c>
      <c r="AQ758">
        <v>5</v>
      </c>
      <c r="AR758" t="s">
        <v>2652</v>
      </c>
    </row>
    <row r="759" spans="1:44">
      <c r="A759" t="s">
        <v>2016</v>
      </c>
      <c r="B759" s="12">
        <v>46162</v>
      </c>
      <c r="C759" s="12">
        <v>46144</v>
      </c>
      <c r="D759" t="s">
        <v>1475</v>
      </c>
      <c r="E759" t="s">
        <v>281</v>
      </c>
      <c r="F759" t="s">
        <v>409</v>
      </c>
      <c r="G759" t="s">
        <v>535</v>
      </c>
      <c r="H759" t="s">
        <v>115</v>
      </c>
      <c r="I759" t="s">
        <v>299</v>
      </c>
      <c r="J759" s="13">
        <v>0.45833333333333331</v>
      </c>
      <c r="K759" s="13">
        <v>0.46944444444444444</v>
      </c>
      <c r="L759" s="13">
        <v>0.45833333333333331</v>
      </c>
      <c r="M759">
        <v>30</v>
      </c>
      <c r="N759" s="14">
        <v>150</v>
      </c>
      <c r="O759" t="s">
        <v>169</v>
      </c>
      <c r="P759">
        <v>3</v>
      </c>
      <c r="Q759" t="s">
        <v>285</v>
      </c>
      <c r="R759" t="s">
        <v>1821</v>
      </c>
      <c r="S759">
        <v>0</v>
      </c>
      <c r="T759">
        <v>0</v>
      </c>
      <c r="U759" t="s">
        <v>2290</v>
      </c>
      <c r="V759" t="s">
        <v>2291</v>
      </c>
      <c r="W759" t="s">
        <v>2292</v>
      </c>
      <c r="X759" t="s">
        <v>2288</v>
      </c>
      <c r="Y759" t="s">
        <v>2293</v>
      </c>
      <c r="Z759" t="s">
        <v>2318</v>
      </c>
      <c r="AA759">
        <v>28</v>
      </c>
      <c r="AB759" s="14">
        <v>150</v>
      </c>
      <c r="AC759" t="s">
        <v>2319</v>
      </c>
      <c r="AD759" t="s">
        <v>2320</v>
      </c>
      <c r="AE759" t="s">
        <v>2643</v>
      </c>
      <c r="AF759">
        <v>18</v>
      </c>
      <c r="AG759">
        <v>1</v>
      </c>
      <c r="AJ759">
        <v>1</v>
      </c>
      <c r="AK759">
        <v>0</v>
      </c>
      <c r="AL759">
        <v>1</v>
      </c>
      <c r="AM759" s="14">
        <v>0</v>
      </c>
      <c r="AN759" t="s">
        <v>2644</v>
      </c>
      <c r="AO759" s="12">
        <v>46143</v>
      </c>
      <c r="AP759">
        <v>2026</v>
      </c>
      <c r="AQ759">
        <v>5</v>
      </c>
      <c r="AR759" t="s">
        <v>2652</v>
      </c>
    </row>
    <row r="760" spans="1:44">
      <c r="A760" t="s">
        <v>2017</v>
      </c>
      <c r="B760" s="12">
        <v>46167</v>
      </c>
      <c r="C760" s="12">
        <v>46129</v>
      </c>
      <c r="D760" t="s">
        <v>1077</v>
      </c>
      <c r="E760" t="s">
        <v>255</v>
      </c>
      <c r="F760" t="s">
        <v>269</v>
      </c>
      <c r="G760" t="s">
        <v>391</v>
      </c>
      <c r="H760" t="s">
        <v>115</v>
      </c>
      <c r="I760" t="s">
        <v>316</v>
      </c>
      <c r="J760" s="13">
        <v>0.47916666666666669</v>
      </c>
      <c r="K760" s="13">
        <v>0.47361111111111109</v>
      </c>
      <c r="L760" s="13">
        <v>0.49513888888888891</v>
      </c>
      <c r="M760">
        <v>30</v>
      </c>
      <c r="N760" s="14">
        <v>80</v>
      </c>
      <c r="O760" t="s">
        <v>169</v>
      </c>
      <c r="P760">
        <v>4</v>
      </c>
      <c r="Q760" t="s">
        <v>262</v>
      </c>
      <c r="R760" t="s">
        <v>1821</v>
      </c>
      <c r="S760">
        <v>0</v>
      </c>
      <c r="T760">
        <v>0</v>
      </c>
      <c r="U760" t="s">
        <v>2299</v>
      </c>
      <c r="V760" t="s">
        <v>2295</v>
      </c>
      <c r="W760" t="s">
        <v>2300</v>
      </c>
      <c r="X760" t="s">
        <v>2288</v>
      </c>
      <c r="Y760" t="s">
        <v>2301</v>
      </c>
      <c r="Z760" t="s">
        <v>2315</v>
      </c>
      <c r="AA760">
        <v>10</v>
      </c>
      <c r="AB760" s="14">
        <v>80</v>
      </c>
      <c r="AC760" t="s">
        <v>2316</v>
      </c>
      <c r="AD760" t="s">
        <v>2317</v>
      </c>
      <c r="AE760" t="s">
        <v>2643</v>
      </c>
      <c r="AF760">
        <v>38</v>
      </c>
      <c r="AG760">
        <v>0</v>
      </c>
      <c r="AH760">
        <v>31</v>
      </c>
      <c r="AI760">
        <v>0</v>
      </c>
      <c r="AJ760">
        <v>1</v>
      </c>
      <c r="AK760">
        <v>0</v>
      </c>
      <c r="AL760">
        <v>1</v>
      </c>
      <c r="AM760" s="14">
        <v>0</v>
      </c>
      <c r="AN760" t="s">
        <v>2644</v>
      </c>
      <c r="AO760" s="12">
        <v>46143</v>
      </c>
      <c r="AP760">
        <v>2026</v>
      </c>
      <c r="AQ760">
        <v>5</v>
      </c>
      <c r="AR760" t="s">
        <v>2652</v>
      </c>
    </row>
    <row r="761" spans="1:44">
      <c r="A761" t="s">
        <v>2018</v>
      </c>
      <c r="B761" s="12">
        <v>46164</v>
      </c>
      <c r="C761" s="12">
        <v>46132</v>
      </c>
      <c r="D761" t="s">
        <v>377</v>
      </c>
      <c r="E761" t="s">
        <v>281</v>
      </c>
      <c r="F761" t="s">
        <v>297</v>
      </c>
      <c r="G761" t="s">
        <v>298</v>
      </c>
      <c r="H761" t="s">
        <v>122</v>
      </c>
      <c r="I761" t="s">
        <v>299</v>
      </c>
      <c r="J761" s="13">
        <v>0.66666666666666663</v>
      </c>
      <c r="K761" s="13">
        <v>0.66805555555555551</v>
      </c>
      <c r="L761" s="13">
        <v>0.67569444444444449</v>
      </c>
      <c r="M761">
        <v>30</v>
      </c>
      <c r="N761" s="14">
        <v>65</v>
      </c>
      <c r="O761" t="s">
        <v>169</v>
      </c>
      <c r="P761">
        <v>5</v>
      </c>
      <c r="Q761" t="s">
        <v>262</v>
      </c>
      <c r="R761" t="s">
        <v>1821</v>
      </c>
      <c r="S761">
        <v>0</v>
      </c>
      <c r="T761">
        <v>0</v>
      </c>
      <c r="U761" t="s">
        <v>2290</v>
      </c>
      <c r="V761" t="s">
        <v>2291</v>
      </c>
      <c r="W761" t="s">
        <v>2292</v>
      </c>
      <c r="X761" t="s">
        <v>2288</v>
      </c>
      <c r="Y761" t="s">
        <v>2293</v>
      </c>
      <c r="Z761" t="s">
        <v>2306</v>
      </c>
      <c r="AA761">
        <v>7</v>
      </c>
      <c r="AB761" s="14">
        <v>65</v>
      </c>
      <c r="AC761" t="s">
        <v>2307</v>
      </c>
      <c r="AD761" t="s">
        <v>2308</v>
      </c>
      <c r="AE761" t="s">
        <v>2643</v>
      </c>
      <c r="AF761">
        <v>32</v>
      </c>
      <c r="AG761">
        <v>0</v>
      </c>
      <c r="AJ761">
        <v>1</v>
      </c>
      <c r="AK761">
        <v>1</v>
      </c>
      <c r="AL761">
        <v>1</v>
      </c>
      <c r="AM761" s="14">
        <v>0</v>
      </c>
      <c r="AN761" t="s">
        <v>2644</v>
      </c>
      <c r="AO761" s="12">
        <v>46143</v>
      </c>
      <c r="AP761">
        <v>2026</v>
      </c>
      <c r="AQ761">
        <v>5</v>
      </c>
      <c r="AR761" t="s">
        <v>2652</v>
      </c>
    </row>
    <row r="762" spans="1:44">
      <c r="A762" t="s">
        <v>2019</v>
      </c>
      <c r="B762" s="12">
        <v>46148</v>
      </c>
      <c r="C762" s="12">
        <v>46139</v>
      </c>
      <c r="D762" t="s">
        <v>1299</v>
      </c>
      <c r="E762" t="s">
        <v>255</v>
      </c>
      <c r="F762" t="s">
        <v>282</v>
      </c>
      <c r="G762" t="s">
        <v>424</v>
      </c>
      <c r="H762" t="s">
        <v>122</v>
      </c>
      <c r="I762" t="s">
        <v>316</v>
      </c>
      <c r="J762" s="13">
        <v>0.35416666666666669</v>
      </c>
      <c r="K762" s="13"/>
      <c r="L762" s="13"/>
      <c r="M762">
        <v>0</v>
      </c>
      <c r="N762" s="14">
        <v>120</v>
      </c>
      <c r="O762" t="s">
        <v>195</v>
      </c>
      <c r="Q762" t="s">
        <v>285</v>
      </c>
      <c r="R762" t="s">
        <v>1821</v>
      </c>
      <c r="S762">
        <v>0</v>
      </c>
      <c r="T762">
        <v>0</v>
      </c>
      <c r="U762" t="s">
        <v>2299</v>
      </c>
      <c r="V762" t="s">
        <v>2295</v>
      </c>
      <c r="W762" t="s">
        <v>2300</v>
      </c>
      <c r="X762" t="s">
        <v>2288</v>
      </c>
      <c r="Y762" t="s">
        <v>2301</v>
      </c>
      <c r="Z762" t="s">
        <v>2309</v>
      </c>
      <c r="AA762">
        <v>14</v>
      </c>
      <c r="AB762" s="14">
        <v>120</v>
      </c>
      <c r="AC762" t="s">
        <v>2310</v>
      </c>
      <c r="AD762" t="s">
        <v>2311</v>
      </c>
      <c r="AE762" t="s">
        <v>2643</v>
      </c>
      <c r="AF762">
        <v>9</v>
      </c>
      <c r="AG762">
        <v>1</v>
      </c>
      <c r="AJ762">
        <v>1</v>
      </c>
      <c r="AK762">
        <v>1</v>
      </c>
      <c r="AL762">
        <v>1</v>
      </c>
      <c r="AM762" s="14">
        <v>0</v>
      </c>
      <c r="AN762" t="s">
        <v>2644</v>
      </c>
      <c r="AO762" s="12">
        <v>46143</v>
      </c>
      <c r="AP762">
        <v>2026</v>
      </c>
      <c r="AQ762">
        <v>5</v>
      </c>
      <c r="AR762" t="s">
        <v>2652</v>
      </c>
    </row>
    <row r="763" spans="1:44">
      <c r="A763" t="s">
        <v>2020</v>
      </c>
      <c r="B763" s="12">
        <v>46149</v>
      </c>
      <c r="C763" s="12">
        <v>46115</v>
      </c>
      <c r="D763" t="s">
        <v>1447</v>
      </c>
      <c r="E763" t="s">
        <v>281</v>
      </c>
      <c r="F763" t="s">
        <v>269</v>
      </c>
      <c r="G763" t="s">
        <v>322</v>
      </c>
      <c r="H763" t="s">
        <v>115</v>
      </c>
      <c r="I763" t="s">
        <v>258</v>
      </c>
      <c r="J763" s="13">
        <v>0.39583333333333331</v>
      </c>
      <c r="K763" s="13">
        <v>0.40277777777777779</v>
      </c>
      <c r="L763" s="13">
        <v>0.40972222222222221</v>
      </c>
      <c r="M763">
        <v>60</v>
      </c>
      <c r="N763" s="14">
        <v>80</v>
      </c>
      <c r="O763" t="s">
        <v>195</v>
      </c>
      <c r="P763">
        <v>4</v>
      </c>
      <c r="Q763" t="s">
        <v>262</v>
      </c>
      <c r="R763" t="s">
        <v>1821</v>
      </c>
      <c r="S763">
        <v>0</v>
      </c>
      <c r="T763">
        <v>0</v>
      </c>
      <c r="U763" t="s">
        <v>2290</v>
      </c>
      <c r="V763" t="s">
        <v>2291</v>
      </c>
      <c r="W763" t="s">
        <v>2292</v>
      </c>
      <c r="X763" t="s">
        <v>2288</v>
      </c>
      <c r="Y763" t="s">
        <v>2293</v>
      </c>
      <c r="Z763" t="s">
        <v>2315</v>
      </c>
      <c r="AA763">
        <v>10</v>
      </c>
      <c r="AB763" s="14">
        <v>80</v>
      </c>
      <c r="AC763" t="s">
        <v>2316</v>
      </c>
      <c r="AD763" t="s">
        <v>2317</v>
      </c>
      <c r="AE763" t="s">
        <v>2643</v>
      </c>
      <c r="AF763">
        <v>34</v>
      </c>
      <c r="AG763">
        <v>0</v>
      </c>
      <c r="AH763">
        <v>10</v>
      </c>
      <c r="AI763">
        <v>1</v>
      </c>
      <c r="AJ763">
        <v>1</v>
      </c>
      <c r="AK763">
        <v>0</v>
      </c>
      <c r="AL763">
        <v>1</v>
      </c>
      <c r="AM763" s="14">
        <v>0</v>
      </c>
      <c r="AN763" t="s">
        <v>2644</v>
      </c>
      <c r="AO763" s="12">
        <v>46143</v>
      </c>
      <c r="AP763">
        <v>2026</v>
      </c>
      <c r="AQ763">
        <v>5</v>
      </c>
      <c r="AR763" t="s">
        <v>2652</v>
      </c>
    </row>
    <row r="764" spans="1:44">
      <c r="A764" t="s">
        <v>2021</v>
      </c>
      <c r="B764" s="12">
        <v>46170</v>
      </c>
      <c r="C764" s="12">
        <v>46145</v>
      </c>
      <c r="D764" t="s">
        <v>1050</v>
      </c>
      <c r="E764" t="s">
        <v>268</v>
      </c>
      <c r="F764" t="s">
        <v>282</v>
      </c>
      <c r="G764" t="s">
        <v>505</v>
      </c>
      <c r="H764" t="s">
        <v>127</v>
      </c>
      <c r="I764" t="s">
        <v>299</v>
      </c>
      <c r="J764" s="13">
        <v>0.52083333333333337</v>
      </c>
      <c r="K764" s="13"/>
      <c r="L764" s="13"/>
      <c r="M764">
        <v>0</v>
      </c>
      <c r="N764" s="14">
        <v>120</v>
      </c>
      <c r="O764" t="s">
        <v>169</v>
      </c>
      <c r="Q764" t="s">
        <v>318</v>
      </c>
      <c r="R764" t="s">
        <v>1821</v>
      </c>
      <c r="S764">
        <v>0</v>
      </c>
      <c r="T764">
        <v>0</v>
      </c>
      <c r="U764" t="s">
        <v>2285</v>
      </c>
      <c r="V764" t="s">
        <v>2286</v>
      </c>
      <c r="W764" t="s">
        <v>2287</v>
      </c>
      <c r="X764" t="s">
        <v>2288</v>
      </c>
      <c r="Y764" t="s">
        <v>2289</v>
      </c>
      <c r="Z764" t="s">
        <v>2309</v>
      </c>
      <c r="AA764">
        <v>14</v>
      </c>
      <c r="AB764" s="14">
        <v>120</v>
      </c>
      <c r="AC764" t="s">
        <v>2310</v>
      </c>
      <c r="AD764" t="s">
        <v>2311</v>
      </c>
      <c r="AE764" t="s">
        <v>2643</v>
      </c>
      <c r="AF764">
        <v>25</v>
      </c>
      <c r="AG764">
        <v>0</v>
      </c>
      <c r="AJ764">
        <v>0</v>
      </c>
      <c r="AL764">
        <v>1</v>
      </c>
      <c r="AM764" s="14">
        <v>0</v>
      </c>
      <c r="AN764" t="s">
        <v>2644</v>
      </c>
      <c r="AO764" s="12">
        <v>46143</v>
      </c>
      <c r="AP764">
        <v>2026</v>
      </c>
      <c r="AQ764">
        <v>5</v>
      </c>
      <c r="AR764" t="s">
        <v>2652</v>
      </c>
    </row>
    <row r="765" spans="1:44">
      <c r="A765" t="s">
        <v>2022</v>
      </c>
      <c r="B765" s="12">
        <v>46165</v>
      </c>
      <c r="C765" s="12">
        <v>46142</v>
      </c>
      <c r="D765" t="s">
        <v>677</v>
      </c>
      <c r="E765" t="s">
        <v>268</v>
      </c>
      <c r="F765" t="s">
        <v>282</v>
      </c>
      <c r="G765" t="s">
        <v>505</v>
      </c>
      <c r="H765" t="s">
        <v>122</v>
      </c>
      <c r="I765" t="s">
        <v>316</v>
      </c>
      <c r="J765" s="13">
        <v>0.52083333333333337</v>
      </c>
      <c r="K765" s="13"/>
      <c r="L765" s="13"/>
      <c r="M765">
        <v>0</v>
      </c>
      <c r="N765" s="14">
        <v>120</v>
      </c>
      <c r="O765" t="s">
        <v>195</v>
      </c>
      <c r="Q765" t="s">
        <v>305</v>
      </c>
      <c r="R765" t="s">
        <v>1821</v>
      </c>
      <c r="S765">
        <v>0</v>
      </c>
      <c r="T765">
        <v>0</v>
      </c>
      <c r="U765" t="s">
        <v>2285</v>
      </c>
      <c r="V765" t="s">
        <v>2286</v>
      </c>
      <c r="W765" t="s">
        <v>2287</v>
      </c>
      <c r="X765" t="s">
        <v>2288</v>
      </c>
      <c r="Y765" t="s">
        <v>2289</v>
      </c>
      <c r="Z765" t="s">
        <v>2309</v>
      </c>
      <c r="AA765">
        <v>14</v>
      </c>
      <c r="AB765" s="14">
        <v>120</v>
      </c>
      <c r="AC765" t="s">
        <v>2310</v>
      </c>
      <c r="AD765" t="s">
        <v>2311</v>
      </c>
      <c r="AE765" t="s">
        <v>2643</v>
      </c>
      <c r="AF765">
        <v>23</v>
      </c>
      <c r="AG765">
        <v>0</v>
      </c>
      <c r="AJ765">
        <v>1</v>
      </c>
      <c r="AK765">
        <v>1</v>
      </c>
      <c r="AL765">
        <v>1</v>
      </c>
      <c r="AM765" s="14">
        <v>0</v>
      </c>
      <c r="AN765" t="s">
        <v>2644</v>
      </c>
      <c r="AO765" s="12">
        <v>46143</v>
      </c>
      <c r="AP765">
        <v>2026</v>
      </c>
      <c r="AQ765">
        <v>5</v>
      </c>
      <c r="AR765" t="s">
        <v>2652</v>
      </c>
    </row>
    <row r="766" spans="1:44">
      <c r="A766" t="s">
        <v>2023</v>
      </c>
      <c r="B766" s="12">
        <v>46152</v>
      </c>
      <c r="C766" s="12">
        <v>46129</v>
      </c>
      <c r="D766" t="s">
        <v>1864</v>
      </c>
      <c r="E766" t="s">
        <v>255</v>
      </c>
      <c r="F766" t="s">
        <v>282</v>
      </c>
      <c r="G766" t="s">
        <v>424</v>
      </c>
      <c r="H766" t="s">
        <v>127</v>
      </c>
      <c r="I766" t="s">
        <v>316</v>
      </c>
      <c r="J766" s="13">
        <v>0.33333333333333331</v>
      </c>
      <c r="K766" s="13"/>
      <c r="L766" s="13"/>
      <c r="M766">
        <v>0</v>
      </c>
      <c r="N766" s="14">
        <v>120</v>
      </c>
      <c r="O766" t="s">
        <v>195</v>
      </c>
      <c r="Q766" t="s">
        <v>285</v>
      </c>
      <c r="R766" t="s">
        <v>1821</v>
      </c>
      <c r="S766">
        <v>0</v>
      </c>
      <c r="T766">
        <v>0</v>
      </c>
      <c r="U766" t="s">
        <v>2299</v>
      </c>
      <c r="V766" t="s">
        <v>2295</v>
      </c>
      <c r="W766" t="s">
        <v>2300</v>
      </c>
      <c r="X766" t="s">
        <v>2288</v>
      </c>
      <c r="Y766" t="s">
        <v>2301</v>
      </c>
      <c r="Z766" t="s">
        <v>2309</v>
      </c>
      <c r="AA766">
        <v>14</v>
      </c>
      <c r="AB766" s="14">
        <v>120</v>
      </c>
      <c r="AC766" t="s">
        <v>2310</v>
      </c>
      <c r="AD766" t="s">
        <v>2311</v>
      </c>
      <c r="AE766" t="s">
        <v>2643</v>
      </c>
      <c r="AF766">
        <v>23</v>
      </c>
      <c r="AG766">
        <v>0</v>
      </c>
      <c r="AJ766">
        <v>0</v>
      </c>
      <c r="AL766">
        <v>1</v>
      </c>
      <c r="AM766" s="14">
        <v>0</v>
      </c>
      <c r="AN766" t="s">
        <v>2644</v>
      </c>
      <c r="AO766" s="12">
        <v>46143</v>
      </c>
      <c r="AP766">
        <v>2026</v>
      </c>
      <c r="AQ766">
        <v>5</v>
      </c>
      <c r="AR766" t="s">
        <v>2652</v>
      </c>
    </row>
    <row r="767" spans="1:44">
      <c r="A767" t="s">
        <v>2025</v>
      </c>
      <c r="B767" s="12">
        <v>46162</v>
      </c>
      <c r="C767" s="12">
        <v>46140</v>
      </c>
      <c r="D767" t="s">
        <v>1864</v>
      </c>
      <c r="E767" t="s">
        <v>268</v>
      </c>
      <c r="F767" t="s">
        <v>409</v>
      </c>
      <c r="G767" t="s">
        <v>552</v>
      </c>
      <c r="H767" t="s">
        <v>115</v>
      </c>
      <c r="I767" t="s">
        <v>299</v>
      </c>
      <c r="J767" s="13">
        <v>0.64583333333333337</v>
      </c>
      <c r="K767" s="13">
        <v>0.63958333333333328</v>
      </c>
      <c r="L767" s="13">
        <v>0.66041666666666665</v>
      </c>
      <c r="M767">
        <v>30</v>
      </c>
      <c r="N767" s="14">
        <v>150</v>
      </c>
      <c r="O767" t="s">
        <v>195</v>
      </c>
      <c r="P767">
        <v>5</v>
      </c>
      <c r="Q767" t="s">
        <v>318</v>
      </c>
      <c r="R767" t="s">
        <v>1821</v>
      </c>
      <c r="S767">
        <v>0</v>
      </c>
      <c r="T767">
        <v>0</v>
      </c>
      <c r="U767" t="s">
        <v>2285</v>
      </c>
      <c r="V767" t="s">
        <v>2286</v>
      </c>
      <c r="W767" t="s">
        <v>2287</v>
      </c>
      <c r="X767" t="s">
        <v>2288</v>
      </c>
      <c r="Y767" t="s">
        <v>2289</v>
      </c>
      <c r="Z767" t="s">
        <v>2318</v>
      </c>
      <c r="AA767">
        <v>28</v>
      </c>
      <c r="AB767" s="14">
        <v>150</v>
      </c>
      <c r="AC767" t="s">
        <v>2319</v>
      </c>
      <c r="AD767" t="s">
        <v>2320</v>
      </c>
      <c r="AE767" t="s">
        <v>2643</v>
      </c>
      <c r="AF767">
        <v>22</v>
      </c>
      <c r="AG767">
        <v>1</v>
      </c>
      <c r="AH767">
        <v>30</v>
      </c>
      <c r="AI767">
        <v>1</v>
      </c>
      <c r="AJ767">
        <v>1</v>
      </c>
      <c r="AK767">
        <v>0</v>
      </c>
      <c r="AL767">
        <v>1</v>
      </c>
      <c r="AM767" s="14">
        <v>0</v>
      </c>
      <c r="AN767" t="s">
        <v>2644</v>
      </c>
      <c r="AO767" s="12">
        <v>46143</v>
      </c>
      <c r="AP767">
        <v>2026</v>
      </c>
      <c r="AQ767">
        <v>5</v>
      </c>
      <c r="AR767" t="s">
        <v>2652</v>
      </c>
    </row>
    <row r="768" spans="1:44">
      <c r="A768" t="s">
        <v>2026</v>
      </c>
      <c r="B768" s="12">
        <v>46155</v>
      </c>
      <c r="C768" s="12">
        <v>46153</v>
      </c>
      <c r="D768" t="s">
        <v>813</v>
      </c>
      <c r="E768" t="s">
        <v>268</v>
      </c>
      <c r="F768" t="s">
        <v>269</v>
      </c>
      <c r="G768" t="s">
        <v>435</v>
      </c>
      <c r="H768" t="s">
        <v>115</v>
      </c>
      <c r="I768" t="s">
        <v>299</v>
      </c>
      <c r="J768" s="13">
        <v>0.39583333333333331</v>
      </c>
      <c r="K768" s="13">
        <v>0.39305555555555555</v>
      </c>
      <c r="L768" s="13">
        <v>0.41875000000000001</v>
      </c>
      <c r="M768">
        <v>60</v>
      </c>
      <c r="N768" s="14">
        <v>80</v>
      </c>
      <c r="O768" t="s">
        <v>169</v>
      </c>
      <c r="P768">
        <v>2</v>
      </c>
      <c r="Q768" t="s">
        <v>326</v>
      </c>
      <c r="R768" t="s">
        <v>1821</v>
      </c>
      <c r="S768">
        <v>0</v>
      </c>
      <c r="T768">
        <v>0</v>
      </c>
      <c r="U768" t="s">
        <v>2285</v>
      </c>
      <c r="V768" t="s">
        <v>2286</v>
      </c>
      <c r="W768" t="s">
        <v>2287</v>
      </c>
      <c r="X768" t="s">
        <v>2288</v>
      </c>
      <c r="Y768" t="s">
        <v>2289</v>
      </c>
      <c r="Z768" t="s">
        <v>2315</v>
      </c>
      <c r="AA768">
        <v>10</v>
      </c>
      <c r="AB768" s="14">
        <v>80</v>
      </c>
      <c r="AC768" t="s">
        <v>2316</v>
      </c>
      <c r="AD768" t="s">
        <v>2317</v>
      </c>
      <c r="AE768" t="s">
        <v>2643</v>
      </c>
      <c r="AF768">
        <v>2</v>
      </c>
      <c r="AG768">
        <v>1</v>
      </c>
      <c r="AH768">
        <v>37</v>
      </c>
      <c r="AI768">
        <v>0</v>
      </c>
      <c r="AJ768">
        <v>1</v>
      </c>
      <c r="AK768">
        <v>0</v>
      </c>
      <c r="AL768">
        <v>1</v>
      </c>
      <c r="AM768" s="14">
        <v>0</v>
      </c>
      <c r="AN768" t="s">
        <v>2644</v>
      </c>
      <c r="AO768" s="12">
        <v>46143</v>
      </c>
      <c r="AP768">
        <v>2026</v>
      </c>
      <c r="AQ768">
        <v>5</v>
      </c>
      <c r="AR768" t="s">
        <v>2652</v>
      </c>
    </row>
    <row r="769" spans="1:44">
      <c r="A769" t="s">
        <v>2027</v>
      </c>
      <c r="B769" s="12">
        <v>46151</v>
      </c>
      <c r="C769" s="12">
        <v>46127</v>
      </c>
      <c r="D769" t="s">
        <v>518</v>
      </c>
      <c r="E769" t="s">
        <v>281</v>
      </c>
      <c r="F769" t="s">
        <v>409</v>
      </c>
      <c r="G769" t="s">
        <v>496</v>
      </c>
      <c r="H769" t="s">
        <v>115</v>
      </c>
      <c r="I769" t="s">
        <v>271</v>
      </c>
      <c r="J769" s="13">
        <v>0.375</v>
      </c>
      <c r="K769" s="13">
        <v>0.38472222222222224</v>
      </c>
      <c r="L769" s="13">
        <v>0.39444444444444443</v>
      </c>
      <c r="M769">
        <v>20</v>
      </c>
      <c r="N769" s="14">
        <v>150</v>
      </c>
      <c r="O769" t="s">
        <v>195</v>
      </c>
      <c r="P769">
        <v>5</v>
      </c>
      <c r="Q769" t="s">
        <v>285</v>
      </c>
      <c r="R769" t="s">
        <v>1821</v>
      </c>
      <c r="S769">
        <v>0</v>
      </c>
      <c r="T769">
        <v>0</v>
      </c>
      <c r="U769" t="s">
        <v>2290</v>
      </c>
      <c r="V769" t="s">
        <v>2291</v>
      </c>
      <c r="W769" t="s">
        <v>2292</v>
      </c>
      <c r="X769" t="s">
        <v>2288</v>
      </c>
      <c r="Y769" t="s">
        <v>2293</v>
      </c>
      <c r="Z769" t="s">
        <v>2318</v>
      </c>
      <c r="AA769">
        <v>28</v>
      </c>
      <c r="AB769" s="14">
        <v>150</v>
      </c>
      <c r="AC769" t="s">
        <v>2319</v>
      </c>
      <c r="AD769" t="s">
        <v>2320</v>
      </c>
      <c r="AE769" t="s">
        <v>2643</v>
      </c>
      <c r="AF769">
        <v>24</v>
      </c>
      <c r="AG769">
        <v>1</v>
      </c>
      <c r="AH769">
        <v>14</v>
      </c>
      <c r="AI769">
        <v>1</v>
      </c>
      <c r="AJ769">
        <v>1</v>
      </c>
      <c r="AK769">
        <v>0</v>
      </c>
      <c r="AL769">
        <v>1</v>
      </c>
      <c r="AM769" s="14">
        <v>0</v>
      </c>
      <c r="AN769" t="s">
        <v>2644</v>
      </c>
      <c r="AO769" s="12">
        <v>46143</v>
      </c>
      <c r="AP769">
        <v>2026</v>
      </c>
      <c r="AQ769">
        <v>5</v>
      </c>
      <c r="AR769" t="s">
        <v>2652</v>
      </c>
    </row>
    <row r="770" spans="1:44">
      <c r="A770" t="s">
        <v>2028</v>
      </c>
      <c r="B770" s="12">
        <v>46147</v>
      </c>
      <c r="C770" s="12">
        <v>46101</v>
      </c>
      <c r="D770" t="s">
        <v>1925</v>
      </c>
      <c r="E770" t="s">
        <v>255</v>
      </c>
      <c r="F770" t="s">
        <v>297</v>
      </c>
      <c r="G770" t="s">
        <v>639</v>
      </c>
      <c r="H770" t="s">
        <v>115</v>
      </c>
      <c r="I770" t="s">
        <v>258</v>
      </c>
      <c r="J770" s="13">
        <v>0.60416666666666663</v>
      </c>
      <c r="K770" s="13">
        <v>0.59930555555555554</v>
      </c>
      <c r="L770" s="13">
        <v>0.61944444444444446</v>
      </c>
      <c r="M770">
        <v>30</v>
      </c>
      <c r="N770" s="14">
        <v>65</v>
      </c>
      <c r="O770" t="s">
        <v>195</v>
      </c>
      <c r="P770">
        <v>4</v>
      </c>
      <c r="Q770" t="s">
        <v>285</v>
      </c>
      <c r="R770" t="s">
        <v>1821</v>
      </c>
      <c r="S770">
        <v>0</v>
      </c>
      <c r="T770">
        <v>0</v>
      </c>
      <c r="U770" t="s">
        <v>2299</v>
      </c>
      <c r="V770" t="s">
        <v>2295</v>
      </c>
      <c r="W770" t="s">
        <v>2300</v>
      </c>
      <c r="X770" t="s">
        <v>2288</v>
      </c>
      <c r="Y770" t="s">
        <v>2301</v>
      </c>
      <c r="Z770" t="s">
        <v>2306</v>
      </c>
      <c r="AA770">
        <v>7</v>
      </c>
      <c r="AB770" s="14">
        <v>65</v>
      </c>
      <c r="AC770" t="s">
        <v>2307</v>
      </c>
      <c r="AD770" t="s">
        <v>2308</v>
      </c>
      <c r="AE770" t="s">
        <v>2643</v>
      </c>
      <c r="AF770">
        <v>46</v>
      </c>
      <c r="AG770">
        <v>0</v>
      </c>
      <c r="AH770">
        <v>29</v>
      </c>
      <c r="AI770">
        <v>1</v>
      </c>
      <c r="AJ770">
        <v>1</v>
      </c>
      <c r="AK770">
        <v>0</v>
      </c>
      <c r="AL770">
        <v>1</v>
      </c>
      <c r="AM770" s="14">
        <v>0</v>
      </c>
      <c r="AN770" t="s">
        <v>2644</v>
      </c>
      <c r="AO770" s="12">
        <v>46143</v>
      </c>
      <c r="AP770">
        <v>2026</v>
      </c>
      <c r="AQ770">
        <v>5</v>
      </c>
      <c r="AR770" t="s">
        <v>2652</v>
      </c>
    </row>
    <row r="771" spans="1:44">
      <c r="A771" t="s">
        <v>2029</v>
      </c>
      <c r="B771" s="12">
        <v>46155</v>
      </c>
      <c r="C771" s="12">
        <v>46127</v>
      </c>
      <c r="D771" t="s">
        <v>592</v>
      </c>
      <c r="E771" t="s">
        <v>339</v>
      </c>
      <c r="F771" t="s">
        <v>282</v>
      </c>
      <c r="G771" t="s">
        <v>564</v>
      </c>
      <c r="H771" t="s">
        <v>122</v>
      </c>
      <c r="I771" t="s">
        <v>316</v>
      </c>
      <c r="J771" s="13">
        <v>0.47916666666666669</v>
      </c>
      <c r="K771" s="13"/>
      <c r="L771" s="13"/>
      <c r="M771">
        <v>45</v>
      </c>
      <c r="N771" s="14">
        <v>120</v>
      </c>
      <c r="O771" t="s">
        <v>195</v>
      </c>
      <c r="Q771" t="s">
        <v>326</v>
      </c>
      <c r="R771" t="s">
        <v>1821</v>
      </c>
      <c r="S771">
        <v>0</v>
      </c>
      <c r="T771">
        <v>0</v>
      </c>
      <c r="U771" t="s">
        <v>2294</v>
      </c>
      <c r="V771" t="s">
        <v>2295</v>
      </c>
      <c r="W771" t="s">
        <v>2296</v>
      </c>
      <c r="X771" t="s">
        <v>2297</v>
      </c>
      <c r="Y771" t="s">
        <v>2298</v>
      </c>
      <c r="Z771" t="s">
        <v>2309</v>
      </c>
      <c r="AA771">
        <v>14</v>
      </c>
      <c r="AB771" s="14">
        <v>120</v>
      </c>
      <c r="AC771" t="s">
        <v>2310</v>
      </c>
      <c r="AD771" t="s">
        <v>2311</v>
      </c>
      <c r="AE771" t="s">
        <v>2643</v>
      </c>
      <c r="AF771">
        <v>28</v>
      </c>
      <c r="AG771">
        <v>0</v>
      </c>
      <c r="AJ771">
        <v>1</v>
      </c>
      <c r="AK771">
        <v>1</v>
      </c>
      <c r="AL771">
        <v>1</v>
      </c>
      <c r="AM771" s="14">
        <v>0</v>
      </c>
      <c r="AN771" t="s">
        <v>2644</v>
      </c>
      <c r="AO771" s="12">
        <v>46143</v>
      </c>
      <c r="AP771">
        <v>2026</v>
      </c>
      <c r="AQ771">
        <v>5</v>
      </c>
      <c r="AR771" t="s">
        <v>2652</v>
      </c>
    </row>
    <row r="772" spans="1:44">
      <c r="A772" t="s">
        <v>2030</v>
      </c>
      <c r="B772" s="12">
        <v>46146</v>
      </c>
      <c r="C772" s="12">
        <v>46101</v>
      </c>
      <c r="D772" t="s">
        <v>820</v>
      </c>
      <c r="E772" t="s">
        <v>255</v>
      </c>
      <c r="F772" t="s">
        <v>256</v>
      </c>
      <c r="G772" t="s">
        <v>398</v>
      </c>
      <c r="H772" t="s">
        <v>115</v>
      </c>
      <c r="I772" t="s">
        <v>258</v>
      </c>
      <c r="J772" s="13">
        <v>0.5</v>
      </c>
      <c r="K772" s="13">
        <v>0.50902777777777775</v>
      </c>
      <c r="L772" s="13">
        <v>0.52361111111111114</v>
      </c>
      <c r="M772">
        <v>45</v>
      </c>
      <c r="N772" s="14">
        <v>95</v>
      </c>
      <c r="O772" t="s">
        <v>195</v>
      </c>
      <c r="P772">
        <v>3</v>
      </c>
      <c r="Q772" t="s">
        <v>318</v>
      </c>
      <c r="R772" t="s">
        <v>1821</v>
      </c>
      <c r="S772">
        <v>0</v>
      </c>
      <c r="T772">
        <v>0</v>
      </c>
      <c r="U772" t="s">
        <v>2299</v>
      </c>
      <c r="V772" t="s">
        <v>2295</v>
      </c>
      <c r="W772" t="s">
        <v>2300</v>
      </c>
      <c r="X772" t="s">
        <v>2288</v>
      </c>
      <c r="Y772" t="s">
        <v>2301</v>
      </c>
      <c r="Z772" t="s">
        <v>2312</v>
      </c>
      <c r="AA772">
        <v>21</v>
      </c>
      <c r="AB772" s="14">
        <v>95</v>
      </c>
      <c r="AC772" t="s">
        <v>2313</v>
      </c>
      <c r="AD772" t="s">
        <v>2314</v>
      </c>
      <c r="AE772" t="s">
        <v>2643</v>
      </c>
      <c r="AF772">
        <v>45</v>
      </c>
      <c r="AG772">
        <v>0</v>
      </c>
      <c r="AH772">
        <v>21</v>
      </c>
      <c r="AI772">
        <v>1</v>
      </c>
      <c r="AJ772">
        <v>1</v>
      </c>
      <c r="AK772">
        <v>0</v>
      </c>
      <c r="AL772">
        <v>1</v>
      </c>
      <c r="AM772" s="14">
        <v>0</v>
      </c>
      <c r="AN772" t="s">
        <v>2644</v>
      </c>
      <c r="AO772" s="12">
        <v>46143</v>
      </c>
      <c r="AP772">
        <v>2026</v>
      </c>
      <c r="AQ772">
        <v>5</v>
      </c>
      <c r="AR772" t="s">
        <v>2652</v>
      </c>
    </row>
    <row r="773" spans="1:44">
      <c r="A773" t="s">
        <v>2032</v>
      </c>
      <c r="B773" s="12">
        <v>46171</v>
      </c>
      <c r="C773" s="12">
        <v>46151</v>
      </c>
      <c r="D773" t="s">
        <v>1466</v>
      </c>
      <c r="E773" t="s">
        <v>255</v>
      </c>
      <c r="F773" t="s">
        <v>409</v>
      </c>
      <c r="G773" t="s">
        <v>410</v>
      </c>
      <c r="H773" t="s">
        <v>115</v>
      </c>
      <c r="I773" t="s">
        <v>316</v>
      </c>
      <c r="J773" s="13">
        <v>0.45833333333333331</v>
      </c>
      <c r="K773" s="13">
        <v>0.46597222222222223</v>
      </c>
      <c r="L773" s="13">
        <v>0.4777777777777778</v>
      </c>
      <c r="M773">
        <v>20</v>
      </c>
      <c r="N773" s="14">
        <v>150</v>
      </c>
      <c r="O773" t="s">
        <v>195</v>
      </c>
      <c r="P773">
        <v>2</v>
      </c>
      <c r="Q773" t="s">
        <v>305</v>
      </c>
      <c r="R773" t="s">
        <v>1821</v>
      </c>
      <c r="S773">
        <v>0</v>
      </c>
      <c r="T773">
        <v>0</v>
      </c>
      <c r="U773" t="s">
        <v>2299</v>
      </c>
      <c r="V773" t="s">
        <v>2295</v>
      </c>
      <c r="W773" t="s">
        <v>2300</v>
      </c>
      <c r="X773" t="s">
        <v>2288</v>
      </c>
      <c r="Y773" t="s">
        <v>2301</v>
      </c>
      <c r="Z773" t="s">
        <v>2318</v>
      </c>
      <c r="AA773">
        <v>28</v>
      </c>
      <c r="AB773" s="14">
        <v>150</v>
      </c>
      <c r="AC773" t="s">
        <v>2319</v>
      </c>
      <c r="AD773" t="s">
        <v>2320</v>
      </c>
      <c r="AE773" t="s">
        <v>2643</v>
      </c>
      <c r="AF773">
        <v>20</v>
      </c>
      <c r="AG773">
        <v>1</v>
      </c>
      <c r="AH773">
        <v>17</v>
      </c>
      <c r="AI773">
        <v>1</v>
      </c>
      <c r="AJ773">
        <v>1</v>
      </c>
      <c r="AK773">
        <v>0</v>
      </c>
      <c r="AL773">
        <v>1</v>
      </c>
      <c r="AM773" s="14">
        <v>0</v>
      </c>
      <c r="AN773" t="s">
        <v>2644</v>
      </c>
      <c r="AO773" s="12">
        <v>46143</v>
      </c>
      <c r="AP773">
        <v>2026</v>
      </c>
      <c r="AQ773">
        <v>5</v>
      </c>
      <c r="AR773" t="s">
        <v>2652</v>
      </c>
    </row>
    <row r="774" spans="1:44">
      <c r="A774" t="s">
        <v>2033</v>
      </c>
      <c r="B774" s="12">
        <v>46147</v>
      </c>
      <c r="C774" s="12">
        <v>46098</v>
      </c>
      <c r="D774" t="s">
        <v>978</v>
      </c>
      <c r="E774" t="s">
        <v>339</v>
      </c>
      <c r="F774" t="s">
        <v>269</v>
      </c>
      <c r="G774" t="s">
        <v>528</v>
      </c>
      <c r="H774" t="s">
        <v>127</v>
      </c>
      <c r="I774" t="s">
        <v>299</v>
      </c>
      <c r="J774" s="13">
        <v>0.4375</v>
      </c>
      <c r="K774" s="13"/>
      <c r="L774" s="13"/>
      <c r="N774" s="14">
        <v>80</v>
      </c>
      <c r="O774" t="s">
        <v>195</v>
      </c>
      <c r="Q774" t="s">
        <v>318</v>
      </c>
      <c r="R774" t="s">
        <v>1821</v>
      </c>
      <c r="S774">
        <v>0</v>
      </c>
      <c r="T774">
        <v>0</v>
      </c>
      <c r="U774" t="s">
        <v>2294</v>
      </c>
      <c r="V774" t="s">
        <v>2295</v>
      </c>
      <c r="W774" t="s">
        <v>2296</v>
      </c>
      <c r="X774" t="s">
        <v>2297</v>
      </c>
      <c r="Y774" t="s">
        <v>2298</v>
      </c>
      <c r="Z774" t="s">
        <v>2315</v>
      </c>
      <c r="AA774">
        <v>10</v>
      </c>
      <c r="AB774" s="14">
        <v>80</v>
      </c>
      <c r="AC774" t="s">
        <v>2316</v>
      </c>
      <c r="AD774" t="s">
        <v>2317</v>
      </c>
      <c r="AE774" t="s">
        <v>2643</v>
      </c>
      <c r="AF774">
        <v>49</v>
      </c>
      <c r="AG774">
        <v>0</v>
      </c>
      <c r="AJ774">
        <v>0</v>
      </c>
      <c r="AL774">
        <v>1</v>
      </c>
      <c r="AM774" s="14">
        <v>0</v>
      </c>
      <c r="AN774" t="s">
        <v>2644</v>
      </c>
      <c r="AO774" s="12">
        <v>46143</v>
      </c>
      <c r="AP774">
        <v>2026</v>
      </c>
      <c r="AQ774">
        <v>5</v>
      </c>
      <c r="AR774" t="s">
        <v>2652</v>
      </c>
    </row>
    <row r="775" spans="1:44">
      <c r="A775" t="s">
        <v>2034</v>
      </c>
      <c r="B775" s="12">
        <v>46152</v>
      </c>
      <c r="C775" s="12">
        <v>46120</v>
      </c>
      <c r="D775" t="s">
        <v>1123</v>
      </c>
      <c r="E775" t="s">
        <v>281</v>
      </c>
      <c r="F775" t="s">
        <v>269</v>
      </c>
      <c r="G775" t="s">
        <v>363</v>
      </c>
      <c r="H775" t="s">
        <v>115</v>
      </c>
      <c r="I775" t="s">
        <v>316</v>
      </c>
      <c r="J775" s="13">
        <v>0.41666666666666669</v>
      </c>
      <c r="K775" s="13">
        <v>0.41666666666666669</v>
      </c>
      <c r="L775" s="13">
        <v>0.42777777777777776</v>
      </c>
      <c r="M775">
        <v>20</v>
      </c>
      <c r="N775" s="14">
        <v>80</v>
      </c>
      <c r="O775" t="s">
        <v>195</v>
      </c>
      <c r="P775">
        <v>2</v>
      </c>
      <c r="Q775" t="s">
        <v>326</v>
      </c>
      <c r="R775" t="s">
        <v>1821</v>
      </c>
      <c r="S775">
        <v>0</v>
      </c>
      <c r="T775">
        <v>0</v>
      </c>
      <c r="U775" t="s">
        <v>2290</v>
      </c>
      <c r="V775" t="s">
        <v>2291</v>
      </c>
      <c r="W775" t="s">
        <v>2292</v>
      </c>
      <c r="X775" t="s">
        <v>2288</v>
      </c>
      <c r="Y775" t="s">
        <v>2293</v>
      </c>
      <c r="Z775" t="s">
        <v>2315</v>
      </c>
      <c r="AA775">
        <v>10</v>
      </c>
      <c r="AB775" s="14">
        <v>80</v>
      </c>
      <c r="AC775" t="s">
        <v>2316</v>
      </c>
      <c r="AD775" t="s">
        <v>2317</v>
      </c>
      <c r="AE775" t="s">
        <v>2643</v>
      </c>
      <c r="AF775">
        <v>32</v>
      </c>
      <c r="AG775">
        <v>0</v>
      </c>
      <c r="AH775">
        <v>16</v>
      </c>
      <c r="AI775">
        <v>1</v>
      </c>
      <c r="AJ775">
        <v>1</v>
      </c>
      <c r="AK775">
        <v>0</v>
      </c>
      <c r="AL775">
        <v>1</v>
      </c>
      <c r="AM775" s="14">
        <v>0</v>
      </c>
      <c r="AN775" t="s">
        <v>2644</v>
      </c>
      <c r="AO775" s="12">
        <v>46143</v>
      </c>
      <c r="AP775">
        <v>2026</v>
      </c>
      <c r="AQ775">
        <v>5</v>
      </c>
      <c r="AR775" t="s">
        <v>2652</v>
      </c>
    </row>
    <row r="776" spans="1:44">
      <c r="A776" t="s">
        <v>2036</v>
      </c>
      <c r="B776" s="12">
        <v>46164</v>
      </c>
      <c r="C776" s="12">
        <v>46148</v>
      </c>
      <c r="D776" t="s">
        <v>759</v>
      </c>
      <c r="E776" t="s">
        <v>268</v>
      </c>
      <c r="F776" t="s">
        <v>282</v>
      </c>
      <c r="G776" t="s">
        <v>524</v>
      </c>
      <c r="H776" t="s">
        <v>122</v>
      </c>
      <c r="I776" t="s">
        <v>258</v>
      </c>
      <c r="J776" s="13">
        <v>0.4375</v>
      </c>
      <c r="K776" s="13"/>
      <c r="L776" s="13"/>
      <c r="M776">
        <v>0</v>
      </c>
      <c r="N776" s="14">
        <v>120</v>
      </c>
      <c r="O776" t="s">
        <v>195</v>
      </c>
      <c r="Q776" t="s">
        <v>262</v>
      </c>
      <c r="R776" t="s">
        <v>1821</v>
      </c>
      <c r="S776">
        <v>0</v>
      </c>
      <c r="T776">
        <v>0</v>
      </c>
      <c r="U776" t="s">
        <v>2285</v>
      </c>
      <c r="V776" t="s">
        <v>2286</v>
      </c>
      <c r="W776" t="s">
        <v>2287</v>
      </c>
      <c r="X776" t="s">
        <v>2288</v>
      </c>
      <c r="Y776" t="s">
        <v>2289</v>
      </c>
      <c r="Z776" t="s">
        <v>2309</v>
      </c>
      <c r="AA776">
        <v>14</v>
      </c>
      <c r="AB776" s="14">
        <v>120</v>
      </c>
      <c r="AC776" t="s">
        <v>2310</v>
      </c>
      <c r="AD776" t="s">
        <v>2311</v>
      </c>
      <c r="AE776" t="s">
        <v>2643</v>
      </c>
      <c r="AF776">
        <v>16</v>
      </c>
      <c r="AG776">
        <v>0</v>
      </c>
      <c r="AJ776">
        <v>1</v>
      </c>
      <c r="AK776">
        <v>1</v>
      </c>
      <c r="AL776">
        <v>1</v>
      </c>
      <c r="AM776" s="14">
        <v>0</v>
      </c>
      <c r="AN776" t="s">
        <v>2644</v>
      </c>
      <c r="AO776" s="12">
        <v>46143</v>
      </c>
      <c r="AP776">
        <v>2026</v>
      </c>
      <c r="AQ776">
        <v>5</v>
      </c>
      <c r="AR776" t="s">
        <v>2652</v>
      </c>
    </row>
    <row r="777" spans="1:44">
      <c r="A777" t="s">
        <v>2037</v>
      </c>
      <c r="B777" s="12">
        <v>46155</v>
      </c>
      <c r="C777" s="12">
        <v>46129</v>
      </c>
      <c r="D777" t="s">
        <v>2038</v>
      </c>
      <c r="E777" t="s">
        <v>339</v>
      </c>
      <c r="F777" t="s">
        <v>297</v>
      </c>
      <c r="G777" t="s">
        <v>780</v>
      </c>
      <c r="H777" t="s">
        <v>115</v>
      </c>
      <c r="I777" t="s">
        <v>271</v>
      </c>
      <c r="J777" s="13">
        <v>0.47916666666666669</v>
      </c>
      <c r="K777" s="13">
        <v>0.4861111111111111</v>
      </c>
      <c r="L777" s="13">
        <v>0.49166666666666664</v>
      </c>
      <c r="M777">
        <v>20</v>
      </c>
      <c r="N777" s="14">
        <v>65</v>
      </c>
      <c r="O777" t="s">
        <v>195</v>
      </c>
      <c r="P777">
        <v>2</v>
      </c>
      <c r="Q777" t="s">
        <v>305</v>
      </c>
      <c r="R777" t="s">
        <v>1821</v>
      </c>
      <c r="S777">
        <v>0</v>
      </c>
      <c r="T777">
        <v>0</v>
      </c>
      <c r="U777" t="s">
        <v>2294</v>
      </c>
      <c r="V777" t="s">
        <v>2295</v>
      </c>
      <c r="W777" t="s">
        <v>2296</v>
      </c>
      <c r="X777" t="s">
        <v>2297</v>
      </c>
      <c r="Y777" t="s">
        <v>2298</v>
      </c>
      <c r="Z777" t="s">
        <v>2306</v>
      </c>
      <c r="AA777">
        <v>7</v>
      </c>
      <c r="AB777" s="14">
        <v>65</v>
      </c>
      <c r="AC777" t="s">
        <v>2307</v>
      </c>
      <c r="AD777" t="s">
        <v>2308</v>
      </c>
      <c r="AE777" t="s">
        <v>2643</v>
      </c>
      <c r="AF777">
        <v>26</v>
      </c>
      <c r="AG777">
        <v>0</v>
      </c>
      <c r="AH777">
        <v>8</v>
      </c>
      <c r="AI777">
        <v>1</v>
      </c>
      <c r="AJ777">
        <v>1</v>
      </c>
      <c r="AK777">
        <v>0</v>
      </c>
      <c r="AL777">
        <v>1</v>
      </c>
      <c r="AM777" s="14">
        <v>0</v>
      </c>
      <c r="AN777" t="s">
        <v>2644</v>
      </c>
      <c r="AO777" s="12">
        <v>46143</v>
      </c>
      <c r="AP777">
        <v>2026</v>
      </c>
      <c r="AQ777">
        <v>5</v>
      </c>
      <c r="AR777" t="s">
        <v>2652</v>
      </c>
    </row>
    <row r="778" spans="1:44">
      <c r="A778" t="s">
        <v>2040</v>
      </c>
      <c r="B778" s="12">
        <v>46162</v>
      </c>
      <c r="C778" s="12">
        <v>46110</v>
      </c>
      <c r="D778" t="s">
        <v>1154</v>
      </c>
      <c r="E778" t="s">
        <v>255</v>
      </c>
      <c r="F778" t="s">
        <v>256</v>
      </c>
      <c r="G778" t="s">
        <v>398</v>
      </c>
      <c r="H778" t="s">
        <v>115</v>
      </c>
      <c r="I778" t="s">
        <v>271</v>
      </c>
      <c r="J778" s="13">
        <v>0.45833333333333331</v>
      </c>
      <c r="K778" s="13">
        <v>0.46319444444444446</v>
      </c>
      <c r="L778" s="13">
        <v>0.48541666666666666</v>
      </c>
      <c r="M778">
        <v>20</v>
      </c>
      <c r="N778" s="14">
        <v>95</v>
      </c>
      <c r="O778" t="s">
        <v>195</v>
      </c>
      <c r="P778">
        <v>4</v>
      </c>
      <c r="Q778" t="s">
        <v>318</v>
      </c>
      <c r="R778" t="s">
        <v>1821</v>
      </c>
      <c r="S778">
        <v>0</v>
      </c>
      <c r="T778">
        <v>0</v>
      </c>
      <c r="U778" t="s">
        <v>2299</v>
      </c>
      <c r="V778" t="s">
        <v>2295</v>
      </c>
      <c r="W778" t="s">
        <v>2300</v>
      </c>
      <c r="X778" t="s">
        <v>2288</v>
      </c>
      <c r="Y778" t="s">
        <v>2301</v>
      </c>
      <c r="Z778" t="s">
        <v>2312</v>
      </c>
      <c r="AA778">
        <v>21</v>
      </c>
      <c r="AB778" s="14">
        <v>95</v>
      </c>
      <c r="AC778" t="s">
        <v>2313</v>
      </c>
      <c r="AD778" t="s">
        <v>2314</v>
      </c>
      <c r="AE778" t="s">
        <v>2643</v>
      </c>
      <c r="AF778">
        <v>52</v>
      </c>
      <c r="AG778">
        <v>0</v>
      </c>
      <c r="AH778">
        <v>32</v>
      </c>
      <c r="AI778">
        <v>0</v>
      </c>
      <c r="AJ778">
        <v>1</v>
      </c>
      <c r="AK778">
        <v>0</v>
      </c>
      <c r="AL778">
        <v>1</v>
      </c>
      <c r="AM778" s="14">
        <v>0</v>
      </c>
      <c r="AN778" t="s">
        <v>2644</v>
      </c>
      <c r="AO778" s="12">
        <v>46143</v>
      </c>
      <c r="AP778">
        <v>2026</v>
      </c>
      <c r="AQ778">
        <v>5</v>
      </c>
      <c r="AR778" t="s">
        <v>2652</v>
      </c>
    </row>
    <row r="779" spans="1:44">
      <c r="A779" t="s">
        <v>2042</v>
      </c>
      <c r="B779" s="12">
        <v>46153</v>
      </c>
      <c r="C779" s="12">
        <v>46121</v>
      </c>
      <c r="D779" t="s">
        <v>843</v>
      </c>
      <c r="E779" t="s">
        <v>281</v>
      </c>
      <c r="F779" t="s">
        <v>282</v>
      </c>
      <c r="G779" t="s">
        <v>283</v>
      </c>
      <c r="H779" t="s">
        <v>115</v>
      </c>
      <c r="I779" t="s">
        <v>316</v>
      </c>
      <c r="J779" s="13">
        <v>0.5625</v>
      </c>
      <c r="K779" s="13">
        <v>0.55902777777777779</v>
      </c>
      <c r="L779" s="13">
        <v>0.58194444444444449</v>
      </c>
      <c r="M779">
        <v>20</v>
      </c>
      <c r="N779" s="14">
        <v>120</v>
      </c>
      <c r="O779" t="s">
        <v>169</v>
      </c>
      <c r="P779">
        <v>2</v>
      </c>
      <c r="Q779" t="s">
        <v>285</v>
      </c>
      <c r="R779" t="s">
        <v>1821</v>
      </c>
      <c r="S779">
        <v>0</v>
      </c>
      <c r="T779">
        <v>0</v>
      </c>
      <c r="U779" t="s">
        <v>2290</v>
      </c>
      <c r="V779" t="s">
        <v>2291</v>
      </c>
      <c r="W779" t="s">
        <v>2292</v>
      </c>
      <c r="X779" t="s">
        <v>2288</v>
      </c>
      <c r="Y779" t="s">
        <v>2293</v>
      </c>
      <c r="Z779" t="s">
        <v>2309</v>
      </c>
      <c r="AA779">
        <v>14</v>
      </c>
      <c r="AB779" s="14">
        <v>120</v>
      </c>
      <c r="AC779" t="s">
        <v>2310</v>
      </c>
      <c r="AD779" t="s">
        <v>2311</v>
      </c>
      <c r="AE779" t="s">
        <v>2643</v>
      </c>
      <c r="AF779">
        <v>32</v>
      </c>
      <c r="AG779">
        <v>0</v>
      </c>
      <c r="AH779">
        <v>33</v>
      </c>
      <c r="AI779">
        <v>0</v>
      </c>
      <c r="AJ779">
        <v>1</v>
      </c>
      <c r="AK779">
        <v>0</v>
      </c>
      <c r="AL779">
        <v>1</v>
      </c>
      <c r="AM779" s="14">
        <v>0</v>
      </c>
      <c r="AN779" t="s">
        <v>2644</v>
      </c>
      <c r="AO779" s="12">
        <v>46143</v>
      </c>
      <c r="AP779">
        <v>2026</v>
      </c>
      <c r="AQ779">
        <v>5</v>
      </c>
      <c r="AR779" t="s">
        <v>2652</v>
      </c>
    </row>
    <row r="780" spans="1:44">
      <c r="A780" t="s">
        <v>2043</v>
      </c>
      <c r="B780" s="12">
        <v>46145</v>
      </c>
      <c r="C780" s="12">
        <v>46117</v>
      </c>
      <c r="D780" t="s">
        <v>2044</v>
      </c>
      <c r="E780" t="s">
        <v>268</v>
      </c>
      <c r="F780" t="s">
        <v>297</v>
      </c>
      <c r="G780" t="s">
        <v>583</v>
      </c>
      <c r="H780" t="s">
        <v>115</v>
      </c>
      <c r="I780" t="s">
        <v>258</v>
      </c>
      <c r="J780" s="13">
        <v>0.58333333333333337</v>
      </c>
      <c r="K780" s="13">
        <v>0.59097222222222223</v>
      </c>
      <c r="L780" s="13">
        <v>0.59722222222222221</v>
      </c>
      <c r="M780">
        <v>45</v>
      </c>
      <c r="N780" s="14">
        <v>65</v>
      </c>
      <c r="O780" t="s">
        <v>195</v>
      </c>
      <c r="P780">
        <v>5</v>
      </c>
      <c r="Q780" t="s">
        <v>262</v>
      </c>
      <c r="R780" t="s">
        <v>1821</v>
      </c>
      <c r="S780">
        <v>0</v>
      </c>
      <c r="T780">
        <v>0</v>
      </c>
      <c r="U780" t="s">
        <v>2285</v>
      </c>
      <c r="V780" t="s">
        <v>2286</v>
      </c>
      <c r="W780" t="s">
        <v>2287</v>
      </c>
      <c r="X780" t="s">
        <v>2288</v>
      </c>
      <c r="Y780" t="s">
        <v>2289</v>
      </c>
      <c r="Z780" t="s">
        <v>2306</v>
      </c>
      <c r="AA780">
        <v>7</v>
      </c>
      <c r="AB780" s="14">
        <v>65</v>
      </c>
      <c r="AC780" t="s">
        <v>2307</v>
      </c>
      <c r="AD780" t="s">
        <v>2308</v>
      </c>
      <c r="AE780" t="s">
        <v>2643</v>
      </c>
      <c r="AF780">
        <v>28</v>
      </c>
      <c r="AG780">
        <v>0</v>
      </c>
      <c r="AH780">
        <v>9</v>
      </c>
      <c r="AI780">
        <v>1</v>
      </c>
      <c r="AJ780">
        <v>1</v>
      </c>
      <c r="AK780">
        <v>0</v>
      </c>
      <c r="AL780">
        <v>1</v>
      </c>
      <c r="AM780" s="14">
        <v>0</v>
      </c>
      <c r="AN780" t="s">
        <v>2644</v>
      </c>
      <c r="AO780" s="12">
        <v>46143</v>
      </c>
      <c r="AP780">
        <v>2026</v>
      </c>
      <c r="AQ780">
        <v>5</v>
      </c>
      <c r="AR780" t="s">
        <v>2652</v>
      </c>
    </row>
    <row r="781" spans="1:44">
      <c r="A781" t="s">
        <v>2045</v>
      </c>
      <c r="B781" s="12">
        <v>46147</v>
      </c>
      <c r="C781" s="12">
        <v>46095</v>
      </c>
      <c r="D781" t="s">
        <v>820</v>
      </c>
      <c r="E781" t="s">
        <v>268</v>
      </c>
      <c r="F781" t="s">
        <v>297</v>
      </c>
      <c r="G781" t="s">
        <v>583</v>
      </c>
      <c r="H781" t="s">
        <v>115</v>
      </c>
      <c r="I781" t="s">
        <v>316</v>
      </c>
      <c r="J781" s="13">
        <v>0.35416666666666669</v>
      </c>
      <c r="K781" s="13">
        <v>0.36249999999999999</v>
      </c>
      <c r="L781" s="13">
        <v>0.37152777777777779</v>
      </c>
      <c r="M781">
        <v>60</v>
      </c>
      <c r="N781" s="14">
        <v>65</v>
      </c>
      <c r="O781" t="s">
        <v>195</v>
      </c>
      <c r="P781">
        <v>2</v>
      </c>
      <c r="Q781" t="s">
        <v>285</v>
      </c>
      <c r="R781" t="s">
        <v>1821</v>
      </c>
      <c r="S781">
        <v>0</v>
      </c>
      <c r="T781">
        <v>0</v>
      </c>
      <c r="U781" t="s">
        <v>2285</v>
      </c>
      <c r="V781" t="s">
        <v>2286</v>
      </c>
      <c r="W781" t="s">
        <v>2287</v>
      </c>
      <c r="X781" t="s">
        <v>2288</v>
      </c>
      <c r="Y781" t="s">
        <v>2289</v>
      </c>
      <c r="Z781" t="s">
        <v>2306</v>
      </c>
      <c r="AA781">
        <v>7</v>
      </c>
      <c r="AB781" s="14">
        <v>65</v>
      </c>
      <c r="AC781" t="s">
        <v>2307</v>
      </c>
      <c r="AD781" t="s">
        <v>2308</v>
      </c>
      <c r="AE781" t="s">
        <v>2643</v>
      </c>
      <c r="AF781">
        <v>52</v>
      </c>
      <c r="AG781">
        <v>0</v>
      </c>
      <c r="AH781">
        <v>13</v>
      </c>
      <c r="AI781">
        <v>1</v>
      </c>
      <c r="AJ781">
        <v>1</v>
      </c>
      <c r="AK781">
        <v>0</v>
      </c>
      <c r="AL781">
        <v>1</v>
      </c>
      <c r="AM781" s="14">
        <v>0</v>
      </c>
      <c r="AN781" t="s">
        <v>2644</v>
      </c>
      <c r="AO781" s="12">
        <v>46143</v>
      </c>
      <c r="AP781">
        <v>2026</v>
      </c>
      <c r="AQ781">
        <v>5</v>
      </c>
      <c r="AR781" t="s">
        <v>2652</v>
      </c>
    </row>
    <row r="782" spans="1:44">
      <c r="A782" t="s">
        <v>2046</v>
      </c>
      <c r="B782" s="12">
        <v>46143</v>
      </c>
      <c r="C782" s="12">
        <v>46125</v>
      </c>
      <c r="D782" t="s">
        <v>1280</v>
      </c>
      <c r="E782" t="s">
        <v>281</v>
      </c>
      <c r="F782" t="s">
        <v>282</v>
      </c>
      <c r="G782" t="s">
        <v>446</v>
      </c>
      <c r="H782" t="s">
        <v>115</v>
      </c>
      <c r="I782" t="s">
        <v>258</v>
      </c>
      <c r="J782" s="13">
        <v>0.52083333333333337</v>
      </c>
      <c r="K782" s="13">
        <v>0.52222222222222225</v>
      </c>
      <c r="L782" s="13">
        <v>0.5444444444444444</v>
      </c>
      <c r="M782">
        <v>30</v>
      </c>
      <c r="N782" s="14">
        <v>120</v>
      </c>
      <c r="O782" t="s">
        <v>195</v>
      </c>
      <c r="P782">
        <v>3</v>
      </c>
      <c r="Q782" t="s">
        <v>262</v>
      </c>
      <c r="R782" t="s">
        <v>1821</v>
      </c>
      <c r="S782">
        <v>0</v>
      </c>
      <c r="T782">
        <v>0</v>
      </c>
      <c r="U782" t="s">
        <v>2290</v>
      </c>
      <c r="V782" t="s">
        <v>2291</v>
      </c>
      <c r="W782" t="s">
        <v>2292</v>
      </c>
      <c r="X782" t="s">
        <v>2288</v>
      </c>
      <c r="Y782" t="s">
        <v>2293</v>
      </c>
      <c r="Z782" t="s">
        <v>2309</v>
      </c>
      <c r="AA782">
        <v>14</v>
      </c>
      <c r="AB782" s="14">
        <v>120</v>
      </c>
      <c r="AC782" t="s">
        <v>2310</v>
      </c>
      <c r="AD782" t="s">
        <v>2311</v>
      </c>
      <c r="AE782" t="s">
        <v>2643</v>
      </c>
      <c r="AF782">
        <v>18</v>
      </c>
      <c r="AG782">
        <v>0</v>
      </c>
      <c r="AH782">
        <v>32</v>
      </c>
      <c r="AI782">
        <v>0</v>
      </c>
      <c r="AJ782">
        <v>1</v>
      </c>
      <c r="AK782">
        <v>0</v>
      </c>
      <c r="AL782">
        <v>1</v>
      </c>
      <c r="AM782" s="14">
        <v>0</v>
      </c>
      <c r="AN782" t="s">
        <v>2644</v>
      </c>
      <c r="AO782" s="12">
        <v>46143</v>
      </c>
      <c r="AP782">
        <v>2026</v>
      </c>
      <c r="AQ782">
        <v>5</v>
      </c>
      <c r="AR782" t="s">
        <v>2652</v>
      </c>
    </row>
    <row r="783" spans="1:44">
      <c r="A783" t="s">
        <v>2047</v>
      </c>
      <c r="B783" s="12">
        <v>46161</v>
      </c>
      <c r="C783" s="12">
        <v>46128</v>
      </c>
      <c r="D783" t="s">
        <v>970</v>
      </c>
      <c r="E783" t="s">
        <v>255</v>
      </c>
      <c r="F783" t="s">
        <v>409</v>
      </c>
      <c r="G783" t="s">
        <v>648</v>
      </c>
      <c r="H783" t="s">
        <v>115</v>
      </c>
      <c r="I783" t="s">
        <v>258</v>
      </c>
      <c r="J783" s="13">
        <v>0.4375</v>
      </c>
      <c r="K783" s="13">
        <v>0.43125000000000002</v>
      </c>
      <c r="L783" s="13">
        <v>0.45624999999999999</v>
      </c>
      <c r="M783">
        <v>30</v>
      </c>
      <c r="N783" s="14">
        <v>150</v>
      </c>
      <c r="O783" t="s">
        <v>195</v>
      </c>
      <c r="P783">
        <v>2</v>
      </c>
      <c r="Q783" t="s">
        <v>326</v>
      </c>
      <c r="R783" t="s">
        <v>1821</v>
      </c>
      <c r="S783">
        <v>0</v>
      </c>
      <c r="T783">
        <v>0</v>
      </c>
      <c r="U783" t="s">
        <v>2299</v>
      </c>
      <c r="V783" t="s">
        <v>2295</v>
      </c>
      <c r="W783" t="s">
        <v>2300</v>
      </c>
      <c r="X783" t="s">
        <v>2288</v>
      </c>
      <c r="Y783" t="s">
        <v>2301</v>
      </c>
      <c r="Z783" t="s">
        <v>2318</v>
      </c>
      <c r="AA783">
        <v>28</v>
      </c>
      <c r="AB783" s="14">
        <v>150</v>
      </c>
      <c r="AC783" t="s">
        <v>2319</v>
      </c>
      <c r="AD783" t="s">
        <v>2320</v>
      </c>
      <c r="AE783" t="s">
        <v>2643</v>
      </c>
      <c r="AF783">
        <v>33</v>
      </c>
      <c r="AG783">
        <v>0</v>
      </c>
      <c r="AH783">
        <v>36</v>
      </c>
      <c r="AI783">
        <v>0</v>
      </c>
      <c r="AJ783">
        <v>1</v>
      </c>
      <c r="AK783">
        <v>0</v>
      </c>
      <c r="AL783">
        <v>1</v>
      </c>
      <c r="AM783" s="14">
        <v>0</v>
      </c>
      <c r="AN783" t="s">
        <v>2644</v>
      </c>
      <c r="AO783" s="12">
        <v>46143</v>
      </c>
      <c r="AP783">
        <v>2026</v>
      </c>
      <c r="AQ783">
        <v>5</v>
      </c>
      <c r="AR783" t="s">
        <v>2652</v>
      </c>
    </row>
    <row r="784" spans="1:44">
      <c r="A784" t="s">
        <v>2048</v>
      </c>
      <c r="B784" s="12">
        <v>46173</v>
      </c>
      <c r="C784" s="12">
        <v>46146</v>
      </c>
      <c r="D784" t="s">
        <v>1222</v>
      </c>
      <c r="E784" t="s">
        <v>281</v>
      </c>
      <c r="F784" t="s">
        <v>297</v>
      </c>
      <c r="G784" t="s">
        <v>298</v>
      </c>
      <c r="H784" t="s">
        <v>466</v>
      </c>
      <c r="I784" t="s">
        <v>299</v>
      </c>
      <c r="J784" s="13">
        <v>0.33333333333333331</v>
      </c>
      <c r="K784" s="13"/>
      <c r="L784" s="13"/>
      <c r="M784">
        <v>0</v>
      </c>
      <c r="N784" s="14">
        <v>65</v>
      </c>
      <c r="O784" t="s">
        <v>195</v>
      </c>
      <c r="Q784" t="s">
        <v>326</v>
      </c>
      <c r="R784" t="s">
        <v>1821</v>
      </c>
      <c r="S784">
        <v>0</v>
      </c>
      <c r="T784">
        <v>0</v>
      </c>
      <c r="U784" t="s">
        <v>2290</v>
      </c>
      <c r="V784" t="s">
        <v>2291</v>
      </c>
      <c r="W784" t="s">
        <v>2292</v>
      </c>
      <c r="X784" t="s">
        <v>2288</v>
      </c>
      <c r="Y784" t="s">
        <v>2293</v>
      </c>
      <c r="Z784" t="s">
        <v>2306</v>
      </c>
      <c r="AA784">
        <v>7</v>
      </c>
      <c r="AB784" s="14">
        <v>65</v>
      </c>
      <c r="AC784" t="s">
        <v>2307</v>
      </c>
      <c r="AD784" t="s">
        <v>2308</v>
      </c>
      <c r="AE784" t="s">
        <v>2643</v>
      </c>
      <c r="AF784">
        <v>27</v>
      </c>
      <c r="AG784">
        <v>0</v>
      </c>
      <c r="AJ784">
        <v>0</v>
      </c>
      <c r="AL784">
        <v>1</v>
      </c>
      <c r="AM784" s="14">
        <v>0</v>
      </c>
      <c r="AN784" t="s">
        <v>2644</v>
      </c>
      <c r="AO784" s="12">
        <v>46143</v>
      </c>
      <c r="AP784">
        <v>2026</v>
      </c>
      <c r="AQ784">
        <v>5</v>
      </c>
      <c r="AR784" t="s">
        <v>2652</v>
      </c>
    </row>
    <row r="785" spans="1:44">
      <c r="A785" t="s">
        <v>2049</v>
      </c>
      <c r="B785" s="12">
        <v>46159</v>
      </c>
      <c r="C785" s="12">
        <v>46145</v>
      </c>
      <c r="D785" t="s">
        <v>1126</v>
      </c>
      <c r="E785" t="s">
        <v>268</v>
      </c>
      <c r="F785" t="s">
        <v>256</v>
      </c>
      <c r="G785" t="s">
        <v>886</v>
      </c>
      <c r="H785" t="s">
        <v>115</v>
      </c>
      <c r="I785" t="s">
        <v>316</v>
      </c>
      <c r="J785" s="13">
        <v>0.375</v>
      </c>
      <c r="K785" s="13">
        <v>0.37291666666666667</v>
      </c>
      <c r="L785" s="13">
        <v>0.38194444444444442</v>
      </c>
      <c r="M785">
        <v>20</v>
      </c>
      <c r="O785" t="s">
        <v>195</v>
      </c>
      <c r="P785">
        <v>4</v>
      </c>
      <c r="Q785" t="s">
        <v>326</v>
      </c>
      <c r="R785" t="s">
        <v>1821</v>
      </c>
      <c r="S785">
        <v>0</v>
      </c>
      <c r="T785">
        <v>0</v>
      </c>
      <c r="U785" t="s">
        <v>2285</v>
      </c>
      <c r="V785" t="s">
        <v>2286</v>
      </c>
      <c r="W785" t="s">
        <v>2287</v>
      </c>
      <c r="X785" t="s">
        <v>2288</v>
      </c>
      <c r="Y785" t="s">
        <v>2289</v>
      </c>
      <c r="Z785" t="s">
        <v>2312</v>
      </c>
      <c r="AA785">
        <v>21</v>
      </c>
      <c r="AB785" s="14">
        <v>95</v>
      </c>
      <c r="AC785" t="s">
        <v>2313</v>
      </c>
      <c r="AD785" t="s">
        <v>2314</v>
      </c>
      <c r="AE785" t="s">
        <v>2643</v>
      </c>
      <c r="AF785">
        <v>14</v>
      </c>
      <c r="AG785">
        <v>1</v>
      </c>
      <c r="AH785">
        <v>13</v>
      </c>
      <c r="AI785">
        <v>1</v>
      </c>
      <c r="AJ785">
        <v>1</v>
      </c>
      <c r="AK785">
        <v>0</v>
      </c>
      <c r="AL785">
        <v>0</v>
      </c>
      <c r="AN785" t="s">
        <v>2648</v>
      </c>
      <c r="AO785" s="12">
        <v>46143</v>
      </c>
      <c r="AP785">
        <v>2026</v>
      </c>
      <c r="AQ785">
        <v>5</v>
      </c>
      <c r="AR785" t="s">
        <v>2652</v>
      </c>
    </row>
    <row r="786" spans="1:44">
      <c r="A786" t="s">
        <v>2050</v>
      </c>
      <c r="B786" s="12">
        <v>46155</v>
      </c>
      <c r="C786" s="12">
        <v>46101</v>
      </c>
      <c r="D786" t="s">
        <v>1060</v>
      </c>
      <c r="E786" t="s">
        <v>255</v>
      </c>
      <c r="F786" t="s">
        <v>256</v>
      </c>
      <c r="G786" t="s">
        <v>257</v>
      </c>
      <c r="H786" t="s">
        <v>466</v>
      </c>
      <c r="I786" t="s">
        <v>316</v>
      </c>
      <c r="J786" s="13">
        <v>0.35416666666666669</v>
      </c>
      <c r="K786" s="13"/>
      <c r="L786" s="13"/>
      <c r="M786">
        <v>0</v>
      </c>
      <c r="N786" s="14">
        <v>95</v>
      </c>
      <c r="O786" t="s">
        <v>195</v>
      </c>
      <c r="Q786" t="s">
        <v>318</v>
      </c>
      <c r="R786" t="s">
        <v>1821</v>
      </c>
      <c r="S786">
        <v>0</v>
      </c>
      <c r="T786">
        <v>0</v>
      </c>
      <c r="U786" t="s">
        <v>2299</v>
      </c>
      <c r="V786" t="s">
        <v>2295</v>
      </c>
      <c r="W786" t="s">
        <v>2300</v>
      </c>
      <c r="X786" t="s">
        <v>2288</v>
      </c>
      <c r="Y786" t="s">
        <v>2301</v>
      </c>
      <c r="Z786" t="s">
        <v>2312</v>
      </c>
      <c r="AA786">
        <v>21</v>
      </c>
      <c r="AB786" s="14">
        <v>95</v>
      </c>
      <c r="AC786" t="s">
        <v>2313</v>
      </c>
      <c r="AD786" t="s">
        <v>2314</v>
      </c>
      <c r="AE786" t="s">
        <v>2643</v>
      </c>
      <c r="AF786">
        <v>54</v>
      </c>
      <c r="AG786">
        <v>0</v>
      </c>
      <c r="AJ786">
        <v>0</v>
      </c>
      <c r="AL786">
        <v>1</v>
      </c>
      <c r="AM786" s="14">
        <v>0</v>
      </c>
      <c r="AN786" t="s">
        <v>2644</v>
      </c>
      <c r="AO786" s="12">
        <v>46143</v>
      </c>
      <c r="AP786">
        <v>2026</v>
      </c>
      <c r="AQ786">
        <v>5</v>
      </c>
      <c r="AR786" t="s">
        <v>2652</v>
      </c>
    </row>
    <row r="787" spans="1:44">
      <c r="A787" t="s">
        <v>2051</v>
      </c>
      <c r="B787" s="12">
        <v>46172</v>
      </c>
      <c r="C787" s="12">
        <v>46169</v>
      </c>
      <c r="D787" t="s">
        <v>786</v>
      </c>
      <c r="E787" t="s">
        <v>281</v>
      </c>
      <c r="F787" t="s">
        <v>297</v>
      </c>
      <c r="G787" t="s">
        <v>368</v>
      </c>
      <c r="H787" t="s">
        <v>115</v>
      </c>
      <c r="I787" t="s">
        <v>271</v>
      </c>
      <c r="J787" s="13">
        <v>0.41666666666666669</v>
      </c>
      <c r="K787" s="13">
        <v>0.4152777777777778</v>
      </c>
      <c r="L787" s="13">
        <v>0.43263888888888891</v>
      </c>
      <c r="M787">
        <v>60</v>
      </c>
      <c r="N787" s="14">
        <v>65</v>
      </c>
      <c r="O787" t="s">
        <v>195</v>
      </c>
      <c r="P787">
        <v>5</v>
      </c>
      <c r="Q787" t="s">
        <v>305</v>
      </c>
      <c r="R787" t="s">
        <v>1821</v>
      </c>
      <c r="S787">
        <v>0</v>
      </c>
      <c r="T787">
        <v>0</v>
      </c>
      <c r="U787" t="s">
        <v>2290</v>
      </c>
      <c r="V787" t="s">
        <v>2291</v>
      </c>
      <c r="W787" t="s">
        <v>2292</v>
      </c>
      <c r="X787" t="s">
        <v>2288</v>
      </c>
      <c r="Y787" t="s">
        <v>2293</v>
      </c>
      <c r="Z787" t="s">
        <v>2306</v>
      </c>
      <c r="AA787">
        <v>7</v>
      </c>
      <c r="AB787" s="14">
        <v>65</v>
      </c>
      <c r="AC787" t="s">
        <v>2307</v>
      </c>
      <c r="AD787" t="s">
        <v>2308</v>
      </c>
      <c r="AE787" t="s">
        <v>2643</v>
      </c>
      <c r="AF787">
        <v>3</v>
      </c>
      <c r="AG787">
        <v>1</v>
      </c>
      <c r="AH787">
        <v>25</v>
      </c>
      <c r="AI787">
        <v>1</v>
      </c>
      <c r="AJ787">
        <v>1</v>
      </c>
      <c r="AK787">
        <v>0</v>
      </c>
      <c r="AL787">
        <v>1</v>
      </c>
      <c r="AM787" s="14">
        <v>0</v>
      </c>
      <c r="AN787" t="s">
        <v>2644</v>
      </c>
      <c r="AO787" s="12">
        <v>46143</v>
      </c>
      <c r="AP787">
        <v>2026</v>
      </c>
      <c r="AQ787">
        <v>5</v>
      </c>
      <c r="AR787" t="s">
        <v>2652</v>
      </c>
    </row>
    <row r="788" spans="1:44">
      <c r="A788" t="s">
        <v>2052</v>
      </c>
      <c r="B788" s="12">
        <v>46147</v>
      </c>
      <c r="C788" s="12">
        <v>46094</v>
      </c>
      <c r="D788" t="s">
        <v>1503</v>
      </c>
      <c r="E788" t="s">
        <v>281</v>
      </c>
      <c r="F788" t="s">
        <v>269</v>
      </c>
      <c r="G788" t="s">
        <v>363</v>
      </c>
      <c r="H788" t="s">
        <v>115</v>
      </c>
      <c r="I788" t="s">
        <v>299</v>
      </c>
      <c r="J788" s="13">
        <v>0.4375</v>
      </c>
      <c r="K788" s="13">
        <v>0.44513888888888886</v>
      </c>
      <c r="L788" s="13">
        <v>0.46458333333333335</v>
      </c>
      <c r="M788">
        <v>30</v>
      </c>
      <c r="N788" s="14">
        <v>80</v>
      </c>
      <c r="O788" t="s">
        <v>169</v>
      </c>
      <c r="P788">
        <v>5</v>
      </c>
      <c r="Q788" t="s">
        <v>285</v>
      </c>
      <c r="R788" t="s">
        <v>1821</v>
      </c>
      <c r="S788">
        <v>0</v>
      </c>
      <c r="T788">
        <v>0</v>
      </c>
      <c r="U788" t="s">
        <v>2290</v>
      </c>
      <c r="V788" t="s">
        <v>2291</v>
      </c>
      <c r="W788" t="s">
        <v>2292</v>
      </c>
      <c r="X788" t="s">
        <v>2288</v>
      </c>
      <c r="Y788" t="s">
        <v>2293</v>
      </c>
      <c r="Z788" t="s">
        <v>2315</v>
      </c>
      <c r="AA788">
        <v>10</v>
      </c>
      <c r="AB788" s="14">
        <v>80</v>
      </c>
      <c r="AC788" t="s">
        <v>2316</v>
      </c>
      <c r="AD788" t="s">
        <v>2317</v>
      </c>
      <c r="AE788" t="s">
        <v>2643</v>
      </c>
      <c r="AF788">
        <v>53</v>
      </c>
      <c r="AG788">
        <v>0</v>
      </c>
      <c r="AH788">
        <v>28</v>
      </c>
      <c r="AI788">
        <v>1</v>
      </c>
      <c r="AJ788">
        <v>1</v>
      </c>
      <c r="AK788">
        <v>0</v>
      </c>
      <c r="AL788">
        <v>1</v>
      </c>
      <c r="AM788" s="14">
        <v>0</v>
      </c>
      <c r="AN788" t="s">
        <v>2644</v>
      </c>
      <c r="AO788" s="12">
        <v>46143</v>
      </c>
      <c r="AP788">
        <v>2026</v>
      </c>
      <c r="AQ788">
        <v>5</v>
      </c>
      <c r="AR788" t="s">
        <v>2652</v>
      </c>
    </row>
    <row r="789" spans="1:44">
      <c r="A789" t="s">
        <v>2053</v>
      </c>
      <c r="B789" s="12">
        <v>46163</v>
      </c>
      <c r="C789" s="12">
        <v>46139</v>
      </c>
      <c r="D789" t="s">
        <v>930</v>
      </c>
      <c r="E789" t="s">
        <v>255</v>
      </c>
      <c r="F789" t="s">
        <v>269</v>
      </c>
      <c r="G789" t="s">
        <v>542</v>
      </c>
      <c r="H789" t="s">
        <v>115</v>
      </c>
      <c r="I789" t="s">
        <v>258</v>
      </c>
      <c r="J789" s="13">
        <v>0.58333333333333337</v>
      </c>
      <c r="K789" s="13">
        <v>0.59236111111111112</v>
      </c>
      <c r="L789" s="13">
        <v>0.60486111111111107</v>
      </c>
      <c r="M789">
        <v>20</v>
      </c>
      <c r="N789" s="14">
        <v>80</v>
      </c>
      <c r="O789" t="s">
        <v>195</v>
      </c>
      <c r="P789">
        <v>2</v>
      </c>
      <c r="Q789" t="s">
        <v>262</v>
      </c>
      <c r="R789" t="s">
        <v>1821</v>
      </c>
      <c r="S789">
        <v>0</v>
      </c>
      <c r="T789">
        <v>0</v>
      </c>
      <c r="U789" t="s">
        <v>2299</v>
      </c>
      <c r="V789" t="s">
        <v>2295</v>
      </c>
      <c r="W789" t="s">
        <v>2300</v>
      </c>
      <c r="X789" t="s">
        <v>2288</v>
      </c>
      <c r="Y789" t="s">
        <v>2301</v>
      </c>
      <c r="Z789" t="s">
        <v>2315</v>
      </c>
      <c r="AA789">
        <v>10</v>
      </c>
      <c r="AB789" s="14">
        <v>80</v>
      </c>
      <c r="AC789" t="s">
        <v>2316</v>
      </c>
      <c r="AD789" t="s">
        <v>2317</v>
      </c>
      <c r="AE789" t="s">
        <v>2643</v>
      </c>
      <c r="AF789">
        <v>24</v>
      </c>
      <c r="AG789">
        <v>0</v>
      </c>
      <c r="AH789">
        <v>18</v>
      </c>
      <c r="AI789">
        <v>1</v>
      </c>
      <c r="AJ789">
        <v>1</v>
      </c>
      <c r="AK789">
        <v>0</v>
      </c>
      <c r="AL789">
        <v>1</v>
      </c>
      <c r="AM789" s="14">
        <v>0</v>
      </c>
      <c r="AN789" t="s">
        <v>2644</v>
      </c>
      <c r="AO789" s="12">
        <v>46143</v>
      </c>
      <c r="AP789">
        <v>2026</v>
      </c>
      <c r="AQ789">
        <v>5</v>
      </c>
      <c r="AR789" t="s">
        <v>2652</v>
      </c>
    </row>
    <row r="790" spans="1:44">
      <c r="A790" t="s">
        <v>2054</v>
      </c>
      <c r="B790" s="12">
        <v>46144</v>
      </c>
      <c r="C790" s="12">
        <v>46089</v>
      </c>
      <c r="D790" t="s">
        <v>1299</v>
      </c>
      <c r="E790" t="s">
        <v>268</v>
      </c>
      <c r="F790" t="s">
        <v>297</v>
      </c>
      <c r="G790" t="s">
        <v>583</v>
      </c>
      <c r="H790" t="s">
        <v>115</v>
      </c>
      <c r="I790" t="s">
        <v>316</v>
      </c>
      <c r="J790" s="13">
        <v>0.5625</v>
      </c>
      <c r="K790" s="13">
        <v>0.5625</v>
      </c>
      <c r="L790" s="13">
        <v>0.58611111111111114</v>
      </c>
      <c r="M790">
        <v>30</v>
      </c>
      <c r="N790" s="14">
        <v>65</v>
      </c>
      <c r="O790" t="s">
        <v>195</v>
      </c>
      <c r="P790">
        <v>2</v>
      </c>
      <c r="Q790" t="s">
        <v>318</v>
      </c>
      <c r="R790" t="s">
        <v>1821</v>
      </c>
      <c r="S790">
        <v>0</v>
      </c>
      <c r="T790">
        <v>0</v>
      </c>
      <c r="U790" t="s">
        <v>2285</v>
      </c>
      <c r="V790" t="s">
        <v>2286</v>
      </c>
      <c r="W790" t="s">
        <v>2287</v>
      </c>
      <c r="X790" t="s">
        <v>2288</v>
      </c>
      <c r="Y790" t="s">
        <v>2289</v>
      </c>
      <c r="Z790" t="s">
        <v>2306</v>
      </c>
      <c r="AA790">
        <v>7</v>
      </c>
      <c r="AB790" s="14">
        <v>65</v>
      </c>
      <c r="AC790" t="s">
        <v>2307</v>
      </c>
      <c r="AD790" t="s">
        <v>2308</v>
      </c>
      <c r="AE790" t="s">
        <v>2643</v>
      </c>
      <c r="AF790">
        <v>55</v>
      </c>
      <c r="AG790">
        <v>0</v>
      </c>
      <c r="AH790">
        <v>34</v>
      </c>
      <c r="AI790">
        <v>0</v>
      </c>
      <c r="AJ790">
        <v>1</v>
      </c>
      <c r="AK790">
        <v>0</v>
      </c>
      <c r="AL790">
        <v>1</v>
      </c>
      <c r="AM790" s="14">
        <v>0</v>
      </c>
      <c r="AN790" t="s">
        <v>2644</v>
      </c>
      <c r="AO790" s="12">
        <v>46143</v>
      </c>
      <c r="AP790">
        <v>2026</v>
      </c>
      <c r="AQ790">
        <v>5</v>
      </c>
      <c r="AR790" t="s">
        <v>2652</v>
      </c>
    </row>
    <row r="791" spans="1:44">
      <c r="A791" t="s">
        <v>2055</v>
      </c>
      <c r="B791" s="12">
        <v>46150</v>
      </c>
      <c r="C791" s="12">
        <v>46111</v>
      </c>
      <c r="D791" t="s">
        <v>982</v>
      </c>
      <c r="E791" t="s">
        <v>268</v>
      </c>
      <c r="F791" t="s">
        <v>297</v>
      </c>
      <c r="G791" t="s">
        <v>628</v>
      </c>
      <c r="H791" t="s">
        <v>466</v>
      </c>
      <c r="I791" t="s">
        <v>271</v>
      </c>
      <c r="J791" s="13">
        <v>0.375</v>
      </c>
      <c r="K791" s="13"/>
      <c r="L791" s="13"/>
      <c r="M791">
        <v>0</v>
      </c>
      <c r="N791" s="14">
        <v>65</v>
      </c>
      <c r="O791" t="s">
        <v>195</v>
      </c>
      <c r="Q791" t="s">
        <v>318</v>
      </c>
      <c r="R791" t="s">
        <v>1821</v>
      </c>
      <c r="S791">
        <v>0</v>
      </c>
      <c r="T791">
        <v>0</v>
      </c>
      <c r="U791" t="s">
        <v>2285</v>
      </c>
      <c r="V791" t="s">
        <v>2286</v>
      </c>
      <c r="W791" t="s">
        <v>2287</v>
      </c>
      <c r="X791" t="s">
        <v>2288</v>
      </c>
      <c r="Y791" t="s">
        <v>2289</v>
      </c>
      <c r="Z791" t="s">
        <v>2306</v>
      </c>
      <c r="AA791">
        <v>7</v>
      </c>
      <c r="AB791" s="14">
        <v>65</v>
      </c>
      <c r="AC791" t="s">
        <v>2307</v>
      </c>
      <c r="AD791" t="s">
        <v>2308</v>
      </c>
      <c r="AE791" t="s">
        <v>2643</v>
      </c>
      <c r="AF791">
        <v>39</v>
      </c>
      <c r="AG791">
        <v>0</v>
      </c>
      <c r="AJ791">
        <v>0</v>
      </c>
      <c r="AL791">
        <v>1</v>
      </c>
      <c r="AM791" s="14">
        <v>0</v>
      </c>
      <c r="AN791" t="s">
        <v>2644</v>
      </c>
      <c r="AO791" s="12">
        <v>46143</v>
      </c>
      <c r="AP791">
        <v>2026</v>
      </c>
      <c r="AQ791">
        <v>5</v>
      </c>
      <c r="AR791" t="s">
        <v>2652</v>
      </c>
    </row>
    <row r="792" spans="1:44">
      <c r="A792" t="s">
        <v>2056</v>
      </c>
      <c r="B792" s="12">
        <v>46155</v>
      </c>
      <c r="C792" s="12">
        <v>46100</v>
      </c>
      <c r="D792" t="s">
        <v>736</v>
      </c>
      <c r="E792" t="s">
        <v>281</v>
      </c>
      <c r="F792" t="s">
        <v>282</v>
      </c>
      <c r="G792" t="s">
        <v>446</v>
      </c>
      <c r="H792" t="s">
        <v>115</v>
      </c>
      <c r="I792" t="s">
        <v>271</v>
      </c>
      <c r="J792" s="13">
        <v>0.52083333333333337</v>
      </c>
      <c r="K792" s="13">
        <v>0.51944444444444449</v>
      </c>
      <c r="L792" s="13">
        <v>0.53888888888888886</v>
      </c>
      <c r="M792">
        <v>20</v>
      </c>
      <c r="N792" s="14">
        <v>120</v>
      </c>
      <c r="O792" t="s">
        <v>195</v>
      </c>
      <c r="P792">
        <v>5</v>
      </c>
      <c r="Q792" t="s">
        <v>305</v>
      </c>
      <c r="R792" t="s">
        <v>1821</v>
      </c>
      <c r="S792">
        <v>0</v>
      </c>
      <c r="T792">
        <v>0</v>
      </c>
      <c r="U792" t="s">
        <v>2290</v>
      </c>
      <c r="V792" t="s">
        <v>2291</v>
      </c>
      <c r="W792" t="s">
        <v>2292</v>
      </c>
      <c r="X792" t="s">
        <v>2288</v>
      </c>
      <c r="Y792" t="s">
        <v>2293</v>
      </c>
      <c r="Z792" t="s">
        <v>2309</v>
      </c>
      <c r="AA792">
        <v>14</v>
      </c>
      <c r="AB792" s="14">
        <v>120</v>
      </c>
      <c r="AC792" t="s">
        <v>2310</v>
      </c>
      <c r="AD792" t="s">
        <v>2311</v>
      </c>
      <c r="AE792" t="s">
        <v>2643</v>
      </c>
      <c r="AF792">
        <v>55</v>
      </c>
      <c r="AG792">
        <v>0</v>
      </c>
      <c r="AH792">
        <v>28</v>
      </c>
      <c r="AI792">
        <v>1</v>
      </c>
      <c r="AJ792">
        <v>1</v>
      </c>
      <c r="AK792">
        <v>0</v>
      </c>
      <c r="AL792">
        <v>1</v>
      </c>
      <c r="AM792" s="14">
        <v>0</v>
      </c>
      <c r="AN792" t="s">
        <v>2644</v>
      </c>
      <c r="AO792" s="12">
        <v>46143</v>
      </c>
      <c r="AP792">
        <v>2026</v>
      </c>
      <c r="AQ792">
        <v>5</v>
      </c>
      <c r="AR792" t="s">
        <v>2652</v>
      </c>
    </row>
    <row r="793" spans="1:44">
      <c r="A793" t="s">
        <v>2057</v>
      </c>
      <c r="B793" s="12">
        <v>46170</v>
      </c>
      <c r="C793" s="12">
        <v>46145</v>
      </c>
      <c r="D793" t="s">
        <v>715</v>
      </c>
      <c r="E793" t="s">
        <v>281</v>
      </c>
      <c r="F793" t="s">
        <v>282</v>
      </c>
      <c r="G793" t="s">
        <v>283</v>
      </c>
      <c r="H793" t="s">
        <v>115</v>
      </c>
      <c r="I793" t="s">
        <v>316</v>
      </c>
      <c r="J793" s="13">
        <v>0.625</v>
      </c>
      <c r="K793" s="13">
        <v>0.62083333333333335</v>
      </c>
      <c r="L793" s="13">
        <v>0.63541666666666663</v>
      </c>
      <c r="M793">
        <v>30</v>
      </c>
      <c r="N793" s="14">
        <v>120</v>
      </c>
      <c r="O793" t="s">
        <v>169</v>
      </c>
      <c r="P793">
        <v>2</v>
      </c>
      <c r="Q793" t="s">
        <v>305</v>
      </c>
      <c r="R793" t="s">
        <v>1821</v>
      </c>
      <c r="S793">
        <v>0</v>
      </c>
      <c r="T793">
        <v>0</v>
      </c>
      <c r="U793" t="s">
        <v>2290</v>
      </c>
      <c r="V793" t="s">
        <v>2291</v>
      </c>
      <c r="W793" t="s">
        <v>2292</v>
      </c>
      <c r="X793" t="s">
        <v>2288</v>
      </c>
      <c r="Y793" t="s">
        <v>2293</v>
      </c>
      <c r="Z793" t="s">
        <v>2309</v>
      </c>
      <c r="AA793">
        <v>14</v>
      </c>
      <c r="AB793" s="14">
        <v>120</v>
      </c>
      <c r="AC793" t="s">
        <v>2310</v>
      </c>
      <c r="AD793" t="s">
        <v>2311</v>
      </c>
      <c r="AE793" t="s">
        <v>2643</v>
      </c>
      <c r="AF793">
        <v>25</v>
      </c>
      <c r="AG793">
        <v>0</v>
      </c>
      <c r="AH793">
        <v>21</v>
      </c>
      <c r="AI793">
        <v>1</v>
      </c>
      <c r="AJ793">
        <v>1</v>
      </c>
      <c r="AK793">
        <v>0</v>
      </c>
      <c r="AL793">
        <v>1</v>
      </c>
      <c r="AM793" s="14">
        <v>0</v>
      </c>
      <c r="AN793" t="s">
        <v>2644</v>
      </c>
      <c r="AO793" s="12">
        <v>46143</v>
      </c>
      <c r="AP793">
        <v>2026</v>
      </c>
      <c r="AQ793">
        <v>5</v>
      </c>
      <c r="AR793" t="s">
        <v>2652</v>
      </c>
    </row>
    <row r="794" spans="1:44">
      <c r="A794" t="s">
        <v>2058</v>
      </c>
      <c r="B794" s="12">
        <v>46173</v>
      </c>
      <c r="C794" s="12">
        <v>46135</v>
      </c>
      <c r="D794" t="s">
        <v>845</v>
      </c>
      <c r="E794" t="s">
        <v>255</v>
      </c>
      <c r="G794" t="s">
        <v>424</v>
      </c>
      <c r="H794" t="s">
        <v>115</v>
      </c>
      <c r="I794" t="s">
        <v>271</v>
      </c>
      <c r="J794" s="13">
        <v>0.5</v>
      </c>
      <c r="K794" s="13">
        <v>0.50555555555555554</v>
      </c>
      <c r="L794" s="13">
        <v>0.5083333333333333</v>
      </c>
      <c r="M794">
        <v>60</v>
      </c>
      <c r="N794" s="14">
        <v>120</v>
      </c>
      <c r="O794" t="s">
        <v>169</v>
      </c>
      <c r="P794">
        <v>4</v>
      </c>
      <c r="Q794" t="s">
        <v>262</v>
      </c>
      <c r="R794" t="s">
        <v>1821</v>
      </c>
      <c r="S794">
        <v>0</v>
      </c>
      <c r="T794">
        <v>1</v>
      </c>
      <c r="U794" t="s">
        <v>2299</v>
      </c>
      <c r="V794" t="s">
        <v>2295</v>
      </c>
      <c r="W794" t="s">
        <v>2300</v>
      </c>
      <c r="X794" t="s">
        <v>2288</v>
      </c>
      <c r="Y794" t="s">
        <v>2301</v>
      </c>
      <c r="AE794" t="s">
        <v>2646</v>
      </c>
      <c r="AF794">
        <v>38</v>
      </c>
      <c r="AH794">
        <v>4</v>
      </c>
      <c r="AI794">
        <v>1</v>
      </c>
      <c r="AJ794">
        <v>1</v>
      </c>
      <c r="AK794">
        <v>0</v>
      </c>
      <c r="AL794">
        <v>1</v>
      </c>
      <c r="AN794" t="s">
        <v>2647</v>
      </c>
      <c r="AO794" s="12">
        <v>46143</v>
      </c>
      <c r="AP794">
        <v>2026</v>
      </c>
      <c r="AQ794">
        <v>5</v>
      </c>
      <c r="AR794" t="s">
        <v>2652</v>
      </c>
    </row>
    <row r="795" spans="1:44">
      <c r="A795" t="s">
        <v>2059</v>
      </c>
      <c r="B795" s="12">
        <v>46154</v>
      </c>
      <c r="C795" s="12">
        <v>46140</v>
      </c>
      <c r="D795" t="s">
        <v>2060</v>
      </c>
      <c r="E795" t="s">
        <v>268</v>
      </c>
      <c r="F795" t="s">
        <v>282</v>
      </c>
      <c r="G795" t="s">
        <v>505</v>
      </c>
      <c r="H795" t="s">
        <v>115</v>
      </c>
      <c r="I795" t="s">
        <v>299</v>
      </c>
      <c r="J795" s="13">
        <v>0.375</v>
      </c>
      <c r="K795" s="13">
        <v>0.38263888888888886</v>
      </c>
      <c r="L795" s="13">
        <v>0.38333333333333336</v>
      </c>
      <c r="M795">
        <v>60</v>
      </c>
      <c r="N795" s="14">
        <v>120</v>
      </c>
      <c r="O795" t="s">
        <v>195</v>
      </c>
      <c r="P795">
        <v>5</v>
      </c>
      <c r="Q795" t="s">
        <v>285</v>
      </c>
      <c r="R795" t="s">
        <v>1821</v>
      </c>
      <c r="S795">
        <v>0</v>
      </c>
      <c r="T795">
        <v>0</v>
      </c>
      <c r="U795" t="s">
        <v>2285</v>
      </c>
      <c r="V795" t="s">
        <v>2286</v>
      </c>
      <c r="W795" t="s">
        <v>2287</v>
      </c>
      <c r="X795" t="s">
        <v>2288</v>
      </c>
      <c r="Y795" t="s">
        <v>2289</v>
      </c>
      <c r="Z795" t="s">
        <v>2309</v>
      </c>
      <c r="AA795">
        <v>14</v>
      </c>
      <c r="AB795" s="14">
        <v>120</v>
      </c>
      <c r="AC795" t="s">
        <v>2310</v>
      </c>
      <c r="AD795" t="s">
        <v>2311</v>
      </c>
      <c r="AE795" t="s">
        <v>2643</v>
      </c>
      <c r="AF795">
        <v>14</v>
      </c>
      <c r="AG795">
        <v>1</v>
      </c>
      <c r="AH795">
        <v>1</v>
      </c>
      <c r="AI795">
        <v>1</v>
      </c>
      <c r="AJ795">
        <v>1</v>
      </c>
      <c r="AK795">
        <v>0</v>
      </c>
      <c r="AL795">
        <v>1</v>
      </c>
      <c r="AM795" s="14">
        <v>0</v>
      </c>
      <c r="AN795" t="s">
        <v>2644</v>
      </c>
      <c r="AO795" s="12">
        <v>46143</v>
      </c>
      <c r="AP795">
        <v>2026</v>
      </c>
      <c r="AQ795">
        <v>5</v>
      </c>
      <c r="AR795" t="s">
        <v>2652</v>
      </c>
    </row>
    <row r="796" spans="1:44">
      <c r="A796" t="s">
        <v>2061</v>
      </c>
      <c r="B796" s="12">
        <v>46149</v>
      </c>
      <c r="C796" s="12">
        <v>46118</v>
      </c>
      <c r="D796" t="s">
        <v>408</v>
      </c>
      <c r="E796" t="s">
        <v>255</v>
      </c>
      <c r="F796" t="s">
        <v>409</v>
      </c>
      <c r="G796" t="s">
        <v>410</v>
      </c>
      <c r="H796" t="s">
        <v>115</v>
      </c>
      <c r="I796" t="s">
        <v>258</v>
      </c>
      <c r="J796" s="13">
        <v>0.52083333333333337</v>
      </c>
      <c r="K796" s="13">
        <v>0.51875000000000004</v>
      </c>
      <c r="L796" s="13">
        <v>0.52916666666666667</v>
      </c>
      <c r="M796">
        <v>30</v>
      </c>
      <c r="N796" s="14">
        <v>150</v>
      </c>
      <c r="O796" t="s">
        <v>195</v>
      </c>
      <c r="P796">
        <v>5</v>
      </c>
      <c r="Q796" t="s">
        <v>262</v>
      </c>
      <c r="R796" t="s">
        <v>1821</v>
      </c>
      <c r="S796">
        <v>0</v>
      </c>
      <c r="T796">
        <v>0</v>
      </c>
      <c r="U796" t="s">
        <v>2299</v>
      </c>
      <c r="V796" t="s">
        <v>2295</v>
      </c>
      <c r="W796" t="s">
        <v>2300</v>
      </c>
      <c r="X796" t="s">
        <v>2288</v>
      </c>
      <c r="Y796" t="s">
        <v>2301</v>
      </c>
      <c r="Z796" t="s">
        <v>2318</v>
      </c>
      <c r="AA796">
        <v>28</v>
      </c>
      <c r="AB796" s="14">
        <v>150</v>
      </c>
      <c r="AC796" t="s">
        <v>2319</v>
      </c>
      <c r="AD796" t="s">
        <v>2320</v>
      </c>
      <c r="AE796" t="s">
        <v>2643</v>
      </c>
      <c r="AF796">
        <v>31</v>
      </c>
      <c r="AG796">
        <v>0</v>
      </c>
      <c r="AH796">
        <v>15</v>
      </c>
      <c r="AI796">
        <v>1</v>
      </c>
      <c r="AJ796">
        <v>1</v>
      </c>
      <c r="AK796">
        <v>0</v>
      </c>
      <c r="AL796">
        <v>1</v>
      </c>
      <c r="AM796" s="14">
        <v>0</v>
      </c>
      <c r="AN796" t="s">
        <v>2644</v>
      </c>
      <c r="AO796" s="12">
        <v>46143</v>
      </c>
      <c r="AP796">
        <v>2026</v>
      </c>
      <c r="AQ796">
        <v>5</v>
      </c>
      <c r="AR796" t="s">
        <v>2652</v>
      </c>
    </row>
    <row r="797" spans="1:44">
      <c r="A797" t="s">
        <v>2063</v>
      </c>
      <c r="B797" s="12">
        <v>46174</v>
      </c>
      <c r="C797" s="12">
        <v>46156</v>
      </c>
      <c r="D797" t="s">
        <v>541</v>
      </c>
      <c r="E797" t="s">
        <v>339</v>
      </c>
      <c r="F797" t="s">
        <v>409</v>
      </c>
      <c r="G797" t="s">
        <v>476</v>
      </c>
      <c r="H797" t="s">
        <v>127</v>
      </c>
      <c r="I797" t="s">
        <v>258</v>
      </c>
      <c r="J797" s="13">
        <v>0.58333333333333337</v>
      </c>
      <c r="K797" s="13"/>
      <c r="L797" s="13"/>
      <c r="M797">
        <v>0</v>
      </c>
      <c r="N797" s="14">
        <v>150</v>
      </c>
      <c r="O797" t="s">
        <v>195</v>
      </c>
      <c r="Q797" t="s">
        <v>305</v>
      </c>
      <c r="R797" t="s">
        <v>2065</v>
      </c>
      <c r="S797">
        <v>0</v>
      </c>
      <c r="T797">
        <v>0</v>
      </c>
      <c r="U797" t="s">
        <v>2294</v>
      </c>
      <c r="V797" t="s">
        <v>2295</v>
      </c>
      <c r="W797" t="s">
        <v>2296</v>
      </c>
      <c r="X797" t="s">
        <v>2297</v>
      </c>
      <c r="Y797" t="s">
        <v>2298</v>
      </c>
      <c r="Z797" t="s">
        <v>2318</v>
      </c>
      <c r="AA797">
        <v>28</v>
      </c>
      <c r="AB797" s="14">
        <v>150</v>
      </c>
      <c r="AC797" t="s">
        <v>2319</v>
      </c>
      <c r="AD797" t="s">
        <v>2320</v>
      </c>
      <c r="AE797" t="s">
        <v>2643</v>
      </c>
      <c r="AF797">
        <v>18</v>
      </c>
      <c r="AG797">
        <v>1</v>
      </c>
      <c r="AJ797">
        <v>0</v>
      </c>
      <c r="AL797">
        <v>1</v>
      </c>
      <c r="AM797" s="14">
        <v>0</v>
      </c>
      <c r="AN797" t="s">
        <v>2644</v>
      </c>
      <c r="AO797" s="12">
        <v>46174</v>
      </c>
      <c r="AP797">
        <v>2026</v>
      </c>
      <c r="AQ797">
        <v>6</v>
      </c>
      <c r="AR797" t="s">
        <v>2653</v>
      </c>
    </row>
    <row r="798" spans="1:44">
      <c r="A798" t="s">
        <v>2066</v>
      </c>
      <c r="B798" s="12">
        <v>46191</v>
      </c>
      <c r="C798" s="12">
        <v>46157</v>
      </c>
      <c r="D798" t="s">
        <v>397</v>
      </c>
      <c r="E798" t="s">
        <v>268</v>
      </c>
      <c r="F798" t="s">
        <v>409</v>
      </c>
      <c r="G798" t="s">
        <v>587</v>
      </c>
      <c r="H798" t="s">
        <v>115</v>
      </c>
      <c r="I798" t="s">
        <v>316</v>
      </c>
      <c r="J798" s="13">
        <v>0.41666666666666669</v>
      </c>
      <c r="K798" s="13">
        <v>0.42777777777777776</v>
      </c>
      <c r="L798" s="13">
        <v>0.44374999999999998</v>
      </c>
      <c r="M798">
        <v>20</v>
      </c>
      <c r="N798" s="14">
        <v>150</v>
      </c>
      <c r="O798" t="s">
        <v>169</v>
      </c>
      <c r="P798">
        <v>5</v>
      </c>
      <c r="Q798" t="s">
        <v>305</v>
      </c>
      <c r="R798" t="s">
        <v>2065</v>
      </c>
      <c r="S798">
        <v>0</v>
      </c>
      <c r="T798">
        <v>0</v>
      </c>
      <c r="U798" t="s">
        <v>2285</v>
      </c>
      <c r="V798" t="s">
        <v>2286</v>
      </c>
      <c r="W798" t="s">
        <v>2287</v>
      </c>
      <c r="X798" t="s">
        <v>2288</v>
      </c>
      <c r="Y798" t="s">
        <v>2289</v>
      </c>
      <c r="Z798" t="s">
        <v>2318</v>
      </c>
      <c r="AA798">
        <v>28</v>
      </c>
      <c r="AB798" s="14">
        <v>150</v>
      </c>
      <c r="AC798" t="s">
        <v>2319</v>
      </c>
      <c r="AD798" t="s">
        <v>2320</v>
      </c>
      <c r="AE798" t="s">
        <v>2643</v>
      </c>
      <c r="AF798">
        <v>34</v>
      </c>
      <c r="AG798">
        <v>0</v>
      </c>
      <c r="AH798">
        <v>23</v>
      </c>
      <c r="AI798">
        <v>1</v>
      </c>
      <c r="AJ798">
        <v>1</v>
      </c>
      <c r="AK798">
        <v>0</v>
      </c>
      <c r="AL798">
        <v>1</v>
      </c>
      <c r="AM798" s="14">
        <v>0</v>
      </c>
      <c r="AN798" t="s">
        <v>2644</v>
      </c>
      <c r="AO798" s="12">
        <v>46174</v>
      </c>
      <c r="AP798">
        <v>2026</v>
      </c>
      <c r="AQ798">
        <v>6</v>
      </c>
      <c r="AR798" t="s">
        <v>2653</v>
      </c>
    </row>
    <row r="799" spans="1:44">
      <c r="A799" t="s">
        <v>2068</v>
      </c>
      <c r="B799" s="12">
        <v>46182</v>
      </c>
      <c r="C799" s="12">
        <v>46158</v>
      </c>
      <c r="D799" t="s">
        <v>1378</v>
      </c>
      <c r="E799" t="s">
        <v>255</v>
      </c>
      <c r="F799" t="s">
        <v>256</v>
      </c>
      <c r="G799" t="s">
        <v>398</v>
      </c>
      <c r="H799" t="s">
        <v>127</v>
      </c>
      <c r="I799" t="s">
        <v>299</v>
      </c>
      <c r="J799" s="13">
        <v>0.35416666666666669</v>
      </c>
      <c r="K799" s="13"/>
      <c r="L799" s="13"/>
      <c r="M799">
        <v>0</v>
      </c>
      <c r="N799" s="14">
        <v>95</v>
      </c>
      <c r="O799" t="s">
        <v>195</v>
      </c>
      <c r="Q799" t="s">
        <v>326</v>
      </c>
      <c r="R799" t="s">
        <v>2065</v>
      </c>
      <c r="S799">
        <v>0</v>
      </c>
      <c r="T799">
        <v>0</v>
      </c>
      <c r="U799" t="s">
        <v>2299</v>
      </c>
      <c r="V799" t="s">
        <v>2295</v>
      </c>
      <c r="W799" t="s">
        <v>2300</v>
      </c>
      <c r="X799" t="s">
        <v>2288</v>
      </c>
      <c r="Y799" t="s">
        <v>2301</v>
      </c>
      <c r="Z799" t="s">
        <v>2312</v>
      </c>
      <c r="AA799">
        <v>21</v>
      </c>
      <c r="AB799" s="14">
        <v>95</v>
      </c>
      <c r="AC799" t="s">
        <v>2313</v>
      </c>
      <c r="AD799" t="s">
        <v>2314</v>
      </c>
      <c r="AE799" t="s">
        <v>2643</v>
      </c>
      <c r="AF799">
        <v>24</v>
      </c>
      <c r="AG799">
        <v>0</v>
      </c>
      <c r="AJ799">
        <v>0</v>
      </c>
      <c r="AL799">
        <v>1</v>
      </c>
      <c r="AM799" s="14">
        <v>0</v>
      </c>
      <c r="AN799" t="s">
        <v>2644</v>
      </c>
      <c r="AO799" s="12">
        <v>46174</v>
      </c>
      <c r="AP799">
        <v>2026</v>
      </c>
      <c r="AQ799">
        <v>6</v>
      </c>
      <c r="AR799" t="s">
        <v>2653</v>
      </c>
    </row>
    <row r="800" spans="1:44">
      <c r="A800" t="s">
        <v>2070</v>
      </c>
      <c r="B800" s="12">
        <v>46175</v>
      </c>
      <c r="C800" s="12">
        <v>46161</v>
      </c>
      <c r="D800" t="s">
        <v>610</v>
      </c>
      <c r="E800" t="s">
        <v>339</v>
      </c>
      <c r="F800" t="s">
        <v>282</v>
      </c>
      <c r="G800" t="s">
        <v>564</v>
      </c>
      <c r="H800" t="s">
        <v>127</v>
      </c>
      <c r="I800" t="s">
        <v>258</v>
      </c>
      <c r="J800" s="13">
        <v>0.64583333333333337</v>
      </c>
      <c r="K800" s="13"/>
      <c r="L800" s="13"/>
      <c r="M800">
        <v>0</v>
      </c>
      <c r="N800" s="14">
        <v>120</v>
      </c>
      <c r="O800" t="s">
        <v>169</v>
      </c>
      <c r="Q800" t="s">
        <v>305</v>
      </c>
      <c r="R800" t="s">
        <v>2065</v>
      </c>
      <c r="S800">
        <v>0</v>
      </c>
      <c r="T800">
        <v>0</v>
      </c>
      <c r="U800" t="s">
        <v>2294</v>
      </c>
      <c r="V800" t="s">
        <v>2295</v>
      </c>
      <c r="W800" t="s">
        <v>2296</v>
      </c>
      <c r="X800" t="s">
        <v>2297</v>
      </c>
      <c r="Y800" t="s">
        <v>2298</v>
      </c>
      <c r="Z800" t="s">
        <v>2309</v>
      </c>
      <c r="AA800">
        <v>14</v>
      </c>
      <c r="AB800" s="14">
        <v>120</v>
      </c>
      <c r="AC800" t="s">
        <v>2310</v>
      </c>
      <c r="AD800" t="s">
        <v>2311</v>
      </c>
      <c r="AE800" t="s">
        <v>2643</v>
      </c>
      <c r="AF800">
        <v>14</v>
      </c>
      <c r="AG800">
        <v>1</v>
      </c>
      <c r="AJ800">
        <v>0</v>
      </c>
      <c r="AL800">
        <v>1</v>
      </c>
      <c r="AM800" s="14">
        <v>0</v>
      </c>
      <c r="AN800" t="s">
        <v>2644</v>
      </c>
      <c r="AO800" s="12">
        <v>46174</v>
      </c>
      <c r="AP800">
        <v>2026</v>
      </c>
      <c r="AQ800">
        <v>6</v>
      </c>
      <c r="AR800" t="s">
        <v>2653</v>
      </c>
    </row>
    <row r="801" spans="1:44">
      <c r="A801" t="s">
        <v>2072</v>
      </c>
      <c r="B801" s="12">
        <v>46189</v>
      </c>
      <c r="C801" s="12">
        <v>46171</v>
      </c>
      <c r="D801" t="s">
        <v>1136</v>
      </c>
      <c r="E801" t="s">
        <v>268</v>
      </c>
      <c r="F801" t="s">
        <v>269</v>
      </c>
      <c r="G801" t="s">
        <v>270</v>
      </c>
      <c r="H801" t="s">
        <v>127</v>
      </c>
      <c r="I801" t="s">
        <v>271</v>
      </c>
      <c r="J801" s="13">
        <v>0.66666666666666663</v>
      </c>
      <c r="K801" s="13"/>
      <c r="L801" s="13"/>
      <c r="M801">
        <v>0</v>
      </c>
      <c r="N801" s="14">
        <v>80</v>
      </c>
      <c r="O801" t="s">
        <v>195</v>
      </c>
      <c r="Q801" t="s">
        <v>305</v>
      </c>
      <c r="R801" t="s">
        <v>2065</v>
      </c>
      <c r="S801">
        <v>0</v>
      </c>
      <c r="T801">
        <v>0</v>
      </c>
      <c r="U801" t="s">
        <v>2285</v>
      </c>
      <c r="V801" t="s">
        <v>2286</v>
      </c>
      <c r="W801" t="s">
        <v>2287</v>
      </c>
      <c r="X801" t="s">
        <v>2288</v>
      </c>
      <c r="Y801" t="s">
        <v>2289</v>
      </c>
      <c r="Z801" t="s">
        <v>2315</v>
      </c>
      <c r="AA801">
        <v>10</v>
      </c>
      <c r="AB801" s="14">
        <v>80</v>
      </c>
      <c r="AC801" t="s">
        <v>2316</v>
      </c>
      <c r="AD801" t="s">
        <v>2317</v>
      </c>
      <c r="AE801" t="s">
        <v>2643</v>
      </c>
      <c r="AF801">
        <v>18</v>
      </c>
      <c r="AG801">
        <v>0</v>
      </c>
      <c r="AJ801">
        <v>0</v>
      </c>
      <c r="AL801">
        <v>1</v>
      </c>
      <c r="AM801" s="14">
        <v>0</v>
      </c>
      <c r="AN801" t="s">
        <v>2644</v>
      </c>
      <c r="AO801" s="12">
        <v>46174</v>
      </c>
      <c r="AP801">
        <v>2026</v>
      </c>
      <c r="AQ801">
        <v>6</v>
      </c>
      <c r="AR801" t="s">
        <v>2653</v>
      </c>
    </row>
    <row r="802" spans="1:44">
      <c r="A802" t="s">
        <v>2074</v>
      </c>
      <c r="B802" s="12">
        <v>46202</v>
      </c>
      <c r="C802" s="12">
        <v>46168</v>
      </c>
      <c r="D802" t="s">
        <v>853</v>
      </c>
      <c r="E802" t="s">
        <v>281</v>
      </c>
      <c r="F802" t="s">
        <v>269</v>
      </c>
      <c r="G802" t="s">
        <v>322</v>
      </c>
      <c r="H802" t="s">
        <v>115</v>
      </c>
      <c r="I802" t="s">
        <v>316</v>
      </c>
      <c r="J802" s="13">
        <v>0.41666666666666669</v>
      </c>
      <c r="K802" s="13">
        <v>0.42222222222222222</v>
      </c>
      <c r="L802" s="13">
        <v>0.41944444444444445</v>
      </c>
      <c r="M802">
        <v>30</v>
      </c>
      <c r="N802" s="14">
        <v>80</v>
      </c>
      <c r="O802" t="s">
        <v>195</v>
      </c>
      <c r="P802">
        <v>5</v>
      </c>
      <c r="Q802" t="s">
        <v>285</v>
      </c>
      <c r="R802" t="s">
        <v>2065</v>
      </c>
      <c r="S802">
        <v>0</v>
      </c>
      <c r="T802">
        <v>0</v>
      </c>
      <c r="U802" t="s">
        <v>2290</v>
      </c>
      <c r="V802" t="s">
        <v>2291</v>
      </c>
      <c r="W802" t="s">
        <v>2292</v>
      </c>
      <c r="X802" t="s">
        <v>2288</v>
      </c>
      <c r="Y802" t="s">
        <v>2293</v>
      </c>
      <c r="Z802" t="s">
        <v>2315</v>
      </c>
      <c r="AA802">
        <v>10</v>
      </c>
      <c r="AB802" s="14">
        <v>80</v>
      </c>
      <c r="AC802" t="s">
        <v>2316</v>
      </c>
      <c r="AD802" t="s">
        <v>2317</v>
      </c>
      <c r="AE802" t="s">
        <v>2643</v>
      </c>
      <c r="AF802">
        <v>34</v>
      </c>
      <c r="AG802">
        <v>0</v>
      </c>
      <c r="AJ802">
        <v>1</v>
      </c>
      <c r="AK802">
        <v>0</v>
      </c>
      <c r="AL802">
        <v>1</v>
      </c>
      <c r="AM802" s="14">
        <v>0</v>
      </c>
      <c r="AN802" t="s">
        <v>2644</v>
      </c>
      <c r="AO802" s="12">
        <v>46174</v>
      </c>
      <c r="AP802">
        <v>2026</v>
      </c>
      <c r="AQ802">
        <v>6</v>
      </c>
      <c r="AR802" t="s">
        <v>2653</v>
      </c>
    </row>
    <row r="803" spans="1:44">
      <c r="A803" t="s">
        <v>2076</v>
      </c>
      <c r="B803" s="12">
        <v>46197</v>
      </c>
      <c r="C803" s="12">
        <v>46147</v>
      </c>
      <c r="D803" t="s">
        <v>727</v>
      </c>
      <c r="E803" t="s">
        <v>255</v>
      </c>
      <c r="F803" t="s">
        <v>282</v>
      </c>
      <c r="G803" t="s">
        <v>424</v>
      </c>
      <c r="H803" t="s">
        <v>127</v>
      </c>
      <c r="I803" t="s">
        <v>258</v>
      </c>
      <c r="J803" s="13">
        <v>0.39583333333333331</v>
      </c>
      <c r="K803" s="13"/>
      <c r="L803" s="13"/>
      <c r="M803">
        <v>0</v>
      </c>
      <c r="N803" s="14">
        <v>120</v>
      </c>
      <c r="O803" t="s">
        <v>195</v>
      </c>
      <c r="Q803" t="s">
        <v>326</v>
      </c>
      <c r="R803" t="s">
        <v>2065</v>
      </c>
      <c r="S803">
        <v>0</v>
      </c>
      <c r="T803">
        <v>0</v>
      </c>
      <c r="U803" t="s">
        <v>2299</v>
      </c>
      <c r="V803" t="s">
        <v>2295</v>
      </c>
      <c r="W803" t="s">
        <v>2300</v>
      </c>
      <c r="X803" t="s">
        <v>2288</v>
      </c>
      <c r="Y803" t="s">
        <v>2301</v>
      </c>
      <c r="Z803" t="s">
        <v>2309</v>
      </c>
      <c r="AA803">
        <v>14</v>
      </c>
      <c r="AB803" s="14">
        <v>120</v>
      </c>
      <c r="AC803" t="s">
        <v>2310</v>
      </c>
      <c r="AD803" t="s">
        <v>2311</v>
      </c>
      <c r="AE803" t="s">
        <v>2643</v>
      </c>
      <c r="AF803">
        <v>50</v>
      </c>
      <c r="AG803">
        <v>0</v>
      </c>
      <c r="AJ803">
        <v>0</v>
      </c>
      <c r="AL803">
        <v>1</v>
      </c>
      <c r="AM803" s="14">
        <v>0</v>
      </c>
      <c r="AN803" t="s">
        <v>2644</v>
      </c>
      <c r="AO803" s="12">
        <v>46174</v>
      </c>
      <c r="AP803">
        <v>2026</v>
      </c>
      <c r="AQ803">
        <v>6</v>
      </c>
      <c r="AR803" t="s">
        <v>2653</v>
      </c>
    </row>
    <row r="804" spans="1:44">
      <c r="A804" t="s">
        <v>2078</v>
      </c>
      <c r="B804" s="12">
        <v>46200</v>
      </c>
      <c r="C804" s="12">
        <v>46192</v>
      </c>
      <c r="D804" t="s">
        <v>586</v>
      </c>
      <c r="E804" t="s">
        <v>339</v>
      </c>
      <c r="F804" t="s">
        <v>256</v>
      </c>
      <c r="G804" t="s">
        <v>403</v>
      </c>
      <c r="H804" t="s">
        <v>466</v>
      </c>
      <c r="I804" t="s">
        <v>299</v>
      </c>
      <c r="J804" s="13">
        <v>0.625</v>
      </c>
      <c r="K804" s="13"/>
      <c r="L804" s="13"/>
      <c r="M804">
        <v>0</v>
      </c>
      <c r="N804" s="14">
        <v>95</v>
      </c>
      <c r="O804" t="s">
        <v>195</v>
      </c>
      <c r="Q804" t="s">
        <v>262</v>
      </c>
      <c r="R804" t="s">
        <v>2065</v>
      </c>
      <c r="S804">
        <v>0</v>
      </c>
      <c r="T804">
        <v>0</v>
      </c>
      <c r="U804" t="s">
        <v>2294</v>
      </c>
      <c r="V804" t="s">
        <v>2295</v>
      </c>
      <c r="W804" t="s">
        <v>2296</v>
      </c>
      <c r="X804" t="s">
        <v>2297</v>
      </c>
      <c r="Y804" t="s">
        <v>2298</v>
      </c>
      <c r="Z804" t="s">
        <v>2312</v>
      </c>
      <c r="AA804">
        <v>21</v>
      </c>
      <c r="AB804" s="14">
        <v>95</v>
      </c>
      <c r="AC804" t="s">
        <v>2313</v>
      </c>
      <c r="AD804" t="s">
        <v>2314</v>
      </c>
      <c r="AE804" t="s">
        <v>2643</v>
      </c>
      <c r="AF804">
        <v>8</v>
      </c>
      <c r="AG804">
        <v>1</v>
      </c>
      <c r="AJ804">
        <v>0</v>
      </c>
      <c r="AL804">
        <v>1</v>
      </c>
      <c r="AM804" s="14">
        <v>0</v>
      </c>
      <c r="AN804" t="s">
        <v>2644</v>
      </c>
      <c r="AO804" s="12">
        <v>46174</v>
      </c>
      <c r="AP804">
        <v>2026</v>
      </c>
      <c r="AQ804">
        <v>6</v>
      </c>
      <c r="AR804" t="s">
        <v>2653</v>
      </c>
    </row>
    <row r="805" spans="1:44">
      <c r="A805" t="s">
        <v>2081</v>
      </c>
      <c r="B805" s="12">
        <v>46174</v>
      </c>
      <c r="C805" s="12">
        <v>46127</v>
      </c>
      <c r="D805" t="s">
        <v>865</v>
      </c>
      <c r="E805" t="s">
        <v>255</v>
      </c>
      <c r="F805" t="s">
        <v>269</v>
      </c>
      <c r="G805" t="s">
        <v>391</v>
      </c>
      <c r="H805" t="s">
        <v>115</v>
      </c>
      <c r="I805" t="s">
        <v>316</v>
      </c>
      <c r="J805" s="13">
        <v>0.66666666666666663</v>
      </c>
      <c r="K805" s="13">
        <v>0.67013888888888884</v>
      </c>
      <c r="L805" s="13">
        <v>0.68819444444444444</v>
      </c>
      <c r="M805">
        <v>30</v>
      </c>
      <c r="N805" s="14">
        <v>80</v>
      </c>
      <c r="O805" t="s">
        <v>169</v>
      </c>
      <c r="P805">
        <v>5</v>
      </c>
      <c r="Q805" t="s">
        <v>262</v>
      </c>
      <c r="R805" t="s">
        <v>2065</v>
      </c>
      <c r="S805">
        <v>0</v>
      </c>
      <c r="T805">
        <v>0</v>
      </c>
      <c r="U805" t="s">
        <v>2299</v>
      </c>
      <c r="V805" t="s">
        <v>2295</v>
      </c>
      <c r="W805" t="s">
        <v>2300</v>
      </c>
      <c r="X805" t="s">
        <v>2288</v>
      </c>
      <c r="Y805" t="s">
        <v>2301</v>
      </c>
      <c r="Z805" t="s">
        <v>2315</v>
      </c>
      <c r="AA805">
        <v>10</v>
      </c>
      <c r="AB805" s="14">
        <v>80</v>
      </c>
      <c r="AC805" t="s">
        <v>2316</v>
      </c>
      <c r="AD805" t="s">
        <v>2317</v>
      </c>
      <c r="AE805" t="s">
        <v>2643</v>
      </c>
      <c r="AF805">
        <v>47</v>
      </c>
      <c r="AG805">
        <v>0</v>
      </c>
      <c r="AH805">
        <v>26</v>
      </c>
      <c r="AI805">
        <v>1</v>
      </c>
      <c r="AJ805">
        <v>1</v>
      </c>
      <c r="AK805">
        <v>0</v>
      </c>
      <c r="AL805">
        <v>1</v>
      </c>
      <c r="AM805" s="14">
        <v>0</v>
      </c>
      <c r="AN805" t="s">
        <v>2644</v>
      </c>
      <c r="AO805" s="12">
        <v>46174</v>
      </c>
      <c r="AP805">
        <v>2026</v>
      </c>
      <c r="AQ805">
        <v>6</v>
      </c>
      <c r="AR805" t="s">
        <v>2653</v>
      </c>
    </row>
    <row r="806" spans="1:44">
      <c r="A806" t="s">
        <v>2083</v>
      </c>
      <c r="B806" s="12">
        <v>46177</v>
      </c>
      <c r="C806" s="12">
        <v>46173</v>
      </c>
      <c r="D806" t="s">
        <v>638</v>
      </c>
      <c r="E806" t="s">
        <v>255</v>
      </c>
      <c r="F806" t="s">
        <v>256</v>
      </c>
      <c r="G806" t="s">
        <v>398</v>
      </c>
      <c r="H806" t="s">
        <v>115</v>
      </c>
      <c r="I806" t="s">
        <v>316</v>
      </c>
      <c r="J806" s="13">
        <v>0.54166666666666663</v>
      </c>
      <c r="K806" s="13">
        <v>0.5395833333333333</v>
      </c>
      <c r="L806" s="13">
        <v>0.54583333333333328</v>
      </c>
      <c r="M806">
        <v>30</v>
      </c>
      <c r="N806" s="14">
        <v>95</v>
      </c>
      <c r="O806" t="s">
        <v>195</v>
      </c>
      <c r="P806">
        <v>4</v>
      </c>
      <c r="Q806" t="s">
        <v>305</v>
      </c>
      <c r="R806" t="s">
        <v>2065</v>
      </c>
      <c r="S806">
        <v>0</v>
      </c>
      <c r="T806">
        <v>0</v>
      </c>
      <c r="U806" t="s">
        <v>2299</v>
      </c>
      <c r="V806" t="s">
        <v>2295</v>
      </c>
      <c r="W806" t="s">
        <v>2300</v>
      </c>
      <c r="X806" t="s">
        <v>2288</v>
      </c>
      <c r="Y806" t="s">
        <v>2301</v>
      </c>
      <c r="Z806" t="s">
        <v>2312</v>
      </c>
      <c r="AA806">
        <v>21</v>
      </c>
      <c r="AB806" s="14">
        <v>95</v>
      </c>
      <c r="AC806" t="s">
        <v>2313</v>
      </c>
      <c r="AD806" t="s">
        <v>2314</v>
      </c>
      <c r="AE806" t="s">
        <v>2643</v>
      </c>
      <c r="AF806">
        <v>4</v>
      </c>
      <c r="AG806">
        <v>1</v>
      </c>
      <c r="AH806">
        <v>9</v>
      </c>
      <c r="AI806">
        <v>1</v>
      </c>
      <c r="AJ806">
        <v>1</v>
      </c>
      <c r="AK806">
        <v>0</v>
      </c>
      <c r="AL806">
        <v>1</v>
      </c>
      <c r="AM806" s="14">
        <v>0</v>
      </c>
      <c r="AN806" t="s">
        <v>2644</v>
      </c>
      <c r="AO806" s="12">
        <v>46174</v>
      </c>
      <c r="AP806">
        <v>2026</v>
      </c>
      <c r="AQ806">
        <v>6</v>
      </c>
      <c r="AR806" t="s">
        <v>2653</v>
      </c>
    </row>
    <row r="807" spans="1:44">
      <c r="A807" t="s">
        <v>2085</v>
      </c>
      <c r="B807" s="12">
        <v>46180</v>
      </c>
      <c r="C807" s="12">
        <v>46151</v>
      </c>
      <c r="D807" t="s">
        <v>970</v>
      </c>
      <c r="E807" t="s">
        <v>255</v>
      </c>
      <c r="F807" t="s">
        <v>409</v>
      </c>
      <c r="G807" t="s">
        <v>648</v>
      </c>
      <c r="H807" t="s">
        <v>115</v>
      </c>
      <c r="I807" t="s">
        <v>271</v>
      </c>
      <c r="J807" s="13">
        <v>0.5</v>
      </c>
      <c r="K807" s="13">
        <v>0.50486111111111109</v>
      </c>
      <c r="L807" s="13">
        <v>0.51736111111111116</v>
      </c>
      <c r="M807">
        <v>20</v>
      </c>
      <c r="N807" s="14">
        <v>150</v>
      </c>
      <c r="O807" t="s">
        <v>169</v>
      </c>
      <c r="P807">
        <v>3</v>
      </c>
      <c r="Q807" t="s">
        <v>262</v>
      </c>
      <c r="R807" t="s">
        <v>2065</v>
      </c>
      <c r="S807">
        <v>0</v>
      </c>
      <c r="T807">
        <v>0</v>
      </c>
      <c r="U807" t="s">
        <v>2299</v>
      </c>
      <c r="V807" t="s">
        <v>2295</v>
      </c>
      <c r="W807" t="s">
        <v>2300</v>
      </c>
      <c r="X807" t="s">
        <v>2288</v>
      </c>
      <c r="Y807" t="s">
        <v>2301</v>
      </c>
      <c r="Z807" t="s">
        <v>2318</v>
      </c>
      <c r="AA807">
        <v>28</v>
      </c>
      <c r="AB807" s="14">
        <v>150</v>
      </c>
      <c r="AC807" t="s">
        <v>2319</v>
      </c>
      <c r="AD807" t="s">
        <v>2320</v>
      </c>
      <c r="AE807" t="s">
        <v>2643</v>
      </c>
      <c r="AF807">
        <v>29</v>
      </c>
      <c r="AG807">
        <v>0</v>
      </c>
      <c r="AH807">
        <v>18</v>
      </c>
      <c r="AI807">
        <v>1</v>
      </c>
      <c r="AJ807">
        <v>1</v>
      </c>
      <c r="AK807">
        <v>0</v>
      </c>
      <c r="AL807">
        <v>1</v>
      </c>
      <c r="AM807" s="14">
        <v>0</v>
      </c>
      <c r="AN807" t="s">
        <v>2644</v>
      </c>
      <c r="AO807" s="12">
        <v>46174</v>
      </c>
      <c r="AP807">
        <v>2026</v>
      </c>
      <c r="AQ807">
        <v>6</v>
      </c>
      <c r="AR807" t="s">
        <v>2653</v>
      </c>
    </row>
    <row r="808" spans="1:44">
      <c r="A808" t="s">
        <v>2087</v>
      </c>
      <c r="B808" s="12">
        <v>46191</v>
      </c>
      <c r="C808" s="12">
        <v>46186</v>
      </c>
      <c r="D808" t="s">
        <v>1126</v>
      </c>
      <c r="E808" t="s">
        <v>339</v>
      </c>
      <c r="F808" t="s">
        <v>409</v>
      </c>
      <c r="G808" t="s">
        <v>501</v>
      </c>
      <c r="H808" t="s">
        <v>115</v>
      </c>
      <c r="I808" t="s">
        <v>316</v>
      </c>
      <c r="J808" s="13">
        <v>0.66666666666666663</v>
      </c>
      <c r="K808" s="13">
        <v>0.66527777777777775</v>
      </c>
      <c r="L808" s="13">
        <v>0.68888888888888888</v>
      </c>
      <c r="M808">
        <v>60</v>
      </c>
      <c r="N808" s="14">
        <v>150</v>
      </c>
      <c r="O808" t="s">
        <v>195</v>
      </c>
      <c r="P808">
        <v>4</v>
      </c>
      <c r="Q808" t="s">
        <v>262</v>
      </c>
      <c r="R808" t="s">
        <v>2065</v>
      </c>
      <c r="S808">
        <v>0</v>
      </c>
      <c r="T808">
        <v>0</v>
      </c>
      <c r="U808" t="s">
        <v>2294</v>
      </c>
      <c r="V808" t="s">
        <v>2295</v>
      </c>
      <c r="W808" t="s">
        <v>2296</v>
      </c>
      <c r="X808" t="s">
        <v>2297</v>
      </c>
      <c r="Y808" t="s">
        <v>2298</v>
      </c>
      <c r="Z808" t="s">
        <v>2318</v>
      </c>
      <c r="AA808">
        <v>28</v>
      </c>
      <c r="AB808" s="14">
        <v>150</v>
      </c>
      <c r="AC808" t="s">
        <v>2319</v>
      </c>
      <c r="AD808" t="s">
        <v>2320</v>
      </c>
      <c r="AE808" t="s">
        <v>2643</v>
      </c>
      <c r="AF808">
        <v>5</v>
      </c>
      <c r="AG808">
        <v>1</v>
      </c>
      <c r="AH808">
        <v>34</v>
      </c>
      <c r="AI808">
        <v>0</v>
      </c>
      <c r="AJ808">
        <v>1</v>
      </c>
      <c r="AK808">
        <v>0</v>
      </c>
      <c r="AL808">
        <v>1</v>
      </c>
      <c r="AM808" s="14">
        <v>0</v>
      </c>
      <c r="AN808" t="s">
        <v>2644</v>
      </c>
      <c r="AO808" s="12">
        <v>46174</v>
      </c>
      <c r="AP808">
        <v>2026</v>
      </c>
      <c r="AQ808">
        <v>6</v>
      </c>
      <c r="AR808" t="s">
        <v>2653</v>
      </c>
    </row>
    <row r="809" spans="1:44">
      <c r="A809" t="s">
        <v>2089</v>
      </c>
      <c r="B809" s="12">
        <v>46175</v>
      </c>
      <c r="C809" s="12">
        <v>46155</v>
      </c>
      <c r="D809" t="s">
        <v>1097</v>
      </c>
      <c r="E809" t="s">
        <v>255</v>
      </c>
      <c r="F809" t="s">
        <v>282</v>
      </c>
      <c r="G809" t="s">
        <v>290</v>
      </c>
      <c r="H809" t="s">
        <v>115</v>
      </c>
      <c r="I809" t="s">
        <v>258</v>
      </c>
      <c r="J809" s="13">
        <v>0.54166666666666663</v>
      </c>
      <c r="K809" s="13">
        <v>0.54027777777777775</v>
      </c>
      <c r="L809" s="13">
        <v>0.56388888888888888</v>
      </c>
      <c r="M809">
        <v>30</v>
      </c>
      <c r="N809" s="14">
        <v>120</v>
      </c>
      <c r="O809" t="s">
        <v>169</v>
      </c>
      <c r="P809">
        <v>5</v>
      </c>
      <c r="Q809" t="s">
        <v>285</v>
      </c>
      <c r="R809" t="s">
        <v>2065</v>
      </c>
      <c r="S809">
        <v>0</v>
      </c>
      <c r="T809">
        <v>0</v>
      </c>
      <c r="U809" t="s">
        <v>2299</v>
      </c>
      <c r="V809" t="s">
        <v>2295</v>
      </c>
      <c r="W809" t="s">
        <v>2300</v>
      </c>
      <c r="X809" t="s">
        <v>2288</v>
      </c>
      <c r="Y809" t="s">
        <v>2301</v>
      </c>
      <c r="Z809" t="s">
        <v>2309</v>
      </c>
      <c r="AA809">
        <v>14</v>
      </c>
      <c r="AB809" s="14">
        <v>120</v>
      </c>
      <c r="AC809" t="s">
        <v>2310</v>
      </c>
      <c r="AD809" t="s">
        <v>2311</v>
      </c>
      <c r="AE809" t="s">
        <v>2643</v>
      </c>
      <c r="AF809">
        <v>20</v>
      </c>
      <c r="AG809">
        <v>0</v>
      </c>
      <c r="AH809">
        <v>34</v>
      </c>
      <c r="AI809">
        <v>0</v>
      </c>
      <c r="AJ809">
        <v>1</v>
      </c>
      <c r="AK809">
        <v>0</v>
      </c>
      <c r="AL809">
        <v>1</v>
      </c>
      <c r="AM809" s="14">
        <v>0</v>
      </c>
      <c r="AN809" t="s">
        <v>2644</v>
      </c>
      <c r="AO809" s="12">
        <v>46174</v>
      </c>
      <c r="AP809">
        <v>2026</v>
      </c>
      <c r="AQ809">
        <v>6</v>
      </c>
      <c r="AR809" t="s">
        <v>2653</v>
      </c>
    </row>
    <row r="810" spans="1:44">
      <c r="A810" t="s">
        <v>2090</v>
      </c>
      <c r="B810" s="12">
        <v>46190</v>
      </c>
      <c r="C810" s="12">
        <v>46155</v>
      </c>
      <c r="D810" t="s">
        <v>615</v>
      </c>
      <c r="E810" t="s">
        <v>255</v>
      </c>
      <c r="F810" t="s">
        <v>409</v>
      </c>
      <c r="G810" t="s">
        <v>648</v>
      </c>
      <c r="H810" t="s">
        <v>115</v>
      </c>
      <c r="I810" t="s">
        <v>299</v>
      </c>
      <c r="J810" s="13">
        <v>0.4375</v>
      </c>
      <c r="K810" s="13">
        <v>0.44722222222222224</v>
      </c>
      <c r="L810" s="13">
        <v>0.44583333333333336</v>
      </c>
      <c r="M810">
        <v>45</v>
      </c>
      <c r="N810" s="14">
        <v>150</v>
      </c>
      <c r="O810" t="s">
        <v>169</v>
      </c>
      <c r="P810">
        <v>4</v>
      </c>
      <c r="Q810" t="s">
        <v>262</v>
      </c>
      <c r="R810" t="s">
        <v>2065</v>
      </c>
      <c r="S810">
        <v>0</v>
      </c>
      <c r="T810">
        <v>0</v>
      </c>
      <c r="U810" t="s">
        <v>2299</v>
      </c>
      <c r="V810" t="s">
        <v>2295</v>
      </c>
      <c r="W810" t="s">
        <v>2300</v>
      </c>
      <c r="X810" t="s">
        <v>2288</v>
      </c>
      <c r="Y810" t="s">
        <v>2301</v>
      </c>
      <c r="Z810" t="s">
        <v>2318</v>
      </c>
      <c r="AA810">
        <v>28</v>
      </c>
      <c r="AB810" s="14">
        <v>150</v>
      </c>
      <c r="AC810" t="s">
        <v>2319</v>
      </c>
      <c r="AD810" t="s">
        <v>2320</v>
      </c>
      <c r="AE810" t="s">
        <v>2643</v>
      </c>
      <c r="AF810">
        <v>35</v>
      </c>
      <c r="AG810">
        <v>0</v>
      </c>
      <c r="AJ810">
        <v>1</v>
      </c>
      <c r="AK810">
        <v>0</v>
      </c>
      <c r="AL810">
        <v>1</v>
      </c>
      <c r="AM810" s="14">
        <v>0</v>
      </c>
      <c r="AN810" t="s">
        <v>2644</v>
      </c>
      <c r="AO810" s="12">
        <v>46174</v>
      </c>
      <c r="AP810">
        <v>2026</v>
      </c>
      <c r="AQ810">
        <v>6</v>
      </c>
      <c r="AR810" t="s">
        <v>2653</v>
      </c>
    </row>
    <row r="811" spans="1:44">
      <c r="A811" t="s">
        <v>2092</v>
      </c>
      <c r="B811" s="12">
        <v>46194</v>
      </c>
      <c r="C811" s="12">
        <v>46148</v>
      </c>
      <c r="D811" t="s">
        <v>756</v>
      </c>
      <c r="E811" t="s">
        <v>268</v>
      </c>
      <c r="F811" t="s">
        <v>297</v>
      </c>
      <c r="G811" t="s">
        <v>628</v>
      </c>
      <c r="H811" t="s">
        <v>115</v>
      </c>
      <c r="I811" t="s">
        <v>316</v>
      </c>
      <c r="J811" s="13">
        <v>0.5625</v>
      </c>
      <c r="K811" s="13">
        <v>0.56319444444444444</v>
      </c>
      <c r="L811" s="13">
        <v>0.59027777777777779</v>
      </c>
      <c r="M811">
        <v>30</v>
      </c>
      <c r="N811" s="14">
        <v>65</v>
      </c>
      <c r="O811" t="s">
        <v>169</v>
      </c>
      <c r="P811">
        <v>3</v>
      </c>
      <c r="Q811" t="s">
        <v>318</v>
      </c>
      <c r="R811" t="s">
        <v>2065</v>
      </c>
      <c r="S811">
        <v>0</v>
      </c>
      <c r="T811">
        <v>0</v>
      </c>
      <c r="U811" t="s">
        <v>2285</v>
      </c>
      <c r="V811" t="s">
        <v>2286</v>
      </c>
      <c r="W811" t="s">
        <v>2287</v>
      </c>
      <c r="X811" t="s">
        <v>2288</v>
      </c>
      <c r="Y811" t="s">
        <v>2289</v>
      </c>
      <c r="Z811" t="s">
        <v>2306</v>
      </c>
      <c r="AA811">
        <v>7</v>
      </c>
      <c r="AB811" s="14">
        <v>65</v>
      </c>
      <c r="AC811" t="s">
        <v>2307</v>
      </c>
      <c r="AD811" t="s">
        <v>2308</v>
      </c>
      <c r="AE811" t="s">
        <v>2643</v>
      </c>
      <c r="AF811">
        <v>46</v>
      </c>
      <c r="AG811">
        <v>0</v>
      </c>
      <c r="AH811">
        <v>39</v>
      </c>
      <c r="AI811">
        <v>0</v>
      </c>
      <c r="AJ811">
        <v>1</v>
      </c>
      <c r="AK811">
        <v>0</v>
      </c>
      <c r="AL811">
        <v>1</v>
      </c>
      <c r="AM811" s="14">
        <v>0</v>
      </c>
      <c r="AN811" t="s">
        <v>2644</v>
      </c>
      <c r="AO811" s="12">
        <v>46174</v>
      </c>
      <c r="AP811">
        <v>2026</v>
      </c>
      <c r="AQ811">
        <v>6</v>
      </c>
      <c r="AR811" t="s">
        <v>2653</v>
      </c>
    </row>
    <row r="812" spans="1:44">
      <c r="A812" t="s">
        <v>2094</v>
      </c>
      <c r="B812" s="12">
        <v>46186</v>
      </c>
      <c r="C812" s="12">
        <v>46182</v>
      </c>
      <c r="D812" t="s">
        <v>1551</v>
      </c>
      <c r="E812" t="s">
        <v>268</v>
      </c>
      <c r="F812" t="s">
        <v>297</v>
      </c>
      <c r="G812" t="s">
        <v>628</v>
      </c>
      <c r="H812" t="s">
        <v>115</v>
      </c>
      <c r="I812" t="s">
        <v>258</v>
      </c>
      <c r="J812" s="13">
        <v>0.375</v>
      </c>
      <c r="K812" s="13">
        <v>0.37222222222222223</v>
      </c>
      <c r="L812" s="13">
        <v>0.38750000000000001</v>
      </c>
      <c r="M812">
        <v>30</v>
      </c>
      <c r="N812" s="14">
        <v>65</v>
      </c>
      <c r="O812" t="s">
        <v>169</v>
      </c>
      <c r="P812">
        <v>4</v>
      </c>
      <c r="Q812" t="s">
        <v>305</v>
      </c>
      <c r="R812" t="s">
        <v>2065</v>
      </c>
      <c r="S812">
        <v>0</v>
      </c>
      <c r="T812">
        <v>0</v>
      </c>
      <c r="U812" t="s">
        <v>2285</v>
      </c>
      <c r="V812" t="s">
        <v>2286</v>
      </c>
      <c r="W812" t="s">
        <v>2287</v>
      </c>
      <c r="X812" t="s">
        <v>2288</v>
      </c>
      <c r="Y812" t="s">
        <v>2289</v>
      </c>
      <c r="Z812" t="s">
        <v>2306</v>
      </c>
      <c r="AA812">
        <v>7</v>
      </c>
      <c r="AB812" s="14">
        <v>65</v>
      </c>
      <c r="AC812" t="s">
        <v>2307</v>
      </c>
      <c r="AD812" t="s">
        <v>2308</v>
      </c>
      <c r="AE812" t="s">
        <v>2643</v>
      </c>
      <c r="AF812">
        <v>4</v>
      </c>
      <c r="AG812">
        <v>1</v>
      </c>
      <c r="AH812">
        <v>22</v>
      </c>
      <c r="AI812">
        <v>1</v>
      </c>
      <c r="AJ812">
        <v>1</v>
      </c>
      <c r="AK812">
        <v>0</v>
      </c>
      <c r="AL812">
        <v>1</v>
      </c>
      <c r="AM812" s="14">
        <v>0</v>
      </c>
      <c r="AN812" t="s">
        <v>2644</v>
      </c>
      <c r="AO812" s="12">
        <v>46174</v>
      </c>
      <c r="AP812">
        <v>2026</v>
      </c>
      <c r="AQ812">
        <v>6</v>
      </c>
      <c r="AR812" t="s">
        <v>2653</v>
      </c>
    </row>
    <row r="813" spans="1:44">
      <c r="A813" t="s">
        <v>2095</v>
      </c>
      <c r="B813" s="12">
        <v>46193</v>
      </c>
      <c r="C813" s="12">
        <v>46190</v>
      </c>
      <c r="D813" t="s">
        <v>362</v>
      </c>
      <c r="E813" t="s">
        <v>339</v>
      </c>
      <c r="F813" t="s">
        <v>297</v>
      </c>
      <c r="G813" t="s">
        <v>780</v>
      </c>
      <c r="H813" t="s">
        <v>115</v>
      </c>
      <c r="I813" t="s">
        <v>271</v>
      </c>
      <c r="J813" s="13">
        <v>0.45833333333333331</v>
      </c>
      <c r="K813" s="13">
        <v>0.45833333333333331</v>
      </c>
      <c r="L813" s="13">
        <v>0.47986111111111113</v>
      </c>
      <c r="M813">
        <v>30</v>
      </c>
      <c r="N813" s="14">
        <v>65</v>
      </c>
      <c r="O813" t="s">
        <v>169</v>
      </c>
      <c r="P813">
        <v>5</v>
      </c>
      <c r="Q813" t="s">
        <v>318</v>
      </c>
      <c r="R813" t="s">
        <v>2065</v>
      </c>
      <c r="S813">
        <v>0</v>
      </c>
      <c r="T813">
        <v>0</v>
      </c>
      <c r="U813" t="s">
        <v>2294</v>
      </c>
      <c r="V813" t="s">
        <v>2295</v>
      </c>
      <c r="W813" t="s">
        <v>2296</v>
      </c>
      <c r="X813" t="s">
        <v>2297</v>
      </c>
      <c r="Y813" t="s">
        <v>2298</v>
      </c>
      <c r="Z813" t="s">
        <v>2306</v>
      </c>
      <c r="AA813">
        <v>7</v>
      </c>
      <c r="AB813" s="14">
        <v>65</v>
      </c>
      <c r="AC813" t="s">
        <v>2307</v>
      </c>
      <c r="AD813" t="s">
        <v>2308</v>
      </c>
      <c r="AE813" t="s">
        <v>2643</v>
      </c>
      <c r="AF813">
        <v>3</v>
      </c>
      <c r="AG813">
        <v>1</v>
      </c>
      <c r="AH813">
        <v>31</v>
      </c>
      <c r="AI813">
        <v>0</v>
      </c>
      <c r="AJ813">
        <v>1</v>
      </c>
      <c r="AK813">
        <v>0</v>
      </c>
      <c r="AL813">
        <v>1</v>
      </c>
      <c r="AM813" s="14">
        <v>0</v>
      </c>
      <c r="AN813" t="s">
        <v>2644</v>
      </c>
      <c r="AO813" s="12">
        <v>46174</v>
      </c>
      <c r="AP813">
        <v>2026</v>
      </c>
      <c r="AQ813">
        <v>6</v>
      </c>
      <c r="AR813" t="s">
        <v>2653</v>
      </c>
    </row>
    <row r="814" spans="1:44">
      <c r="A814" t="s">
        <v>2097</v>
      </c>
      <c r="B814" s="12">
        <v>46176</v>
      </c>
      <c r="C814" s="12">
        <v>46173</v>
      </c>
      <c r="D814" t="s">
        <v>2038</v>
      </c>
      <c r="E814" t="s">
        <v>255</v>
      </c>
      <c r="F814" t="s">
        <v>297</v>
      </c>
      <c r="G814" t="s">
        <v>639</v>
      </c>
      <c r="H814" t="s">
        <v>115</v>
      </c>
      <c r="I814" t="s">
        <v>258</v>
      </c>
      <c r="J814" s="13">
        <v>0.375</v>
      </c>
      <c r="K814" s="13">
        <v>0.37916666666666665</v>
      </c>
      <c r="L814" s="13">
        <v>0.38750000000000001</v>
      </c>
      <c r="M814">
        <v>30</v>
      </c>
      <c r="N814" s="14">
        <v>65</v>
      </c>
      <c r="O814" t="s">
        <v>195</v>
      </c>
      <c r="P814">
        <v>5</v>
      </c>
      <c r="Q814" t="s">
        <v>305</v>
      </c>
      <c r="R814" t="s">
        <v>2065</v>
      </c>
      <c r="S814">
        <v>0</v>
      </c>
      <c r="T814">
        <v>0</v>
      </c>
      <c r="U814" t="s">
        <v>2299</v>
      </c>
      <c r="V814" t="s">
        <v>2295</v>
      </c>
      <c r="W814" t="s">
        <v>2300</v>
      </c>
      <c r="X814" t="s">
        <v>2288</v>
      </c>
      <c r="Y814" t="s">
        <v>2301</v>
      </c>
      <c r="Z814" t="s">
        <v>2306</v>
      </c>
      <c r="AA814">
        <v>7</v>
      </c>
      <c r="AB814" s="14">
        <v>65</v>
      </c>
      <c r="AC814" t="s">
        <v>2307</v>
      </c>
      <c r="AD814" t="s">
        <v>2308</v>
      </c>
      <c r="AE814" t="s">
        <v>2643</v>
      </c>
      <c r="AF814">
        <v>3</v>
      </c>
      <c r="AG814">
        <v>1</v>
      </c>
      <c r="AH814">
        <v>12</v>
      </c>
      <c r="AI814">
        <v>1</v>
      </c>
      <c r="AJ814">
        <v>1</v>
      </c>
      <c r="AK814">
        <v>0</v>
      </c>
      <c r="AL814">
        <v>1</v>
      </c>
      <c r="AM814" s="14">
        <v>0</v>
      </c>
      <c r="AN814" t="s">
        <v>2644</v>
      </c>
      <c r="AO814" s="12">
        <v>46174</v>
      </c>
      <c r="AP814">
        <v>2026</v>
      </c>
      <c r="AQ814">
        <v>6</v>
      </c>
      <c r="AR814" t="s">
        <v>2653</v>
      </c>
    </row>
    <row r="815" spans="1:44">
      <c r="A815" t="s">
        <v>2099</v>
      </c>
      <c r="B815" s="12">
        <v>46180</v>
      </c>
      <c r="C815" s="12">
        <v>46167</v>
      </c>
      <c r="D815" t="s">
        <v>839</v>
      </c>
      <c r="E815" t="s">
        <v>255</v>
      </c>
      <c r="F815" t="s">
        <v>256</v>
      </c>
      <c r="G815" t="s">
        <v>257</v>
      </c>
      <c r="H815" t="s">
        <v>115</v>
      </c>
      <c r="I815" t="s">
        <v>258</v>
      </c>
      <c r="J815" s="13">
        <v>0.375</v>
      </c>
      <c r="K815" s="13">
        <v>0.38611111111111113</v>
      </c>
      <c r="L815" s="13">
        <v>0.37986111111111109</v>
      </c>
      <c r="M815">
        <v>45</v>
      </c>
      <c r="N815" s="14">
        <v>95</v>
      </c>
      <c r="O815" t="s">
        <v>195</v>
      </c>
      <c r="P815">
        <v>4</v>
      </c>
      <c r="Q815" t="s">
        <v>305</v>
      </c>
      <c r="R815" t="s">
        <v>2065</v>
      </c>
      <c r="S815">
        <v>0</v>
      </c>
      <c r="T815">
        <v>0</v>
      </c>
      <c r="U815" t="s">
        <v>2299</v>
      </c>
      <c r="V815" t="s">
        <v>2295</v>
      </c>
      <c r="W815" t="s">
        <v>2300</v>
      </c>
      <c r="X815" t="s">
        <v>2288</v>
      </c>
      <c r="Y815" t="s">
        <v>2301</v>
      </c>
      <c r="Z815" t="s">
        <v>2312</v>
      </c>
      <c r="AA815">
        <v>21</v>
      </c>
      <c r="AB815" s="14">
        <v>95</v>
      </c>
      <c r="AC815" t="s">
        <v>2313</v>
      </c>
      <c r="AD815" t="s">
        <v>2314</v>
      </c>
      <c r="AE815" t="s">
        <v>2643</v>
      </c>
      <c r="AF815">
        <v>13</v>
      </c>
      <c r="AG815">
        <v>1</v>
      </c>
      <c r="AJ815">
        <v>1</v>
      </c>
      <c r="AK815">
        <v>0</v>
      </c>
      <c r="AL815">
        <v>1</v>
      </c>
      <c r="AM815" s="14">
        <v>0</v>
      </c>
      <c r="AN815" t="s">
        <v>2644</v>
      </c>
      <c r="AO815" s="12">
        <v>46174</v>
      </c>
      <c r="AP815">
        <v>2026</v>
      </c>
      <c r="AQ815">
        <v>6</v>
      </c>
      <c r="AR815" t="s">
        <v>2653</v>
      </c>
    </row>
    <row r="816" spans="1:44">
      <c r="A816" t="s">
        <v>2100</v>
      </c>
      <c r="B816" s="12">
        <v>46202</v>
      </c>
      <c r="C816" s="12">
        <v>46151</v>
      </c>
      <c r="D816" t="s">
        <v>1012</v>
      </c>
      <c r="E816" t="s">
        <v>255</v>
      </c>
      <c r="F816" t="s">
        <v>269</v>
      </c>
      <c r="G816" t="s">
        <v>542</v>
      </c>
      <c r="H816" t="s">
        <v>115</v>
      </c>
      <c r="I816" t="s">
        <v>271</v>
      </c>
      <c r="J816" s="13">
        <v>0.39583333333333331</v>
      </c>
      <c r="K816" s="13">
        <v>0.39166666666666666</v>
      </c>
      <c r="L816" s="13">
        <v>0.40555555555555556</v>
      </c>
      <c r="M816">
        <v>60</v>
      </c>
      <c r="N816" s="14">
        <v>80</v>
      </c>
      <c r="O816" t="s">
        <v>195</v>
      </c>
      <c r="P816">
        <v>5</v>
      </c>
      <c r="Q816" t="s">
        <v>262</v>
      </c>
      <c r="R816" t="s">
        <v>2065</v>
      </c>
      <c r="S816">
        <v>0</v>
      </c>
      <c r="T816">
        <v>0</v>
      </c>
      <c r="U816" t="s">
        <v>2299</v>
      </c>
      <c r="V816" t="s">
        <v>2295</v>
      </c>
      <c r="W816" t="s">
        <v>2300</v>
      </c>
      <c r="X816" t="s">
        <v>2288</v>
      </c>
      <c r="Y816" t="s">
        <v>2301</v>
      </c>
      <c r="Z816" t="s">
        <v>2315</v>
      </c>
      <c r="AA816">
        <v>10</v>
      </c>
      <c r="AB816" s="14">
        <v>80</v>
      </c>
      <c r="AC816" t="s">
        <v>2316</v>
      </c>
      <c r="AD816" t="s">
        <v>2317</v>
      </c>
      <c r="AE816" t="s">
        <v>2643</v>
      </c>
      <c r="AF816">
        <v>51</v>
      </c>
      <c r="AG816">
        <v>0</v>
      </c>
      <c r="AH816">
        <v>20</v>
      </c>
      <c r="AI816">
        <v>1</v>
      </c>
      <c r="AJ816">
        <v>1</v>
      </c>
      <c r="AK816">
        <v>0</v>
      </c>
      <c r="AL816">
        <v>1</v>
      </c>
      <c r="AM816" s="14">
        <v>0</v>
      </c>
      <c r="AN816" t="s">
        <v>2644</v>
      </c>
      <c r="AO816" s="12">
        <v>46174</v>
      </c>
      <c r="AP816">
        <v>2026</v>
      </c>
      <c r="AQ816">
        <v>6</v>
      </c>
      <c r="AR816" t="s">
        <v>2653</v>
      </c>
    </row>
    <row r="817" spans="1:44">
      <c r="A817" t="s">
        <v>2101</v>
      </c>
      <c r="B817" s="12">
        <v>46192</v>
      </c>
      <c r="C817" s="12">
        <v>46153</v>
      </c>
      <c r="D817" t="s">
        <v>1103</v>
      </c>
      <c r="E817" t="s">
        <v>255</v>
      </c>
      <c r="F817" t="s">
        <v>269</v>
      </c>
      <c r="G817" t="s">
        <v>542</v>
      </c>
      <c r="H817" t="s">
        <v>466</v>
      </c>
      <c r="I817" t="s">
        <v>299</v>
      </c>
      <c r="J817" s="13">
        <v>0.58333333333333337</v>
      </c>
      <c r="K817" s="13"/>
      <c r="L817" s="13"/>
      <c r="M817">
        <v>0</v>
      </c>
      <c r="N817" s="14">
        <v>80</v>
      </c>
      <c r="O817" t="s">
        <v>195</v>
      </c>
      <c r="Q817" t="s">
        <v>326</v>
      </c>
      <c r="R817" t="s">
        <v>2065</v>
      </c>
      <c r="S817">
        <v>0</v>
      </c>
      <c r="T817">
        <v>0</v>
      </c>
      <c r="U817" t="s">
        <v>2299</v>
      </c>
      <c r="V817" t="s">
        <v>2295</v>
      </c>
      <c r="W817" t="s">
        <v>2300</v>
      </c>
      <c r="X817" t="s">
        <v>2288</v>
      </c>
      <c r="Y817" t="s">
        <v>2301</v>
      </c>
      <c r="Z817" t="s">
        <v>2315</v>
      </c>
      <c r="AA817">
        <v>10</v>
      </c>
      <c r="AB817" s="14">
        <v>80</v>
      </c>
      <c r="AC817" t="s">
        <v>2316</v>
      </c>
      <c r="AD817" t="s">
        <v>2317</v>
      </c>
      <c r="AE817" t="s">
        <v>2643</v>
      </c>
      <c r="AF817">
        <v>39</v>
      </c>
      <c r="AG817">
        <v>0</v>
      </c>
      <c r="AJ817">
        <v>0</v>
      </c>
      <c r="AL817">
        <v>1</v>
      </c>
      <c r="AM817" s="14">
        <v>0</v>
      </c>
      <c r="AN817" t="s">
        <v>2644</v>
      </c>
      <c r="AO817" s="12">
        <v>46174</v>
      </c>
      <c r="AP817">
        <v>2026</v>
      </c>
      <c r="AQ817">
        <v>6</v>
      </c>
      <c r="AR817" t="s">
        <v>2653</v>
      </c>
    </row>
    <row r="818" spans="1:44">
      <c r="A818" t="s">
        <v>2102</v>
      </c>
      <c r="B818" s="12">
        <v>46203</v>
      </c>
      <c r="C818" s="12">
        <v>46149</v>
      </c>
      <c r="D818" t="s">
        <v>1537</v>
      </c>
      <c r="E818" t="s">
        <v>268</v>
      </c>
      <c r="F818" t="s">
        <v>409</v>
      </c>
      <c r="G818" t="s">
        <v>552</v>
      </c>
      <c r="H818" t="s">
        <v>122</v>
      </c>
      <c r="I818" t="s">
        <v>299</v>
      </c>
      <c r="J818" s="13">
        <v>0.33333333333333331</v>
      </c>
      <c r="K818" s="13"/>
      <c r="L818" s="13"/>
      <c r="M818">
        <v>0</v>
      </c>
      <c r="N818" s="14">
        <v>150</v>
      </c>
      <c r="O818" t="s">
        <v>195</v>
      </c>
      <c r="Q818" t="s">
        <v>305</v>
      </c>
      <c r="R818" t="s">
        <v>2065</v>
      </c>
      <c r="S818">
        <v>0</v>
      </c>
      <c r="T818">
        <v>0</v>
      </c>
      <c r="U818" t="s">
        <v>2285</v>
      </c>
      <c r="V818" t="s">
        <v>2286</v>
      </c>
      <c r="W818" t="s">
        <v>2287</v>
      </c>
      <c r="X818" t="s">
        <v>2288</v>
      </c>
      <c r="Y818" t="s">
        <v>2289</v>
      </c>
      <c r="Z818" t="s">
        <v>2318</v>
      </c>
      <c r="AA818">
        <v>28</v>
      </c>
      <c r="AB818" s="14">
        <v>150</v>
      </c>
      <c r="AC818" t="s">
        <v>2319</v>
      </c>
      <c r="AD818" t="s">
        <v>2320</v>
      </c>
      <c r="AE818" t="s">
        <v>2643</v>
      </c>
      <c r="AF818">
        <v>54</v>
      </c>
      <c r="AG818">
        <v>0</v>
      </c>
      <c r="AJ818">
        <v>1</v>
      </c>
      <c r="AK818">
        <v>1</v>
      </c>
      <c r="AL818">
        <v>1</v>
      </c>
      <c r="AM818" s="14">
        <v>0</v>
      </c>
      <c r="AN818" t="s">
        <v>2644</v>
      </c>
      <c r="AO818" s="12">
        <v>46174</v>
      </c>
      <c r="AP818">
        <v>2026</v>
      </c>
      <c r="AQ818">
        <v>6</v>
      </c>
      <c r="AR818" t="s">
        <v>2653</v>
      </c>
    </row>
    <row r="819" spans="1:44">
      <c r="A819" t="s">
        <v>2104</v>
      </c>
      <c r="B819" s="12">
        <v>46190</v>
      </c>
      <c r="C819" s="12">
        <v>46152</v>
      </c>
      <c r="D819" t="s">
        <v>1130</v>
      </c>
      <c r="E819" t="s">
        <v>339</v>
      </c>
      <c r="F819" t="s">
        <v>256</v>
      </c>
      <c r="G819" t="s">
        <v>403</v>
      </c>
      <c r="H819" t="s">
        <v>122</v>
      </c>
      <c r="I819" t="s">
        <v>316</v>
      </c>
      <c r="J819" s="13">
        <v>0.58333333333333337</v>
      </c>
      <c r="K819" s="13"/>
      <c r="L819" s="13"/>
      <c r="M819">
        <v>0</v>
      </c>
      <c r="N819" s="14">
        <v>95</v>
      </c>
      <c r="O819" t="s">
        <v>195</v>
      </c>
      <c r="Q819" t="s">
        <v>318</v>
      </c>
      <c r="R819" t="s">
        <v>2065</v>
      </c>
      <c r="S819">
        <v>0</v>
      </c>
      <c r="T819">
        <v>0</v>
      </c>
      <c r="U819" t="s">
        <v>2294</v>
      </c>
      <c r="V819" t="s">
        <v>2295</v>
      </c>
      <c r="W819" t="s">
        <v>2296</v>
      </c>
      <c r="X819" t="s">
        <v>2297</v>
      </c>
      <c r="Y819" t="s">
        <v>2298</v>
      </c>
      <c r="Z819" t="s">
        <v>2312</v>
      </c>
      <c r="AA819">
        <v>21</v>
      </c>
      <c r="AB819" s="14">
        <v>95</v>
      </c>
      <c r="AC819" t="s">
        <v>2313</v>
      </c>
      <c r="AD819" t="s">
        <v>2314</v>
      </c>
      <c r="AE819" t="s">
        <v>2643</v>
      </c>
      <c r="AF819">
        <v>38</v>
      </c>
      <c r="AG819">
        <v>0</v>
      </c>
      <c r="AJ819">
        <v>1</v>
      </c>
      <c r="AK819">
        <v>1</v>
      </c>
      <c r="AL819">
        <v>1</v>
      </c>
      <c r="AM819" s="14">
        <v>0</v>
      </c>
      <c r="AN819" t="s">
        <v>2644</v>
      </c>
      <c r="AO819" s="12">
        <v>46174</v>
      </c>
      <c r="AP819">
        <v>2026</v>
      </c>
      <c r="AQ819">
        <v>6</v>
      </c>
      <c r="AR819" t="s">
        <v>2653</v>
      </c>
    </row>
    <row r="820" spans="1:44">
      <c r="A820" t="s">
        <v>2105</v>
      </c>
      <c r="B820" s="12">
        <v>46180</v>
      </c>
      <c r="C820" s="12">
        <v>46153</v>
      </c>
      <c r="D820" t="s">
        <v>2106</v>
      </c>
      <c r="E820" t="s">
        <v>268</v>
      </c>
      <c r="F820" t="s">
        <v>256</v>
      </c>
      <c r="G820" t="s">
        <v>419</v>
      </c>
      <c r="H820" t="s">
        <v>122</v>
      </c>
      <c r="I820" t="s">
        <v>299</v>
      </c>
      <c r="J820" s="13">
        <v>0.54166666666666663</v>
      </c>
      <c r="K820" s="13"/>
      <c r="L820" s="13"/>
      <c r="M820">
        <v>0</v>
      </c>
      <c r="N820" s="14">
        <v>95</v>
      </c>
      <c r="O820" t="s">
        <v>195</v>
      </c>
      <c r="Q820" t="s">
        <v>326</v>
      </c>
      <c r="R820" t="s">
        <v>2065</v>
      </c>
      <c r="S820">
        <v>0</v>
      </c>
      <c r="T820">
        <v>0</v>
      </c>
      <c r="U820" t="s">
        <v>2285</v>
      </c>
      <c r="V820" t="s">
        <v>2286</v>
      </c>
      <c r="W820" t="s">
        <v>2287</v>
      </c>
      <c r="X820" t="s">
        <v>2288</v>
      </c>
      <c r="Y820" t="s">
        <v>2289</v>
      </c>
      <c r="Z820" t="s">
        <v>2312</v>
      </c>
      <c r="AA820">
        <v>21</v>
      </c>
      <c r="AB820" s="14">
        <v>95</v>
      </c>
      <c r="AC820" t="s">
        <v>2313</v>
      </c>
      <c r="AD820" t="s">
        <v>2314</v>
      </c>
      <c r="AE820" t="s">
        <v>2643</v>
      </c>
      <c r="AF820">
        <v>27</v>
      </c>
      <c r="AG820">
        <v>0</v>
      </c>
      <c r="AJ820">
        <v>1</v>
      </c>
      <c r="AK820">
        <v>1</v>
      </c>
      <c r="AL820">
        <v>1</v>
      </c>
      <c r="AM820" s="14">
        <v>0</v>
      </c>
      <c r="AN820" t="s">
        <v>2644</v>
      </c>
      <c r="AO820" s="12">
        <v>46174</v>
      </c>
      <c r="AP820">
        <v>2026</v>
      </c>
      <c r="AQ820">
        <v>6</v>
      </c>
      <c r="AR820" t="s">
        <v>2653</v>
      </c>
    </row>
    <row r="821" spans="1:44">
      <c r="A821" t="s">
        <v>2107</v>
      </c>
      <c r="B821" s="12">
        <v>46202</v>
      </c>
      <c r="C821" s="12">
        <v>46157</v>
      </c>
      <c r="D821" t="s">
        <v>1012</v>
      </c>
      <c r="E821" t="s">
        <v>339</v>
      </c>
      <c r="F821" t="s">
        <v>297</v>
      </c>
      <c r="G821" t="s">
        <v>569</v>
      </c>
      <c r="H821" t="s">
        <v>115</v>
      </c>
      <c r="I821" t="s">
        <v>258</v>
      </c>
      <c r="J821" s="13">
        <v>0.64583333333333337</v>
      </c>
      <c r="K821" s="13">
        <v>0.64930555555555558</v>
      </c>
      <c r="L821" s="13">
        <v>0.65486111111111112</v>
      </c>
      <c r="M821">
        <v>30</v>
      </c>
      <c r="N821" s="14">
        <v>65</v>
      </c>
      <c r="O821" t="s">
        <v>195</v>
      </c>
      <c r="P821">
        <v>5</v>
      </c>
      <c r="Q821" t="s">
        <v>318</v>
      </c>
      <c r="R821" t="s">
        <v>2065</v>
      </c>
      <c r="S821">
        <v>0</v>
      </c>
      <c r="T821">
        <v>0</v>
      </c>
      <c r="U821" t="s">
        <v>2294</v>
      </c>
      <c r="V821" t="s">
        <v>2295</v>
      </c>
      <c r="W821" t="s">
        <v>2296</v>
      </c>
      <c r="X821" t="s">
        <v>2297</v>
      </c>
      <c r="Y821" t="s">
        <v>2298</v>
      </c>
      <c r="Z821" t="s">
        <v>2306</v>
      </c>
      <c r="AA821">
        <v>7</v>
      </c>
      <c r="AB821" s="14">
        <v>65</v>
      </c>
      <c r="AC821" t="s">
        <v>2307</v>
      </c>
      <c r="AD821" t="s">
        <v>2308</v>
      </c>
      <c r="AE821" t="s">
        <v>2643</v>
      </c>
      <c r="AF821">
        <v>45</v>
      </c>
      <c r="AG821">
        <v>0</v>
      </c>
      <c r="AH821">
        <v>8</v>
      </c>
      <c r="AI821">
        <v>1</v>
      </c>
      <c r="AJ821">
        <v>1</v>
      </c>
      <c r="AK821">
        <v>0</v>
      </c>
      <c r="AL821">
        <v>1</v>
      </c>
      <c r="AM821" s="14">
        <v>0</v>
      </c>
      <c r="AN821" t="s">
        <v>2644</v>
      </c>
      <c r="AO821" s="12">
        <v>46174</v>
      </c>
      <c r="AP821">
        <v>2026</v>
      </c>
      <c r="AQ821">
        <v>6</v>
      </c>
      <c r="AR821" t="s">
        <v>2653</v>
      </c>
    </row>
    <row r="822" spans="1:44">
      <c r="A822" t="s">
        <v>2109</v>
      </c>
      <c r="B822" s="12">
        <v>46186</v>
      </c>
      <c r="C822" s="12">
        <v>46137</v>
      </c>
      <c r="D822" t="s">
        <v>655</v>
      </c>
      <c r="E822" t="s">
        <v>255</v>
      </c>
      <c r="F822" t="s">
        <v>269</v>
      </c>
      <c r="G822" t="s">
        <v>542</v>
      </c>
      <c r="H822" t="s">
        <v>115</v>
      </c>
      <c r="I822" t="s">
        <v>316</v>
      </c>
      <c r="J822" s="13">
        <v>0.5</v>
      </c>
      <c r="K822" s="13">
        <v>0.49583333333333335</v>
      </c>
      <c r="L822" s="13">
        <v>0.50486111111111109</v>
      </c>
      <c r="M822">
        <v>60</v>
      </c>
      <c r="N822" s="14">
        <v>80</v>
      </c>
      <c r="O822" t="s">
        <v>169</v>
      </c>
      <c r="P822">
        <v>4</v>
      </c>
      <c r="Q822" t="s">
        <v>326</v>
      </c>
      <c r="R822" t="s">
        <v>2065</v>
      </c>
      <c r="S822">
        <v>0</v>
      </c>
      <c r="T822">
        <v>0</v>
      </c>
      <c r="U822" t="s">
        <v>2299</v>
      </c>
      <c r="V822" t="s">
        <v>2295</v>
      </c>
      <c r="W822" t="s">
        <v>2300</v>
      </c>
      <c r="X822" t="s">
        <v>2288</v>
      </c>
      <c r="Y822" t="s">
        <v>2301</v>
      </c>
      <c r="Z822" t="s">
        <v>2315</v>
      </c>
      <c r="AA822">
        <v>10</v>
      </c>
      <c r="AB822" s="14">
        <v>80</v>
      </c>
      <c r="AC822" t="s">
        <v>2316</v>
      </c>
      <c r="AD822" t="s">
        <v>2317</v>
      </c>
      <c r="AE822" t="s">
        <v>2643</v>
      </c>
      <c r="AF822">
        <v>49</v>
      </c>
      <c r="AG822">
        <v>0</v>
      </c>
      <c r="AH822">
        <v>13</v>
      </c>
      <c r="AI822">
        <v>1</v>
      </c>
      <c r="AJ822">
        <v>1</v>
      </c>
      <c r="AK822">
        <v>0</v>
      </c>
      <c r="AL822">
        <v>1</v>
      </c>
      <c r="AM822" s="14">
        <v>0</v>
      </c>
      <c r="AN822" t="s">
        <v>2644</v>
      </c>
      <c r="AO822" s="12">
        <v>46174</v>
      </c>
      <c r="AP822">
        <v>2026</v>
      </c>
      <c r="AQ822">
        <v>6</v>
      </c>
      <c r="AR822" t="s">
        <v>2653</v>
      </c>
    </row>
    <row r="823" spans="1:44">
      <c r="A823" t="s">
        <v>2110</v>
      </c>
      <c r="B823" s="12">
        <v>46191</v>
      </c>
      <c r="C823" s="12">
        <v>46156</v>
      </c>
      <c r="D823" t="s">
        <v>1297</v>
      </c>
      <c r="E823" t="s">
        <v>339</v>
      </c>
      <c r="F823" t="s">
        <v>269</v>
      </c>
      <c r="G823" t="s">
        <v>340</v>
      </c>
      <c r="H823" t="s">
        <v>115</v>
      </c>
      <c r="I823" t="s">
        <v>258</v>
      </c>
      <c r="J823" s="13">
        <v>0.66666666666666663</v>
      </c>
      <c r="K823" s="13">
        <v>0.67083333333333328</v>
      </c>
      <c r="L823" s="13">
        <v>0.66736111111111107</v>
      </c>
      <c r="M823">
        <v>20</v>
      </c>
      <c r="N823" s="14">
        <v>80</v>
      </c>
      <c r="O823" t="s">
        <v>195</v>
      </c>
      <c r="P823">
        <v>2</v>
      </c>
      <c r="Q823" t="s">
        <v>305</v>
      </c>
      <c r="R823" t="s">
        <v>2065</v>
      </c>
      <c r="S823">
        <v>0</v>
      </c>
      <c r="T823">
        <v>0</v>
      </c>
      <c r="U823" t="s">
        <v>2294</v>
      </c>
      <c r="V823" t="s">
        <v>2295</v>
      </c>
      <c r="W823" t="s">
        <v>2296</v>
      </c>
      <c r="X823" t="s">
        <v>2297</v>
      </c>
      <c r="Y823" t="s">
        <v>2298</v>
      </c>
      <c r="Z823" t="s">
        <v>2315</v>
      </c>
      <c r="AA823">
        <v>10</v>
      </c>
      <c r="AB823" s="14">
        <v>80</v>
      </c>
      <c r="AC823" t="s">
        <v>2316</v>
      </c>
      <c r="AD823" t="s">
        <v>2317</v>
      </c>
      <c r="AE823" t="s">
        <v>2643</v>
      </c>
      <c r="AF823">
        <v>35</v>
      </c>
      <c r="AG823">
        <v>0</v>
      </c>
      <c r="AJ823">
        <v>1</v>
      </c>
      <c r="AK823">
        <v>0</v>
      </c>
      <c r="AL823">
        <v>1</v>
      </c>
      <c r="AM823" s="14">
        <v>0</v>
      </c>
      <c r="AN823" t="s">
        <v>2644</v>
      </c>
      <c r="AO823" s="12">
        <v>46174</v>
      </c>
      <c r="AP823">
        <v>2026</v>
      </c>
      <c r="AQ823">
        <v>6</v>
      </c>
      <c r="AR823" t="s">
        <v>2653</v>
      </c>
    </row>
    <row r="824" spans="1:44">
      <c r="A824" t="s">
        <v>2111</v>
      </c>
      <c r="B824" s="12">
        <v>46194</v>
      </c>
      <c r="C824" s="12">
        <v>46144</v>
      </c>
      <c r="D824" t="s">
        <v>1361</v>
      </c>
      <c r="E824" t="s">
        <v>281</v>
      </c>
      <c r="F824" t="s">
        <v>269</v>
      </c>
      <c r="G824" t="s">
        <v>363</v>
      </c>
      <c r="H824" t="s">
        <v>115</v>
      </c>
      <c r="I824" t="s">
        <v>271</v>
      </c>
      <c r="J824" s="13">
        <v>0.45833333333333331</v>
      </c>
      <c r="K824" s="13">
        <v>0.46527777777777779</v>
      </c>
      <c r="L824" s="13">
        <v>0.47986111111111113</v>
      </c>
      <c r="M824">
        <v>60</v>
      </c>
      <c r="N824" s="14">
        <v>80</v>
      </c>
      <c r="O824" t="s">
        <v>195</v>
      </c>
      <c r="P824">
        <v>4</v>
      </c>
      <c r="Q824" t="s">
        <v>305</v>
      </c>
      <c r="R824" t="s">
        <v>2065</v>
      </c>
      <c r="S824">
        <v>0</v>
      </c>
      <c r="T824">
        <v>0</v>
      </c>
      <c r="U824" t="s">
        <v>2290</v>
      </c>
      <c r="V824" t="s">
        <v>2291</v>
      </c>
      <c r="W824" t="s">
        <v>2292</v>
      </c>
      <c r="X824" t="s">
        <v>2288</v>
      </c>
      <c r="Y824" t="s">
        <v>2293</v>
      </c>
      <c r="Z824" t="s">
        <v>2315</v>
      </c>
      <c r="AA824">
        <v>10</v>
      </c>
      <c r="AB824" s="14">
        <v>80</v>
      </c>
      <c r="AC824" t="s">
        <v>2316</v>
      </c>
      <c r="AD824" t="s">
        <v>2317</v>
      </c>
      <c r="AE824" t="s">
        <v>2643</v>
      </c>
      <c r="AF824">
        <v>50</v>
      </c>
      <c r="AG824">
        <v>0</v>
      </c>
      <c r="AH824">
        <v>21</v>
      </c>
      <c r="AI824">
        <v>1</v>
      </c>
      <c r="AJ824">
        <v>1</v>
      </c>
      <c r="AK824">
        <v>0</v>
      </c>
      <c r="AL824">
        <v>1</v>
      </c>
      <c r="AM824" s="14">
        <v>0</v>
      </c>
      <c r="AN824" t="s">
        <v>2644</v>
      </c>
      <c r="AO824" s="12">
        <v>46174</v>
      </c>
      <c r="AP824">
        <v>2026</v>
      </c>
      <c r="AQ824">
        <v>6</v>
      </c>
      <c r="AR824" t="s">
        <v>2653</v>
      </c>
    </row>
    <row r="825" spans="1:44">
      <c r="A825" t="s">
        <v>2112</v>
      </c>
      <c r="B825" s="12">
        <v>46193</v>
      </c>
      <c r="C825" s="12">
        <v>46190</v>
      </c>
      <c r="D825" t="s">
        <v>309</v>
      </c>
      <c r="E825" t="s">
        <v>255</v>
      </c>
      <c r="F825" t="s">
        <v>269</v>
      </c>
      <c r="G825" t="s">
        <v>391</v>
      </c>
      <c r="H825" t="s">
        <v>127</v>
      </c>
      <c r="I825" t="s">
        <v>271</v>
      </c>
      <c r="J825" s="13">
        <v>0.60416666666666663</v>
      </c>
      <c r="K825" s="13"/>
      <c r="L825" s="13"/>
      <c r="M825">
        <v>0</v>
      </c>
      <c r="N825" s="14">
        <v>80</v>
      </c>
      <c r="O825" t="s">
        <v>195</v>
      </c>
      <c r="Q825" t="s">
        <v>326</v>
      </c>
      <c r="R825" t="s">
        <v>2065</v>
      </c>
      <c r="S825">
        <v>0</v>
      </c>
      <c r="T825">
        <v>0</v>
      </c>
      <c r="U825" t="s">
        <v>2299</v>
      </c>
      <c r="V825" t="s">
        <v>2295</v>
      </c>
      <c r="W825" t="s">
        <v>2300</v>
      </c>
      <c r="X825" t="s">
        <v>2288</v>
      </c>
      <c r="Y825" t="s">
        <v>2301</v>
      </c>
      <c r="Z825" t="s">
        <v>2315</v>
      </c>
      <c r="AA825">
        <v>10</v>
      </c>
      <c r="AB825" s="14">
        <v>80</v>
      </c>
      <c r="AC825" t="s">
        <v>2316</v>
      </c>
      <c r="AD825" t="s">
        <v>2317</v>
      </c>
      <c r="AE825" t="s">
        <v>2643</v>
      </c>
      <c r="AF825">
        <v>3</v>
      </c>
      <c r="AG825">
        <v>1</v>
      </c>
      <c r="AJ825">
        <v>0</v>
      </c>
      <c r="AL825">
        <v>1</v>
      </c>
      <c r="AM825" s="14">
        <v>0</v>
      </c>
      <c r="AN825" t="s">
        <v>2644</v>
      </c>
      <c r="AO825" s="12">
        <v>46174</v>
      </c>
      <c r="AP825">
        <v>2026</v>
      </c>
      <c r="AQ825">
        <v>6</v>
      </c>
      <c r="AR825" t="s">
        <v>2653</v>
      </c>
    </row>
    <row r="826" spans="1:44">
      <c r="A826" t="s">
        <v>2113</v>
      </c>
      <c r="B826" s="12">
        <v>46185</v>
      </c>
      <c r="C826" s="12">
        <v>46139</v>
      </c>
      <c r="D826" t="s">
        <v>765</v>
      </c>
      <c r="E826" t="s">
        <v>281</v>
      </c>
      <c r="F826" t="s">
        <v>409</v>
      </c>
      <c r="G826" t="s">
        <v>535</v>
      </c>
      <c r="H826" t="s">
        <v>115</v>
      </c>
      <c r="I826" t="s">
        <v>299</v>
      </c>
      <c r="J826" s="13">
        <v>0.33333333333333331</v>
      </c>
      <c r="K826" s="13">
        <v>0.3347222222222222</v>
      </c>
      <c r="L826" s="13">
        <v>0.34097222222222223</v>
      </c>
      <c r="M826">
        <v>20</v>
      </c>
      <c r="N826" s="14">
        <v>150</v>
      </c>
      <c r="O826" t="s">
        <v>169</v>
      </c>
      <c r="P826">
        <v>3</v>
      </c>
      <c r="Q826" t="s">
        <v>262</v>
      </c>
      <c r="R826" t="s">
        <v>2065</v>
      </c>
      <c r="S826">
        <v>0</v>
      </c>
      <c r="T826">
        <v>0</v>
      </c>
      <c r="U826" t="s">
        <v>2290</v>
      </c>
      <c r="V826" t="s">
        <v>2291</v>
      </c>
      <c r="W826" t="s">
        <v>2292</v>
      </c>
      <c r="X826" t="s">
        <v>2288</v>
      </c>
      <c r="Y826" t="s">
        <v>2293</v>
      </c>
      <c r="Z826" t="s">
        <v>2318</v>
      </c>
      <c r="AA826">
        <v>28</v>
      </c>
      <c r="AB826" s="14">
        <v>150</v>
      </c>
      <c r="AC826" t="s">
        <v>2319</v>
      </c>
      <c r="AD826" t="s">
        <v>2320</v>
      </c>
      <c r="AE826" t="s">
        <v>2643</v>
      </c>
      <c r="AF826">
        <v>46</v>
      </c>
      <c r="AG826">
        <v>0</v>
      </c>
      <c r="AH826">
        <v>9</v>
      </c>
      <c r="AI826">
        <v>1</v>
      </c>
      <c r="AJ826">
        <v>1</v>
      </c>
      <c r="AK826">
        <v>0</v>
      </c>
      <c r="AL826">
        <v>1</v>
      </c>
      <c r="AM826" s="14">
        <v>0</v>
      </c>
      <c r="AN826" t="s">
        <v>2644</v>
      </c>
      <c r="AO826" s="12">
        <v>46174</v>
      </c>
      <c r="AP826">
        <v>2026</v>
      </c>
      <c r="AQ826">
        <v>6</v>
      </c>
      <c r="AR826" t="s">
        <v>2653</v>
      </c>
    </row>
    <row r="827" spans="1:44">
      <c r="A827" t="s">
        <v>2117</v>
      </c>
      <c r="B827" s="12">
        <v>46188</v>
      </c>
      <c r="C827" s="12">
        <v>46176</v>
      </c>
      <c r="D827" t="s">
        <v>1280</v>
      </c>
      <c r="E827" t="s">
        <v>339</v>
      </c>
      <c r="F827" t="s">
        <v>282</v>
      </c>
      <c r="G827" t="s">
        <v>461</v>
      </c>
      <c r="H827" t="s">
        <v>122</v>
      </c>
      <c r="I827" t="s">
        <v>258</v>
      </c>
      <c r="J827" s="13">
        <v>0.4375</v>
      </c>
      <c r="K827" s="13">
        <v>0.43958333333333333</v>
      </c>
      <c r="L827" s="13">
        <v>0.43958333333333333</v>
      </c>
      <c r="M827">
        <v>20</v>
      </c>
      <c r="N827" s="14">
        <v>120</v>
      </c>
      <c r="O827" t="s">
        <v>195</v>
      </c>
      <c r="P827">
        <v>3</v>
      </c>
      <c r="Q827" t="s">
        <v>305</v>
      </c>
      <c r="R827" t="s">
        <v>2065</v>
      </c>
      <c r="S827">
        <v>0</v>
      </c>
      <c r="T827">
        <v>0</v>
      </c>
      <c r="U827" t="s">
        <v>2294</v>
      </c>
      <c r="V827" t="s">
        <v>2295</v>
      </c>
      <c r="W827" t="s">
        <v>2296</v>
      </c>
      <c r="X827" t="s">
        <v>2297</v>
      </c>
      <c r="Y827" t="s">
        <v>2298</v>
      </c>
      <c r="Z827" t="s">
        <v>2309</v>
      </c>
      <c r="AA827">
        <v>14</v>
      </c>
      <c r="AB827" s="14">
        <v>120</v>
      </c>
      <c r="AC827" t="s">
        <v>2310</v>
      </c>
      <c r="AD827" t="s">
        <v>2311</v>
      </c>
      <c r="AE827" t="s">
        <v>2643</v>
      </c>
      <c r="AF827">
        <v>12</v>
      </c>
      <c r="AG827">
        <v>1</v>
      </c>
      <c r="AJ827">
        <v>1</v>
      </c>
      <c r="AK827">
        <v>1</v>
      </c>
      <c r="AL827">
        <v>1</v>
      </c>
      <c r="AM827" s="14">
        <v>0</v>
      </c>
      <c r="AN827" t="s">
        <v>2644</v>
      </c>
      <c r="AO827" s="12">
        <v>46174</v>
      </c>
      <c r="AP827">
        <v>2026</v>
      </c>
      <c r="AQ827">
        <v>6</v>
      </c>
      <c r="AR827" t="s">
        <v>2653</v>
      </c>
    </row>
    <row r="828" spans="1:44">
      <c r="A828" t="s">
        <v>2119</v>
      </c>
      <c r="B828" s="12">
        <v>46181</v>
      </c>
      <c r="C828" s="12">
        <v>46140</v>
      </c>
      <c r="D828" t="s">
        <v>1466</v>
      </c>
      <c r="E828" t="s">
        <v>339</v>
      </c>
      <c r="F828" t="s">
        <v>297</v>
      </c>
      <c r="G828" t="s">
        <v>569</v>
      </c>
      <c r="H828" t="s">
        <v>127</v>
      </c>
      <c r="I828" t="s">
        <v>271</v>
      </c>
      <c r="J828" s="13">
        <v>0.375</v>
      </c>
      <c r="K828" s="13"/>
      <c r="L828" s="13"/>
      <c r="M828">
        <v>0</v>
      </c>
      <c r="N828" s="14">
        <v>65</v>
      </c>
      <c r="O828" t="s">
        <v>169</v>
      </c>
      <c r="Q828" t="s">
        <v>326</v>
      </c>
      <c r="R828" t="s">
        <v>2065</v>
      </c>
      <c r="S828">
        <v>0</v>
      </c>
      <c r="T828">
        <v>0</v>
      </c>
      <c r="U828" t="s">
        <v>2294</v>
      </c>
      <c r="V828" t="s">
        <v>2295</v>
      </c>
      <c r="W828" t="s">
        <v>2296</v>
      </c>
      <c r="X828" t="s">
        <v>2297</v>
      </c>
      <c r="Y828" t="s">
        <v>2298</v>
      </c>
      <c r="Z828" t="s">
        <v>2306</v>
      </c>
      <c r="AA828">
        <v>7</v>
      </c>
      <c r="AB828" s="14">
        <v>65</v>
      </c>
      <c r="AC828" t="s">
        <v>2307</v>
      </c>
      <c r="AD828" t="s">
        <v>2308</v>
      </c>
      <c r="AE828" t="s">
        <v>2643</v>
      </c>
      <c r="AF828">
        <v>41</v>
      </c>
      <c r="AG828">
        <v>0</v>
      </c>
      <c r="AJ828">
        <v>0</v>
      </c>
      <c r="AL828">
        <v>1</v>
      </c>
      <c r="AM828" s="14">
        <v>0</v>
      </c>
      <c r="AN828" t="s">
        <v>2644</v>
      </c>
      <c r="AO828" s="12">
        <v>46174</v>
      </c>
      <c r="AP828">
        <v>2026</v>
      </c>
      <c r="AQ828">
        <v>6</v>
      </c>
      <c r="AR828" t="s">
        <v>2653</v>
      </c>
    </row>
    <row r="829" spans="1:44">
      <c r="A829" t="s">
        <v>2121</v>
      </c>
      <c r="B829" s="12">
        <v>46190</v>
      </c>
      <c r="C829" s="12">
        <v>46163</v>
      </c>
      <c r="D829" t="s">
        <v>2122</v>
      </c>
      <c r="E829" t="s">
        <v>268</v>
      </c>
      <c r="F829" t="s">
        <v>297</v>
      </c>
      <c r="G829" t="s">
        <v>583</v>
      </c>
      <c r="H829" t="s">
        <v>115</v>
      </c>
      <c r="I829" t="s">
        <v>271</v>
      </c>
      <c r="J829" s="13">
        <v>0.5625</v>
      </c>
      <c r="K829" s="13">
        <v>0.56944444444444442</v>
      </c>
      <c r="L829" s="13">
        <v>0.57291666666666663</v>
      </c>
      <c r="M829">
        <v>30</v>
      </c>
      <c r="N829" s="14">
        <v>65</v>
      </c>
      <c r="O829" t="s">
        <v>169</v>
      </c>
      <c r="P829">
        <v>5</v>
      </c>
      <c r="Q829" t="s">
        <v>262</v>
      </c>
      <c r="R829" t="s">
        <v>2065</v>
      </c>
      <c r="S829">
        <v>0</v>
      </c>
      <c r="T829">
        <v>0</v>
      </c>
      <c r="U829" t="s">
        <v>2285</v>
      </c>
      <c r="V829" t="s">
        <v>2286</v>
      </c>
      <c r="W829" t="s">
        <v>2287</v>
      </c>
      <c r="X829" t="s">
        <v>2288</v>
      </c>
      <c r="Y829" t="s">
        <v>2289</v>
      </c>
      <c r="Z829" t="s">
        <v>2306</v>
      </c>
      <c r="AA829">
        <v>7</v>
      </c>
      <c r="AB829" s="14">
        <v>65</v>
      </c>
      <c r="AC829" t="s">
        <v>2307</v>
      </c>
      <c r="AD829" t="s">
        <v>2308</v>
      </c>
      <c r="AE829" t="s">
        <v>2643</v>
      </c>
      <c r="AF829">
        <v>27</v>
      </c>
      <c r="AG829">
        <v>0</v>
      </c>
      <c r="AH829">
        <v>5</v>
      </c>
      <c r="AI829">
        <v>1</v>
      </c>
      <c r="AJ829">
        <v>1</v>
      </c>
      <c r="AK829">
        <v>0</v>
      </c>
      <c r="AL829">
        <v>1</v>
      </c>
      <c r="AM829" s="14">
        <v>0</v>
      </c>
      <c r="AN829" t="s">
        <v>2644</v>
      </c>
      <c r="AO829" s="12">
        <v>46174</v>
      </c>
      <c r="AP829">
        <v>2026</v>
      </c>
      <c r="AQ829">
        <v>6</v>
      </c>
      <c r="AR829" t="s">
        <v>2653</v>
      </c>
    </row>
    <row r="830" spans="1:44">
      <c r="A830" t="s">
        <v>2123</v>
      </c>
      <c r="B830" s="12">
        <v>46202</v>
      </c>
      <c r="C830" s="12">
        <v>46177</v>
      </c>
      <c r="D830" t="s">
        <v>1755</v>
      </c>
      <c r="E830" t="s">
        <v>339</v>
      </c>
      <c r="F830" t="s">
        <v>297</v>
      </c>
      <c r="G830" t="s">
        <v>780</v>
      </c>
      <c r="H830" t="s">
        <v>115</v>
      </c>
      <c r="I830" t="s">
        <v>316</v>
      </c>
      <c r="J830" s="13">
        <v>0.41666666666666669</v>
      </c>
      <c r="K830" s="13">
        <v>0.42777777777777776</v>
      </c>
      <c r="L830" s="13">
        <v>0.41944444444444445</v>
      </c>
      <c r="M830">
        <v>30</v>
      </c>
      <c r="N830" s="14">
        <v>65</v>
      </c>
      <c r="O830" t="s">
        <v>169</v>
      </c>
      <c r="P830">
        <v>4</v>
      </c>
      <c r="Q830" t="s">
        <v>318</v>
      </c>
      <c r="R830" t="s">
        <v>2065</v>
      </c>
      <c r="S830">
        <v>0</v>
      </c>
      <c r="T830">
        <v>0</v>
      </c>
      <c r="U830" t="s">
        <v>2294</v>
      </c>
      <c r="V830" t="s">
        <v>2295</v>
      </c>
      <c r="W830" t="s">
        <v>2296</v>
      </c>
      <c r="X830" t="s">
        <v>2297</v>
      </c>
      <c r="Y830" t="s">
        <v>2298</v>
      </c>
      <c r="Z830" t="s">
        <v>2306</v>
      </c>
      <c r="AA830">
        <v>7</v>
      </c>
      <c r="AB830" s="14">
        <v>65</v>
      </c>
      <c r="AC830" t="s">
        <v>2307</v>
      </c>
      <c r="AD830" t="s">
        <v>2308</v>
      </c>
      <c r="AE830" t="s">
        <v>2643</v>
      </c>
      <c r="AF830">
        <v>25</v>
      </c>
      <c r="AG830">
        <v>0</v>
      </c>
      <c r="AJ830">
        <v>1</v>
      </c>
      <c r="AK830">
        <v>0</v>
      </c>
      <c r="AL830">
        <v>1</v>
      </c>
      <c r="AM830" s="14">
        <v>0</v>
      </c>
      <c r="AN830" t="s">
        <v>2644</v>
      </c>
      <c r="AO830" s="12">
        <v>46174</v>
      </c>
      <c r="AP830">
        <v>2026</v>
      </c>
      <c r="AQ830">
        <v>6</v>
      </c>
      <c r="AR830" t="s">
        <v>2653</v>
      </c>
    </row>
    <row r="831" spans="1:44">
      <c r="A831" t="s">
        <v>2124</v>
      </c>
      <c r="B831" s="12">
        <v>46191</v>
      </c>
      <c r="C831" s="12">
        <v>46174</v>
      </c>
      <c r="D831" t="s">
        <v>1505</v>
      </c>
      <c r="E831" t="s">
        <v>281</v>
      </c>
      <c r="F831" t="s">
        <v>282</v>
      </c>
      <c r="G831" t="s">
        <v>446</v>
      </c>
      <c r="H831" t="s">
        <v>115</v>
      </c>
      <c r="I831" t="s">
        <v>299</v>
      </c>
      <c r="J831" s="13">
        <v>0.5625</v>
      </c>
      <c r="K831" s="13">
        <v>0.57152777777777775</v>
      </c>
      <c r="L831" s="13">
        <v>0.56597222222222221</v>
      </c>
      <c r="M831">
        <v>60</v>
      </c>
      <c r="N831" s="14">
        <v>120</v>
      </c>
      <c r="O831" t="s">
        <v>195</v>
      </c>
      <c r="P831">
        <v>5</v>
      </c>
      <c r="Q831" t="s">
        <v>318</v>
      </c>
      <c r="R831" t="s">
        <v>2065</v>
      </c>
      <c r="S831">
        <v>0</v>
      </c>
      <c r="T831">
        <v>0</v>
      </c>
      <c r="U831" t="s">
        <v>2290</v>
      </c>
      <c r="V831" t="s">
        <v>2291</v>
      </c>
      <c r="W831" t="s">
        <v>2292</v>
      </c>
      <c r="X831" t="s">
        <v>2288</v>
      </c>
      <c r="Y831" t="s">
        <v>2293</v>
      </c>
      <c r="Z831" t="s">
        <v>2309</v>
      </c>
      <c r="AA831">
        <v>14</v>
      </c>
      <c r="AB831" s="14">
        <v>120</v>
      </c>
      <c r="AC831" t="s">
        <v>2310</v>
      </c>
      <c r="AD831" t="s">
        <v>2311</v>
      </c>
      <c r="AE831" t="s">
        <v>2643</v>
      </c>
      <c r="AF831">
        <v>17</v>
      </c>
      <c r="AG831">
        <v>0</v>
      </c>
      <c r="AJ831">
        <v>1</v>
      </c>
      <c r="AK831">
        <v>0</v>
      </c>
      <c r="AL831">
        <v>1</v>
      </c>
      <c r="AM831" s="14">
        <v>0</v>
      </c>
      <c r="AN831" t="s">
        <v>2644</v>
      </c>
      <c r="AO831" s="12">
        <v>46174</v>
      </c>
      <c r="AP831">
        <v>2026</v>
      </c>
      <c r="AQ831">
        <v>6</v>
      </c>
      <c r="AR831" t="s">
        <v>2653</v>
      </c>
    </row>
    <row r="832" spans="1:44">
      <c r="A832" t="s">
        <v>2125</v>
      </c>
      <c r="B832" s="12">
        <v>46200</v>
      </c>
      <c r="C832" s="12">
        <v>46193</v>
      </c>
      <c r="D832" t="s">
        <v>1804</v>
      </c>
      <c r="E832" t="s">
        <v>339</v>
      </c>
      <c r="F832" t="s">
        <v>269</v>
      </c>
      <c r="G832" t="s">
        <v>528</v>
      </c>
      <c r="H832" t="s">
        <v>115</v>
      </c>
      <c r="I832" t="s">
        <v>258</v>
      </c>
      <c r="J832" s="13">
        <v>0.66666666666666663</v>
      </c>
      <c r="K832" s="13">
        <v>0.67638888888888893</v>
      </c>
      <c r="L832" s="13">
        <v>0.68958333333333333</v>
      </c>
      <c r="M832">
        <v>60</v>
      </c>
      <c r="N832" s="14">
        <v>80</v>
      </c>
      <c r="O832" t="s">
        <v>195</v>
      </c>
      <c r="P832">
        <v>2</v>
      </c>
      <c r="Q832" t="s">
        <v>262</v>
      </c>
      <c r="R832" t="s">
        <v>2065</v>
      </c>
      <c r="S832">
        <v>0</v>
      </c>
      <c r="T832">
        <v>0</v>
      </c>
      <c r="U832" t="s">
        <v>2294</v>
      </c>
      <c r="V832" t="s">
        <v>2295</v>
      </c>
      <c r="W832" t="s">
        <v>2296</v>
      </c>
      <c r="X832" t="s">
        <v>2297</v>
      </c>
      <c r="Y832" t="s">
        <v>2298</v>
      </c>
      <c r="Z832" t="s">
        <v>2315</v>
      </c>
      <c r="AA832">
        <v>10</v>
      </c>
      <c r="AB832" s="14">
        <v>80</v>
      </c>
      <c r="AC832" t="s">
        <v>2316</v>
      </c>
      <c r="AD832" t="s">
        <v>2317</v>
      </c>
      <c r="AE832" t="s">
        <v>2643</v>
      </c>
      <c r="AF832">
        <v>7</v>
      </c>
      <c r="AG832">
        <v>1</v>
      </c>
      <c r="AH832">
        <v>19</v>
      </c>
      <c r="AI832">
        <v>1</v>
      </c>
      <c r="AJ832">
        <v>1</v>
      </c>
      <c r="AK832">
        <v>0</v>
      </c>
      <c r="AL832">
        <v>1</v>
      </c>
      <c r="AM832" s="14">
        <v>0</v>
      </c>
      <c r="AN832" t="s">
        <v>2644</v>
      </c>
      <c r="AO832" s="12">
        <v>46174</v>
      </c>
      <c r="AP832">
        <v>2026</v>
      </c>
      <c r="AQ832">
        <v>6</v>
      </c>
      <c r="AR832" t="s">
        <v>2653</v>
      </c>
    </row>
    <row r="833" spans="1:44">
      <c r="A833" t="s">
        <v>2127</v>
      </c>
      <c r="B833" s="12">
        <v>46190</v>
      </c>
      <c r="C833" s="12">
        <v>46163</v>
      </c>
      <c r="D833" t="s">
        <v>1907</v>
      </c>
      <c r="E833" t="s">
        <v>339</v>
      </c>
      <c r="F833" t="s">
        <v>282</v>
      </c>
      <c r="G833" t="s">
        <v>564</v>
      </c>
      <c r="H833" t="s">
        <v>115</v>
      </c>
      <c r="I833" t="s">
        <v>258</v>
      </c>
      <c r="J833" s="13">
        <v>0.52083333333333337</v>
      </c>
      <c r="K833" s="13">
        <v>0.51597222222222228</v>
      </c>
      <c r="L833" s="13">
        <v>0.54097222222222219</v>
      </c>
      <c r="M833">
        <v>45</v>
      </c>
      <c r="N833" s="14">
        <v>120</v>
      </c>
      <c r="O833" t="s">
        <v>169</v>
      </c>
      <c r="P833">
        <v>3</v>
      </c>
      <c r="Q833" t="s">
        <v>326</v>
      </c>
      <c r="R833" t="s">
        <v>2065</v>
      </c>
      <c r="S833">
        <v>0</v>
      </c>
      <c r="T833">
        <v>0</v>
      </c>
      <c r="U833" t="s">
        <v>2294</v>
      </c>
      <c r="V833" t="s">
        <v>2295</v>
      </c>
      <c r="W833" t="s">
        <v>2296</v>
      </c>
      <c r="X833" t="s">
        <v>2297</v>
      </c>
      <c r="Y833" t="s">
        <v>2298</v>
      </c>
      <c r="Z833" t="s">
        <v>2309</v>
      </c>
      <c r="AA833">
        <v>14</v>
      </c>
      <c r="AB833" s="14">
        <v>120</v>
      </c>
      <c r="AC833" t="s">
        <v>2310</v>
      </c>
      <c r="AD833" t="s">
        <v>2311</v>
      </c>
      <c r="AE833" t="s">
        <v>2643</v>
      </c>
      <c r="AF833">
        <v>27</v>
      </c>
      <c r="AG833">
        <v>0</v>
      </c>
      <c r="AH833">
        <v>36</v>
      </c>
      <c r="AI833">
        <v>0</v>
      </c>
      <c r="AJ833">
        <v>1</v>
      </c>
      <c r="AK833">
        <v>0</v>
      </c>
      <c r="AL833">
        <v>1</v>
      </c>
      <c r="AM833" s="14">
        <v>0</v>
      </c>
      <c r="AN833" t="s">
        <v>2644</v>
      </c>
      <c r="AO833" s="12">
        <v>46174</v>
      </c>
      <c r="AP833">
        <v>2026</v>
      </c>
      <c r="AQ833">
        <v>6</v>
      </c>
      <c r="AR833" t="s">
        <v>2653</v>
      </c>
    </row>
    <row r="834" spans="1:44">
      <c r="A834" t="s">
        <v>2128</v>
      </c>
      <c r="B834" s="12">
        <v>46174</v>
      </c>
      <c r="C834" s="12">
        <v>46170</v>
      </c>
      <c r="D834" t="s">
        <v>468</v>
      </c>
      <c r="E834" t="s">
        <v>281</v>
      </c>
      <c r="F834" t="s">
        <v>269</v>
      </c>
      <c r="G834" t="s">
        <v>322</v>
      </c>
      <c r="H834" t="s">
        <v>466</v>
      </c>
      <c r="I834" t="s">
        <v>316</v>
      </c>
      <c r="J834" s="13">
        <v>0.33333333333333331</v>
      </c>
      <c r="K834" s="13"/>
      <c r="L834" s="13"/>
      <c r="M834">
        <v>0</v>
      </c>
      <c r="N834" s="14">
        <v>80</v>
      </c>
      <c r="O834" t="s">
        <v>195</v>
      </c>
      <c r="Q834" t="s">
        <v>305</v>
      </c>
      <c r="R834" t="s">
        <v>2065</v>
      </c>
      <c r="S834">
        <v>0</v>
      </c>
      <c r="T834">
        <v>0</v>
      </c>
      <c r="U834" t="s">
        <v>2290</v>
      </c>
      <c r="V834" t="s">
        <v>2291</v>
      </c>
      <c r="W834" t="s">
        <v>2292</v>
      </c>
      <c r="X834" t="s">
        <v>2288</v>
      </c>
      <c r="Y834" t="s">
        <v>2293</v>
      </c>
      <c r="Z834" t="s">
        <v>2315</v>
      </c>
      <c r="AA834">
        <v>10</v>
      </c>
      <c r="AB834" s="14">
        <v>80</v>
      </c>
      <c r="AC834" t="s">
        <v>2316</v>
      </c>
      <c r="AD834" t="s">
        <v>2317</v>
      </c>
      <c r="AE834" t="s">
        <v>2643</v>
      </c>
      <c r="AF834">
        <v>4</v>
      </c>
      <c r="AG834">
        <v>1</v>
      </c>
      <c r="AJ834">
        <v>0</v>
      </c>
      <c r="AL834">
        <v>1</v>
      </c>
      <c r="AM834" s="14">
        <v>0</v>
      </c>
      <c r="AN834" t="s">
        <v>2644</v>
      </c>
      <c r="AO834" s="12">
        <v>46174</v>
      </c>
      <c r="AP834">
        <v>2026</v>
      </c>
      <c r="AQ834">
        <v>6</v>
      </c>
      <c r="AR834" t="s">
        <v>2653</v>
      </c>
    </row>
    <row r="835" spans="1:44">
      <c r="A835" t="s">
        <v>2129</v>
      </c>
      <c r="B835" s="12">
        <v>46192</v>
      </c>
      <c r="C835" s="12">
        <v>46179</v>
      </c>
      <c r="D835" t="s">
        <v>1215</v>
      </c>
      <c r="E835" t="s">
        <v>281</v>
      </c>
      <c r="F835" t="s">
        <v>409</v>
      </c>
      <c r="G835" t="s">
        <v>535</v>
      </c>
      <c r="H835" t="s">
        <v>115</v>
      </c>
      <c r="I835" t="s">
        <v>316</v>
      </c>
      <c r="J835" s="13">
        <v>0.47916666666666669</v>
      </c>
      <c r="K835" s="13">
        <v>0.4777777777777778</v>
      </c>
      <c r="L835" s="13">
        <v>0.50208333333333333</v>
      </c>
      <c r="M835">
        <v>30</v>
      </c>
      <c r="N835" s="14">
        <v>150</v>
      </c>
      <c r="O835" t="s">
        <v>195</v>
      </c>
      <c r="P835">
        <v>5</v>
      </c>
      <c r="Q835" t="s">
        <v>326</v>
      </c>
      <c r="R835" t="s">
        <v>2065</v>
      </c>
      <c r="S835">
        <v>0</v>
      </c>
      <c r="T835">
        <v>0</v>
      </c>
      <c r="U835" t="s">
        <v>2290</v>
      </c>
      <c r="V835" t="s">
        <v>2291</v>
      </c>
      <c r="W835" t="s">
        <v>2292</v>
      </c>
      <c r="X835" t="s">
        <v>2288</v>
      </c>
      <c r="Y835" t="s">
        <v>2293</v>
      </c>
      <c r="Z835" t="s">
        <v>2318</v>
      </c>
      <c r="AA835">
        <v>28</v>
      </c>
      <c r="AB835" s="14">
        <v>150</v>
      </c>
      <c r="AC835" t="s">
        <v>2319</v>
      </c>
      <c r="AD835" t="s">
        <v>2320</v>
      </c>
      <c r="AE835" t="s">
        <v>2643</v>
      </c>
      <c r="AF835">
        <v>13</v>
      </c>
      <c r="AG835">
        <v>1</v>
      </c>
      <c r="AH835">
        <v>35</v>
      </c>
      <c r="AI835">
        <v>0</v>
      </c>
      <c r="AJ835">
        <v>1</v>
      </c>
      <c r="AK835">
        <v>0</v>
      </c>
      <c r="AL835">
        <v>1</v>
      </c>
      <c r="AM835" s="14">
        <v>0</v>
      </c>
      <c r="AN835" t="s">
        <v>2644</v>
      </c>
      <c r="AO835" s="12">
        <v>46174</v>
      </c>
      <c r="AP835">
        <v>2026</v>
      </c>
      <c r="AQ835">
        <v>6</v>
      </c>
      <c r="AR835" t="s">
        <v>2653</v>
      </c>
    </row>
    <row r="836" spans="1:44">
      <c r="A836" t="s">
        <v>2131</v>
      </c>
      <c r="B836" s="12">
        <v>46187</v>
      </c>
      <c r="C836" s="12">
        <v>46150</v>
      </c>
      <c r="D836" t="s">
        <v>759</v>
      </c>
      <c r="E836" t="s">
        <v>281</v>
      </c>
      <c r="F836" t="s">
        <v>256</v>
      </c>
      <c r="G836" t="s">
        <v>429</v>
      </c>
      <c r="H836" t="s">
        <v>115</v>
      </c>
      <c r="I836" t="s">
        <v>271</v>
      </c>
      <c r="J836" s="13">
        <v>0.64583333333333337</v>
      </c>
      <c r="K836" s="13">
        <v>0.64861111111111114</v>
      </c>
      <c r="L836" s="13">
        <v>0.65833333333333333</v>
      </c>
      <c r="M836">
        <v>20</v>
      </c>
      <c r="N836" s="14">
        <v>95</v>
      </c>
      <c r="O836" t="s">
        <v>169</v>
      </c>
      <c r="P836">
        <v>2</v>
      </c>
      <c r="Q836" t="s">
        <v>326</v>
      </c>
      <c r="R836" t="s">
        <v>2065</v>
      </c>
      <c r="S836">
        <v>0</v>
      </c>
      <c r="T836">
        <v>0</v>
      </c>
      <c r="U836" t="s">
        <v>2290</v>
      </c>
      <c r="V836" t="s">
        <v>2291</v>
      </c>
      <c r="W836" t="s">
        <v>2292</v>
      </c>
      <c r="X836" t="s">
        <v>2288</v>
      </c>
      <c r="Y836" t="s">
        <v>2293</v>
      </c>
      <c r="Z836" t="s">
        <v>2312</v>
      </c>
      <c r="AA836">
        <v>21</v>
      </c>
      <c r="AB836" s="14">
        <v>95</v>
      </c>
      <c r="AC836" t="s">
        <v>2313</v>
      </c>
      <c r="AD836" t="s">
        <v>2314</v>
      </c>
      <c r="AE836" t="s">
        <v>2643</v>
      </c>
      <c r="AF836">
        <v>37</v>
      </c>
      <c r="AG836">
        <v>0</v>
      </c>
      <c r="AH836">
        <v>14</v>
      </c>
      <c r="AI836">
        <v>1</v>
      </c>
      <c r="AJ836">
        <v>1</v>
      </c>
      <c r="AK836">
        <v>0</v>
      </c>
      <c r="AL836">
        <v>1</v>
      </c>
      <c r="AM836" s="14">
        <v>0</v>
      </c>
      <c r="AN836" t="s">
        <v>2644</v>
      </c>
      <c r="AO836" s="12">
        <v>46174</v>
      </c>
      <c r="AP836">
        <v>2026</v>
      </c>
      <c r="AQ836">
        <v>6</v>
      </c>
      <c r="AR836" t="s">
        <v>2653</v>
      </c>
    </row>
    <row r="837" spans="1:44">
      <c r="A837" t="s">
        <v>2133</v>
      </c>
      <c r="B837" s="12">
        <v>46187</v>
      </c>
      <c r="C837" s="12">
        <v>46179</v>
      </c>
      <c r="D837" t="s">
        <v>1060</v>
      </c>
      <c r="E837" t="s">
        <v>255</v>
      </c>
      <c r="F837" t="s">
        <v>269</v>
      </c>
      <c r="G837" t="s">
        <v>542</v>
      </c>
      <c r="H837" t="s">
        <v>115</v>
      </c>
      <c r="I837" t="s">
        <v>271</v>
      </c>
      <c r="J837" s="13">
        <v>0.54166666666666663</v>
      </c>
      <c r="K837" s="13">
        <v>0.54097222222222219</v>
      </c>
      <c r="L837" s="13">
        <v>0.55972222222222223</v>
      </c>
      <c r="M837">
        <v>20</v>
      </c>
      <c r="N837" s="14">
        <v>80</v>
      </c>
      <c r="O837" t="s">
        <v>195</v>
      </c>
      <c r="P837">
        <v>4</v>
      </c>
      <c r="Q837" t="s">
        <v>262</v>
      </c>
      <c r="R837" t="s">
        <v>2065</v>
      </c>
      <c r="S837">
        <v>0</v>
      </c>
      <c r="T837">
        <v>0</v>
      </c>
      <c r="U837" t="s">
        <v>2299</v>
      </c>
      <c r="V837" t="s">
        <v>2295</v>
      </c>
      <c r="W837" t="s">
        <v>2300</v>
      </c>
      <c r="X837" t="s">
        <v>2288</v>
      </c>
      <c r="Y837" t="s">
        <v>2301</v>
      </c>
      <c r="Z837" t="s">
        <v>2315</v>
      </c>
      <c r="AA837">
        <v>10</v>
      </c>
      <c r="AB837" s="14">
        <v>80</v>
      </c>
      <c r="AC837" t="s">
        <v>2316</v>
      </c>
      <c r="AD837" t="s">
        <v>2317</v>
      </c>
      <c r="AE837" t="s">
        <v>2643</v>
      </c>
      <c r="AF837">
        <v>8</v>
      </c>
      <c r="AG837">
        <v>1</v>
      </c>
      <c r="AH837">
        <v>27</v>
      </c>
      <c r="AI837">
        <v>1</v>
      </c>
      <c r="AJ837">
        <v>1</v>
      </c>
      <c r="AK837">
        <v>0</v>
      </c>
      <c r="AL837">
        <v>1</v>
      </c>
      <c r="AM837" s="14">
        <v>0</v>
      </c>
      <c r="AN837" t="s">
        <v>2644</v>
      </c>
      <c r="AO837" s="12">
        <v>46174</v>
      </c>
      <c r="AP837">
        <v>2026</v>
      </c>
      <c r="AQ837">
        <v>6</v>
      </c>
      <c r="AR837" t="s">
        <v>2653</v>
      </c>
    </row>
    <row r="838" spans="1:44">
      <c r="A838" t="s">
        <v>2134</v>
      </c>
      <c r="B838" s="12">
        <v>46183</v>
      </c>
      <c r="C838" s="12">
        <v>46130</v>
      </c>
      <c r="D838" t="s">
        <v>786</v>
      </c>
      <c r="E838" t="s">
        <v>339</v>
      </c>
      <c r="F838" t="s">
        <v>282</v>
      </c>
      <c r="G838" t="s">
        <v>564</v>
      </c>
      <c r="H838" t="s">
        <v>115</v>
      </c>
      <c r="I838" t="s">
        <v>316</v>
      </c>
      <c r="J838" s="13">
        <v>0.52083333333333337</v>
      </c>
      <c r="K838" s="13">
        <v>0.5229166666666667</v>
      </c>
      <c r="L838" s="13">
        <v>0.52986111111111112</v>
      </c>
      <c r="M838">
        <v>30</v>
      </c>
      <c r="N838" s="14">
        <v>120</v>
      </c>
      <c r="O838" t="s">
        <v>169</v>
      </c>
      <c r="P838">
        <v>4</v>
      </c>
      <c r="Q838" t="s">
        <v>285</v>
      </c>
      <c r="R838" t="s">
        <v>2065</v>
      </c>
      <c r="S838">
        <v>0</v>
      </c>
      <c r="T838">
        <v>0</v>
      </c>
      <c r="U838" t="s">
        <v>2294</v>
      </c>
      <c r="V838" t="s">
        <v>2295</v>
      </c>
      <c r="W838" t="s">
        <v>2296</v>
      </c>
      <c r="X838" t="s">
        <v>2297</v>
      </c>
      <c r="Y838" t="s">
        <v>2298</v>
      </c>
      <c r="Z838" t="s">
        <v>2309</v>
      </c>
      <c r="AA838">
        <v>14</v>
      </c>
      <c r="AB838" s="14">
        <v>120</v>
      </c>
      <c r="AC838" t="s">
        <v>2310</v>
      </c>
      <c r="AD838" t="s">
        <v>2311</v>
      </c>
      <c r="AE838" t="s">
        <v>2643</v>
      </c>
      <c r="AF838">
        <v>53</v>
      </c>
      <c r="AG838">
        <v>0</v>
      </c>
      <c r="AH838">
        <v>10</v>
      </c>
      <c r="AI838">
        <v>1</v>
      </c>
      <c r="AJ838">
        <v>1</v>
      </c>
      <c r="AK838">
        <v>0</v>
      </c>
      <c r="AL838">
        <v>1</v>
      </c>
      <c r="AM838" s="14">
        <v>0</v>
      </c>
      <c r="AN838" t="s">
        <v>2644</v>
      </c>
      <c r="AO838" s="12">
        <v>46174</v>
      </c>
      <c r="AP838">
        <v>2026</v>
      </c>
      <c r="AQ838">
        <v>6</v>
      </c>
      <c r="AR838" t="s">
        <v>2653</v>
      </c>
    </row>
    <row r="839" spans="1:44">
      <c r="A839" t="s">
        <v>2136</v>
      </c>
      <c r="B839" s="12">
        <v>46185</v>
      </c>
      <c r="C839" s="12">
        <v>46138</v>
      </c>
      <c r="D839" t="s">
        <v>1144</v>
      </c>
      <c r="E839" t="s">
        <v>281</v>
      </c>
      <c r="F839" t="s">
        <v>269</v>
      </c>
      <c r="G839" t="s">
        <v>322</v>
      </c>
      <c r="H839" t="s">
        <v>115</v>
      </c>
      <c r="I839" t="s">
        <v>258</v>
      </c>
      <c r="J839" s="13">
        <v>0.5625</v>
      </c>
      <c r="K839" s="13">
        <v>0.55902777777777779</v>
      </c>
      <c r="L839" s="13">
        <v>0.57430555555555551</v>
      </c>
      <c r="M839">
        <v>30</v>
      </c>
      <c r="N839" s="14">
        <v>80</v>
      </c>
      <c r="O839" t="s">
        <v>195</v>
      </c>
      <c r="P839">
        <v>4</v>
      </c>
      <c r="Q839" t="s">
        <v>326</v>
      </c>
      <c r="R839" t="s">
        <v>2065</v>
      </c>
      <c r="S839">
        <v>0</v>
      </c>
      <c r="T839">
        <v>0</v>
      </c>
      <c r="U839" t="s">
        <v>2290</v>
      </c>
      <c r="V839" t="s">
        <v>2291</v>
      </c>
      <c r="W839" t="s">
        <v>2292</v>
      </c>
      <c r="X839" t="s">
        <v>2288</v>
      </c>
      <c r="Y839" t="s">
        <v>2293</v>
      </c>
      <c r="Z839" t="s">
        <v>2315</v>
      </c>
      <c r="AA839">
        <v>10</v>
      </c>
      <c r="AB839" s="14">
        <v>80</v>
      </c>
      <c r="AC839" t="s">
        <v>2316</v>
      </c>
      <c r="AD839" t="s">
        <v>2317</v>
      </c>
      <c r="AE839" t="s">
        <v>2643</v>
      </c>
      <c r="AF839">
        <v>47</v>
      </c>
      <c r="AG839">
        <v>0</v>
      </c>
      <c r="AH839">
        <v>22</v>
      </c>
      <c r="AI839">
        <v>1</v>
      </c>
      <c r="AJ839">
        <v>1</v>
      </c>
      <c r="AK839">
        <v>0</v>
      </c>
      <c r="AL839">
        <v>1</v>
      </c>
      <c r="AM839" s="14">
        <v>0</v>
      </c>
      <c r="AN839" t="s">
        <v>2644</v>
      </c>
      <c r="AO839" s="12">
        <v>46174</v>
      </c>
      <c r="AP839">
        <v>2026</v>
      </c>
      <c r="AQ839">
        <v>6</v>
      </c>
      <c r="AR839" t="s">
        <v>2653</v>
      </c>
    </row>
    <row r="840" spans="1:44">
      <c r="A840" t="s">
        <v>2137</v>
      </c>
      <c r="B840" s="12">
        <v>46178</v>
      </c>
      <c r="C840" s="12">
        <v>46124</v>
      </c>
      <c r="D840" t="s">
        <v>338</v>
      </c>
      <c r="E840" t="s">
        <v>281</v>
      </c>
      <c r="F840" t="s">
        <v>269</v>
      </c>
      <c r="G840" t="s">
        <v>363</v>
      </c>
      <c r="H840" t="s">
        <v>127</v>
      </c>
      <c r="I840" t="s">
        <v>316</v>
      </c>
      <c r="J840" s="13">
        <v>0.47916666666666669</v>
      </c>
      <c r="K840" s="13"/>
      <c r="L840" s="13"/>
      <c r="M840">
        <v>0</v>
      </c>
      <c r="N840" s="14">
        <v>80</v>
      </c>
      <c r="O840" t="s">
        <v>169</v>
      </c>
      <c r="Q840" t="s">
        <v>326</v>
      </c>
      <c r="R840" t="s">
        <v>2065</v>
      </c>
      <c r="S840">
        <v>0</v>
      </c>
      <c r="T840">
        <v>0</v>
      </c>
      <c r="U840" t="s">
        <v>2290</v>
      </c>
      <c r="V840" t="s">
        <v>2291</v>
      </c>
      <c r="W840" t="s">
        <v>2292</v>
      </c>
      <c r="X840" t="s">
        <v>2288</v>
      </c>
      <c r="Y840" t="s">
        <v>2293</v>
      </c>
      <c r="Z840" t="s">
        <v>2315</v>
      </c>
      <c r="AA840">
        <v>10</v>
      </c>
      <c r="AB840" s="14">
        <v>80</v>
      </c>
      <c r="AC840" t="s">
        <v>2316</v>
      </c>
      <c r="AD840" t="s">
        <v>2317</v>
      </c>
      <c r="AE840" t="s">
        <v>2643</v>
      </c>
      <c r="AF840">
        <v>54</v>
      </c>
      <c r="AG840">
        <v>0</v>
      </c>
      <c r="AJ840">
        <v>0</v>
      </c>
      <c r="AL840">
        <v>1</v>
      </c>
      <c r="AM840" s="14">
        <v>0</v>
      </c>
      <c r="AN840" t="s">
        <v>2644</v>
      </c>
      <c r="AO840" s="12">
        <v>46174</v>
      </c>
      <c r="AP840">
        <v>2026</v>
      </c>
      <c r="AQ840">
        <v>6</v>
      </c>
      <c r="AR840" t="s">
        <v>2653</v>
      </c>
    </row>
    <row r="841" spans="1:44">
      <c r="A841" t="s">
        <v>2139</v>
      </c>
      <c r="B841" s="12">
        <v>46187</v>
      </c>
      <c r="C841" s="12">
        <v>46175</v>
      </c>
      <c r="D841" t="s">
        <v>468</v>
      </c>
      <c r="E841" t="s">
        <v>339</v>
      </c>
      <c r="F841" t="s">
        <v>282</v>
      </c>
      <c r="G841" t="s">
        <v>564</v>
      </c>
      <c r="H841" t="s">
        <v>127</v>
      </c>
      <c r="I841" t="s">
        <v>271</v>
      </c>
      <c r="J841" s="13">
        <v>0.4375</v>
      </c>
      <c r="K841" s="13"/>
      <c r="L841" s="13"/>
      <c r="M841">
        <v>0</v>
      </c>
      <c r="N841" s="14">
        <v>120</v>
      </c>
      <c r="O841" t="s">
        <v>195</v>
      </c>
      <c r="Q841" t="s">
        <v>262</v>
      </c>
      <c r="R841" t="s">
        <v>2065</v>
      </c>
      <c r="S841">
        <v>0</v>
      </c>
      <c r="T841">
        <v>0</v>
      </c>
      <c r="U841" t="s">
        <v>2294</v>
      </c>
      <c r="V841" t="s">
        <v>2295</v>
      </c>
      <c r="W841" t="s">
        <v>2296</v>
      </c>
      <c r="X841" t="s">
        <v>2297</v>
      </c>
      <c r="Y841" t="s">
        <v>2298</v>
      </c>
      <c r="Z841" t="s">
        <v>2309</v>
      </c>
      <c r="AA841">
        <v>14</v>
      </c>
      <c r="AB841" s="14">
        <v>120</v>
      </c>
      <c r="AC841" t="s">
        <v>2310</v>
      </c>
      <c r="AD841" t="s">
        <v>2311</v>
      </c>
      <c r="AE841" t="s">
        <v>2643</v>
      </c>
      <c r="AF841">
        <v>12</v>
      </c>
      <c r="AG841">
        <v>1</v>
      </c>
      <c r="AJ841">
        <v>0</v>
      </c>
      <c r="AL841">
        <v>1</v>
      </c>
      <c r="AM841" s="14">
        <v>0</v>
      </c>
      <c r="AN841" t="s">
        <v>2644</v>
      </c>
      <c r="AO841" s="12">
        <v>46174</v>
      </c>
      <c r="AP841">
        <v>2026</v>
      </c>
      <c r="AQ841">
        <v>6</v>
      </c>
      <c r="AR841" t="s">
        <v>2653</v>
      </c>
    </row>
    <row r="842" spans="1:44">
      <c r="A842" t="s">
        <v>2140</v>
      </c>
      <c r="B842" s="12">
        <v>46181</v>
      </c>
      <c r="C842" s="12">
        <v>46127</v>
      </c>
      <c r="D842" t="s">
        <v>315</v>
      </c>
      <c r="E842" t="s">
        <v>255</v>
      </c>
      <c r="F842" t="s">
        <v>297</v>
      </c>
      <c r="G842" t="s">
        <v>639</v>
      </c>
      <c r="H842" t="s">
        <v>115</v>
      </c>
      <c r="I842" t="s">
        <v>316</v>
      </c>
      <c r="J842" s="13">
        <v>0.35416666666666669</v>
      </c>
      <c r="K842" s="13">
        <v>0.35416666666666669</v>
      </c>
      <c r="L842" s="13">
        <v>0.36944444444444446</v>
      </c>
      <c r="M842">
        <v>20</v>
      </c>
      <c r="N842" s="14">
        <v>65</v>
      </c>
      <c r="O842" t="s">
        <v>195</v>
      </c>
      <c r="P842">
        <v>4</v>
      </c>
      <c r="Q842" t="s">
        <v>262</v>
      </c>
      <c r="R842" t="s">
        <v>2065</v>
      </c>
      <c r="S842">
        <v>0</v>
      </c>
      <c r="T842">
        <v>0</v>
      </c>
      <c r="U842" t="s">
        <v>2299</v>
      </c>
      <c r="V842" t="s">
        <v>2295</v>
      </c>
      <c r="W842" t="s">
        <v>2300</v>
      </c>
      <c r="X842" t="s">
        <v>2288</v>
      </c>
      <c r="Y842" t="s">
        <v>2301</v>
      </c>
      <c r="Z842" t="s">
        <v>2306</v>
      </c>
      <c r="AA842">
        <v>7</v>
      </c>
      <c r="AB842" s="14">
        <v>65</v>
      </c>
      <c r="AC842" t="s">
        <v>2307</v>
      </c>
      <c r="AD842" t="s">
        <v>2308</v>
      </c>
      <c r="AE842" t="s">
        <v>2643</v>
      </c>
      <c r="AF842">
        <v>54</v>
      </c>
      <c r="AG842">
        <v>0</v>
      </c>
      <c r="AH842">
        <v>22</v>
      </c>
      <c r="AI842">
        <v>1</v>
      </c>
      <c r="AJ842">
        <v>1</v>
      </c>
      <c r="AK842">
        <v>0</v>
      </c>
      <c r="AL842">
        <v>1</v>
      </c>
      <c r="AM842" s="14">
        <v>0</v>
      </c>
      <c r="AN842" t="s">
        <v>2644</v>
      </c>
      <c r="AO842" s="12">
        <v>46174</v>
      </c>
      <c r="AP842">
        <v>2026</v>
      </c>
      <c r="AQ842">
        <v>6</v>
      </c>
      <c r="AR842" t="s">
        <v>2653</v>
      </c>
    </row>
    <row r="843" spans="1:44">
      <c r="A843" t="s">
        <v>2141</v>
      </c>
      <c r="B843" s="12">
        <v>46174</v>
      </c>
      <c r="C843" s="12">
        <v>46153</v>
      </c>
      <c r="D843" t="s">
        <v>1475</v>
      </c>
      <c r="E843" t="s">
        <v>255</v>
      </c>
      <c r="F843" t="s">
        <v>269</v>
      </c>
      <c r="G843" t="s">
        <v>391</v>
      </c>
      <c r="H843" t="s">
        <v>127</v>
      </c>
      <c r="I843" t="s">
        <v>271</v>
      </c>
      <c r="J843" s="13">
        <v>0.625</v>
      </c>
      <c r="K843" s="13"/>
      <c r="L843" s="13"/>
      <c r="M843">
        <v>0</v>
      </c>
      <c r="N843" s="14">
        <v>80</v>
      </c>
      <c r="O843" t="s">
        <v>195</v>
      </c>
      <c r="Q843" t="s">
        <v>285</v>
      </c>
      <c r="R843" t="s">
        <v>2065</v>
      </c>
      <c r="S843">
        <v>0</v>
      </c>
      <c r="T843">
        <v>0</v>
      </c>
      <c r="U843" t="s">
        <v>2299</v>
      </c>
      <c r="V843" t="s">
        <v>2295</v>
      </c>
      <c r="W843" t="s">
        <v>2300</v>
      </c>
      <c r="X843" t="s">
        <v>2288</v>
      </c>
      <c r="Y843" t="s">
        <v>2301</v>
      </c>
      <c r="Z843" t="s">
        <v>2315</v>
      </c>
      <c r="AA843">
        <v>10</v>
      </c>
      <c r="AB843" s="14">
        <v>80</v>
      </c>
      <c r="AC843" t="s">
        <v>2316</v>
      </c>
      <c r="AD843" t="s">
        <v>2317</v>
      </c>
      <c r="AE843" t="s">
        <v>2643</v>
      </c>
      <c r="AF843">
        <v>21</v>
      </c>
      <c r="AG843">
        <v>0</v>
      </c>
      <c r="AJ843">
        <v>0</v>
      </c>
      <c r="AL843">
        <v>1</v>
      </c>
      <c r="AM843" s="14">
        <v>0</v>
      </c>
      <c r="AN843" t="s">
        <v>2644</v>
      </c>
      <c r="AO843" s="12">
        <v>46174</v>
      </c>
      <c r="AP843">
        <v>2026</v>
      </c>
      <c r="AQ843">
        <v>6</v>
      </c>
      <c r="AR843" t="s">
        <v>2653</v>
      </c>
    </row>
    <row r="844" spans="1:44">
      <c r="A844" t="s">
        <v>2142</v>
      </c>
      <c r="B844" s="12">
        <v>46174</v>
      </c>
      <c r="C844" s="12">
        <v>46123</v>
      </c>
      <c r="D844" t="s">
        <v>1299</v>
      </c>
      <c r="E844" t="s">
        <v>281</v>
      </c>
      <c r="F844" t="s">
        <v>297</v>
      </c>
      <c r="G844" t="s">
        <v>368</v>
      </c>
      <c r="H844" t="s">
        <v>466</v>
      </c>
      <c r="I844" t="s">
        <v>271</v>
      </c>
      <c r="J844" s="13">
        <v>0.625</v>
      </c>
      <c r="K844" s="13"/>
      <c r="L844" s="13"/>
      <c r="M844">
        <v>0</v>
      </c>
      <c r="N844" s="14">
        <v>65</v>
      </c>
      <c r="O844" t="s">
        <v>195</v>
      </c>
      <c r="Q844" t="s">
        <v>318</v>
      </c>
      <c r="R844" t="s">
        <v>2065</v>
      </c>
      <c r="S844">
        <v>0</v>
      </c>
      <c r="T844">
        <v>0</v>
      </c>
      <c r="U844" t="s">
        <v>2290</v>
      </c>
      <c r="V844" t="s">
        <v>2291</v>
      </c>
      <c r="W844" t="s">
        <v>2292</v>
      </c>
      <c r="X844" t="s">
        <v>2288</v>
      </c>
      <c r="Y844" t="s">
        <v>2293</v>
      </c>
      <c r="Z844" t="s">
        <v>2306</v>
      </c>
      <c r="AA844">
        <v>7</v>
      </c>
      <c r="AB844" s="14">
        <v>65</v>
      </c>
      <c r="AC844" t="s">
        <v>2307</v>
      </c>
      <c r="AD844" t="s">
        <v>2308</v>
      </c>
      <c r="AE844" t="s">
        <v>2643</v>
      </c>
      <c r="AF844">
        <v>51</v>
      </c>
      <c r="AG844">
        <v>0</v>
      </c>
      <c r="AJ844">
        <v>0</v>
      </c>
      <c r="AL844">
        <v>1</v>
      </c>
      <c r="AM844" s="14">
        <v>0</v>
      </c>
      <c r="AN844" t="s">
        <v>2644</v>
      </c>
      <c r="AO844" s="12">
        <v>46174</v>
      </c>
      <c r="AP844">
        <v>2026</v>
      </c>
      <c r="AQ844">
        <v>6</v>
      </c>
      <c r="AR844" t="s">
        <v>2653</v>
      </c>
    </row>
    <row r="845" spans="1:44">
      <c r="A845" t="s">
        <v>2143</v>
      </c>
      <c r="B845" s="12">
        <v>46200</v>
      </c>
      <c r="C845" s="12">
        <v>46150</v>
      </c>
      <c r="D845" t="s">
        <v>1541</v>
      </c>
      <c r="E845" t="s">
        <v>268</v>
      </c>
      <c r="F845" t="s">
        <v>269</v>
      </c>
      <c r="G845" t="s">
        <v>435</v>
      </c>
      <c r="H845" t="s">
        <v>466</v>
      </c>
      <c r="I845" t="s">
        <v>271</v>
      </c>
      <c r="J845" s="13">
        <v>0.66666666666666663</v>
      </c>
      <c r="K845" s="13"/>
      <c r="L845" s="13"/>
      <c r="M845">
        <v>0</v>
      </c>
      <c r="N845" s="14">
        <v>80</v>
      </c>
      <c r="O845" t="s">
        <v>195</v>
      </c>
      <c r="Q845" t="s">
        <v>326</v>
      </c>
      <c r="R845" t="s">
        <v>2065</v>
      </c>
      <c r="S845">
        <v>0</v>
      </c>
      <c r="T845">
        <v>0</v>
      </c>
      <c r="U845" t="s">
        <v>2285</v>
      </c>
      <c r="V845" t="s">
        <v>2286</v>
      </c>
      <c r="W845" t="s">
        <v>2287</v>
      </c>
      <c r="X845" t="s">
        <v>2288</v>
      </c>
      <c r="Y845" t="s">
        <v>2289</v>
      </c>
      <c r="Z845" t="s">
        <v>2315</v>
      </c>
      <c r="AA845">
        <v>10</v>
      </c>
      <c r="AB845" s="14">
        <v>80</v>
      </c>
      <c r="AC845" t="s">
        <v>2316</v>
      </c>
      <c r="AD845" t="s">
        <v>2317</v>
      </c>
      <c r="AE845" t="s">
        <v>2643</v>
      </c>
      <c r="AF845">
        <v>50</v>
      </c>
      <c r="AG845">
        <v>0</v>
      </c>
      <c r="AJ845">
        <v>0</v>
      </c>
      <c r="AL845">
        <v>1</v>
      </c>
      <c r="AM845" s="14">
        <v>0</v>
      </c>
      <c r="AN845" t="s">
        <v>2644</v>
      </c>
      <c r="AO845" s="12">
        <v>46174</v>
      </c>
      <c r="AP845">
        <v>2026</v>
      </c>
      <c r="AQ845">
        <v>6</v>
      </c>
      <c r="AR845" t="s">
        <v>2653</v>
      </c>
    </row>
    <row r="846" spans="1:44">
      <c r="A846" t="s">
        <v>2144</v>
      </c>
      <c r="B846" s="12">
        <v>46201</v>
      </c>
      <c r="C846" s="12">
        <v>46149</v>
      </c>
      <c r="D846" t="s">
        <v>989</v>
      </c>
      <c r="E846" t="s">
        <v>339</v>
      </c>
      <c r="F846" t="s">
        <v>409</v>
      </c>
      <c r="G846" t="s">
        <v>476</v>
      </c>
      <c r="H846" t="s">
        <v>466</v>
      </c>
      <c r="I846" t="s">
        <v>299</v>
      </c>
      <c r="J846" s="13">
        <v>0.60416666666666663</v>
      </c>
      <c r="K846" s="13"/>
      <c r="L846" s="13"/>
      <c r="M846">
        <v>0</v>
      </c>
      <c r="N846" s="14">
        <v>150</v>
      </c>
      <c r="O846" t="s">
        <v>169</v>
      </c>
      <c r="Q846" t="s">
        <v>305</v>
      </c>
      <c r="R846" t="s">
        <v>2065</v>
      </c>
      <c r="S846">
        <v>0</v>
      </c>
      <c r="T846">
        <v>0</v>
      </c>
      <c r="U846" t="s">
        <v>2294</v>
      </c>
      <c r="V846" t="s">
        <v>2295</v>
      </c>
      <c r="W846" t="s">
        <v>2296</v>
      </c>
      <c r="X846" t="s">
        <v>2297</v>
      </c>
      <c r="Y846" t="s">
        <v>2298</v>
      </c>
      <c r="Z846" t="s">
        <v>2318</v>
      </c>
      <c r="AA846">
        <v>28</v>
      </c>
      <c r="AB846" s="14">
        <v>150</v>
      </c>
      <c r="AC846" t="s">
        <v>2319</v>
      </c>
      <c r="AD846" t="s">
        <v>2320</v>
      </c>
      <c r="AE846" t="s">
        <v>2643</v>
      </c>
      <c r="AF846">
        <v>52</v>
      </c>
      <c r="AG846">
        <v>0</v>
      </c>
      <c r="AJ846">
        <v>0</v>
      </c>
      <c r="AL846">
        <v>1</v>
      </c>
      <c r="AM846" s="14">
        <v>0</v>
      </c>
      <c r="AN846" t="s">
        <v>2644</v>
      </c>
      <c r="AO846" s="12">
        <v>46174</v>
      </c>
      <c r="AP846">
        <v>2026</v>
      </c>
      <c r="AQ846">
        <v>6</v>
      </c>
      <c r="AR846" t="s">
        <v>2653</v>
      </c>
    </row>
    <row r="847" spans="1:44">
      <c r="A847" t="s">
        <v>2146</v>
      </c>
      <c r="B847" s="12">
        <v>46202</v>
      </c>
      <c r="C847" s="12">
        <v>46166</v>
      </c>
      <c r="D847" t="s">
        <v>1472</v>
      </c>
      <c r="E847" t="s">
        <v>281</v>
      </c>
      <c r="F847" t="s">
        <v>282</v>
      </c>
      <c r="G847" t="s">
        <v>283</v>
      </c>
      <c r="H847" t="s">
        <v>115</v>
      </c>
      <c r="I847" t="s">
        <v>316</v>
      </c>
      <c r="J847" s="13">
        <v>0.39583333333333331</v>
      </c>
      <c r="K847" s="13">
        <v>0.40277777777777779</v>
      </c>
      <c r="L847" s="13">
        <v>0.41944444444444445</v>
      </c>
      <c r="M847">
        <v>60</v>
      </c>
      <c r="N847" s="14">
        <v>120</v>
      </c>
      <c r="O847" t="s">
        <v>195</v>
      </c>
      <c r="P847">
        <v>2</v>
      </c>
      <c r="Q847" t="s">
        <v>318</v>
      </c>
      <c r="R847" t="s">
        <v>2065</v>
      </c>
      <c r="S847">
        <v>0</v>
      </c>
      <c r="T847">
        <v>0</v>
      </c>
      <c r="U847" t="s">
        <v>2290</v>
      </c>
      <c r="V847" t="s">
        <v>2291</v>
      </c>
      <c r="W847" t="s">
        <v>2292</v>
      </c>
      <c r="X847" t="s">
        <v>2288</v>
      </c>
      <c r="Y847" t="s">
        <v>2293</v>
      </c>
      <c r="Z847" t="s">
        <v>2309</v>
      </c>
      <c r="AA847">
        <v>14</v>
      </c>
      <c r="AB847" s="14">
        <v>120</v>
      </c>
      <c r="AC847" t="s">
        <v>2310</v>
      </c>
      <c r="AD847" t="s">
        <v>2311</v>
      </c>
      <c r="AE847" t="s">
        <v>2643</v>
      </c>
      <c r="AF847">
        <v>36</v>
      </c>
      <c r="AG847">
        <v>0</v>
      </c>
      <c r="AH847">
        <v>24</v>
      </c>
      <c r="AI847">
        <v>1</v>
      </c>
      <c r="AJ847">
        <v>1</v>
      </c>
      <c r="AK847">
        <v>0</v>
      </c>
      <c r="AL847">
        <v>1</v>
      </c>
      <c r="AM847" s="14">
        <v>0</v>
      </c>
      <c r="AN847" t="s">
        <v>2644</v>
      </c>
      <c r="AO847" s="12">
        <v>46174</v>
      </c>
      <c r="AP847">
        <v>2026</v>
      </c>
      <c r="AQ847">
        <v>6</v>
      </c>
      <c r="AR847" t="s">
        <v>2653</v>
      </c>
    </row>
    <row r="848" spans="1:44">
      <c r="A848" t="s">
        <v>2147</v>
      </c>
      <c r="B848" s="12">
        <v>46181</v>
      </c>
      <c r="C848" s="12">
        <v>46163</v>
      </c>
      <c r="D848" t="s">
        <v>904</v>
      </c>
      <c r="E848" t="s">
        <v>268</v>
      </c>
      <c r="F848" t="s">
        <v>297</v>
      </c>
      <c r="G848" t="s">
        <v>583</v>
      </c>
      <c r="H848" t="s">
        <v>115</v>
      </c>
      <c r="I848" t="s">
        <v>299</v>
      </c>
      <c r="J848" s="13">
        <v>0.35416666666666669</v>
      </c>
      <c r="K848" s="13">
        <v>0.35625000000000001</v>
      </c>
      <c r="L848" s="13">
        <v>0.37986111111111109</v>
      </c>
      <c r="M848">
        <v>60</v>
      </c>
      <c r="N848" s="14">
        <v>65</v>
      </c>
      <c r="O848" t="s">
        <v>195</v>
      </c>
      <c r="P848">
        <v>4</v>
      </c>
      <c r="Q848" t="s">
        <v>318</v>
      </c>
      <c r="R848" t="s">
        <v>2065</v>
      </c>
      <c r="S848">
        <v>0</v>
      </c>
      <c r="T848">
        <v>0</v>
      </c>
      <c r="U848" t="s">
        <v>2285</v>
      </c>
      <c r="V848" t="s">
        <v>2286</v>
      </c>
      <c r="W848" t="s">
        <v>2287</v>
      </c>
      <c r="X848" t="s">
        <v>2288</v>
      </c>
      <c r="Y848" t="s">
        <v>2289</v>
      </c>
      <c r="Z848" t="s">
        <v>2306</v>
      </c>
      <c r="AA848">
        <v>7</v>
      </c>
      <c r="AB848" s="14">
        <v>65</v>
      </c>
      <c r="AC848" t="s">
        <v>2307</v>
      </c>
      <c r="AD848" t="s">
        <v>2308</v>
      </c>
      <c r="AE848" t="s">
        <v>2643</v>
      </c>
      <c r="AF848">
        <v>18</v>
      </c>
      <c r="AG848">
        <v>0</v>
      </c>
      <c r="AH848">
        <v>34</v>
      </c>
      <c r="AI848">
        <v>0</v>
      </c>
      <c r="AJ848">
        <v>1</v>
      </c>
      <c r="AK848">
        <v>0</v>
      </c>
      <c r="AL848">
        <v>1</v>
      </c>
      <c r="AM848" s="14">
        <v>0</v>
      </c>
      <c r="AN848" t="s">
        <v>2644</v>
      </c>
      <c r="AO848" s="12">
        <v>46174</v>
      </c>
      <c r="AP848">
        <v>2026</v>
      </c>
      <c r="AQ848">
        <v>6</v>
      </c>
      <c r="AR848" t="s">
        <v>2653</v>
      </c>
    </row>
    <row r="849" spans="1:44">
      <c r="A849" t="s">
        <v>2148</v>
      </c>
      <c r="B849" s="12">
        <v>46181</v>
      </c>
      <c r="C849" s="12">
        <v>46135</v>
      </c>
      <c r="D849" t="s">
        <v>2038</v>
      </c>
      <c r="E849" t="s">
        <v>339</v>
      </c>
      <c r="F849" t="s">
        <v>282</v>
      </c>
      <c r="G849" t="s">
        <v>461</v>
      </c>
      <c r="H849" t="s">
        <v>127</v>
      </c>
      <c r="I849" t="s">
        <v>258</v>
      </c>
      <c r="J849" s="13">
        <v>0.35416666666666669</v>
      </c>
      <c r="K849" s="13"/>
      <c r="L849" s="13"/>
      <c r="M849">
        <v>0</v>
      </c>
      <c r="N849" s="14">
        <v>120</v>
      </c>
      <c r="O849" t="s">
        <v>195</v>
      </c>
      <c r="Q849" t="s">
        <v>262</v>
      </c>
      <c r="R849" t="s">
        <v>2065</v>
      </c>
      <c r="S849">
        <v>0</v>
      </c>
      <c r="T849">
        <v>0</v>
      </c>
      <c r="U849" t="s">
        <v>2294</v>
      </c>
      <c r="V849" t="s">
        <v>2295</v>
      </c>
      <c r="W849" t="s">
        <v>2296</v>
      </c>
      <c r="X849" t="s">
        <v>2297</v>
      </c>
      <c r="Y849" t="s">
        <v>2298</v>
      </c>
      <c r="Z849" t="s">
        <v>2309</v>
      </c>
      <c r="AA849">
        <v>14</v>
      </c>
      <c r="AB849" s="14">
        <v>120</v>
      </c>
      <c r="AC849" t="s">
        <v>2310</v>
      </c>
      <c r="AD849" t="s">
        <v>2311</v>
      </c>
      <c r="AE849" t="s">
        <v>2643</v>
      </c>
      <c r="AF849">
        <v>46</v>
      </c>
      <c r="AG849">
        <v>0</v>
      </c>
      <c r="AJ849">
        <v>0</v>
      </c>
      <c r="AL849">
        <v>1</v>
      </c>
      <c r="AM849" s="14">
        <v>0</v>
      </c>
      <c r="AN849" t="s">
        <v>2644</v>
      </c>
      <c r="AO849" s="12">
        <v>46174</v>
      </c>
      <c r="AP849">
        <v>2026</v>
      </c>
      <c r="AQ849">
        <v>6</v>
      </c>
      <c r="AR849" t="s">
        <v>2653</v>
      </c>
    </row>
    <row r="850" spans="1:44">
      <c r="A850" t="s">
        <v>2149</v>
      </c>
      <c r="B850" s="12">
        <v>46199</v>
      </c>
      <c r="C850" s="12">
        <v>46145</v>
      </c>
      <c r="D850" t="s">
        <v>967</v>
      </c>
      <c r="E850" t="s">
        <v>268</v>
      </c>
      <c r="F850" t="s">
        <v>256</v>
      </c>
      <c r="G850" t="s">
        <v>419</v>
      </c>
      <c r="H850" t="s">
        <v>115</v>
      </c>
      <c r="I850" t="s">
        <v>271</v>
      </c>
      <c r="J850" s="13">
        <v>0.60416666666666663</v>
      </c>
      <c r="K850" s="13">
        <v>0.61041666666666672</v>
      </c>
      <c r="L850" s="13">
        <v>0.62291666666666667</v>
      </c>
      <c r="M850">
        <v>30</v>
      </c>
      <c r="N850" s="14">
        <v>95</v>
      </c>
      <c r="O850" t="s">
        <v>195</v>
      </c>
      <c r="P850">
        <v>4</v>
      </c>
      <c r="Q850" t="s">
        <v>262</v>
      </c>
      <c r="R850" t="s">
        <v>2065</v>
      </c>
      <c r="S850">
        <v>0</v>
      </c>
      <c r="T850">
        <v>0</v>
      </c>
      <c r="U850" t="s">
        <v>2285</v>
      </c>
      <c r="V850" t="s">
        <v>2286</v>
      </c>
      <c r="W850" t="s">
        <v>2287</v>
      </c>
      <c r="X850" t="s">
        <v>2288</v>
      </c>
      <c r="Y850" t="s">
        <v>2289</v>
      </c>
      <c r="Z850" t="s">
        <v>2312</v>
      </c>
      <c r="AA850">
        <v>21</v>
      </c>
      <c r="AB850" s="14">
        <v>95</v>
      </c>
      <c r="AC850" t="s">
        <v>2313</v>
      </c>
      <c r="AD850" t="s">
        <v>2314</v>
      </c>
      <c r="AE850" t="s">
        <v>2643</v>
      </c>
      <c r="AF850">
        <v>54</v>
      </c>
      <c r="AG850">
        <v>0</v>
      </c>
      <c r="AH850">
        <v>18</v>
      </c>
      <c r="AI850">
        <v>1</v>
      </c>
      <c r="AJ850">
        <v>1</v>
      </c>
      <c r="AK850">
        <v>0</v>
      </c>
      <c r="AL850">
        <v>1</v>
      </c>
      <c r="AM850" s="14">
        <v>0</v>
      </c>
      <c r="AN850" t="s">
        <v>2644</v>
      </c>
      <c r="AO850" s="12">
        <v>46174</v>
      </c>
      <c r="AP850">
        <v>2026</v>
      </c>
      <c r="AQ850">
        <v>6</v>
      </c>
      <c r="AR850" t="s">
        <v>2653</v>
      </c>
    </row>
    <row r="851" spans="1:44">
      <c r="A851" t="s">
        <v>2152</v>
      </c>
      <c r="B851" s="12">
        <v>46185</v>
      </c>
      <c r="C851" s="12">
        <v>46176</v>
      </c>
      <c r="D851" t="s">
        <v>1179</v>
      </c>
      <c r="E851" t="s">
        <v>268</v>
      </c>
      <c r="F851" t="s">
        <v>409</v>
      </c>
      <c r="G851" t="s">
        <v>587</v>
      </c>
      <c r="H851" t="s">
        <v>127</v>
      </c>
      <c r="I851" t="s">
        <v>316</v>
      </c>
      <c r="J851" s="13">
        <v>0.52083333333333337</v>
      </c>
      <c r="K851" s="13"/>
      <c r="L851" s="13"/>
      <c r="M851">
        <v>0</v>
      </c>
      <c r="N851" s="14">
        <v>150</v>
      </c>
      <c r="O851" t="s">
        <v>169</v>
      </c>
      <c r="Q851" t="s">
        <v>326</v>
      </c>
      <c r="R851" t="s">
        <v>2065</v>
      </c>
      <c r="S851">
        <v>0</v>
      </c>
      <c r="T851">
        <v>0</v>
      </c>
      <c r="U851" t="s">
        <v>2285</v>
      </c>
      <c r="V851" t="s">
        <v>2286</v>
      </c>
      <c r="W851" t="s">
        <v>2287</v>
      </c>
      <c r="X851" t="s">
        <v>2288</v>
      </c>
      <c r="Y851" t="s">
        <v>2289</v>
      </c>
      <c r="Z851" t="s">
        <v>2318</v>
      </c>
      <c r="AA851">
        <v>28</v>
      </c>
      <c r="AB851" s="14">
        <v>150</v>
      </c>
      <c r="AC851" t="s">
        <v>2319</v>
      </c>
      <c r="AD851" t="s">
        <v>2320</v>
      </c>
      <c r="AE851" t="s">
        <v>2643</v>
      </c>
      <c r="AF851">
        <v>9</v>
      </c>
      <c r="AG851">
        <v>1</v>
      </c>
      <c r="AJ851">
        <v>0</v>
      </c>
      <c r="AL851">
        <v>1</v>
      </c>
      <c r="AM851" s="14">
        <v>0</v>
      </c>
      <c r="AN851" t="s">
        <v>2644</v>
      </c>
      <c r="AO851" s="12">
        <v>46174</v>
      </c>
      <c r="AP851">
        <v>2026</v>
      </c>
      <c r="AQ851">
        <v>6</v>
      </c>
      <c r="AR851" t="s">
        <v>2653</v>
      </c>
    </row>
    <row r="852" spans="1:44">
      <c r="A852" t="s">
        <v>2153</v>
      </c>
      <c r="B852" s="12">
        <v>46190</v>
      </c>
      <c r="C852" s="12">
        <v>46138</v>
      </c>
      <c r="D852" t="s">
        <v>402</v>
      </c>
      <c r="E852" t="s">
        <v>339</v>
      </c>
      <c r="F852" t="s">
        <v>282</v>
      </c>
      <c r="G852" t="s">
        <v>461</v>
      </c>
      <c r="H852" t="s">
        <v>115</v>
      </c>
      <c r="I852" t="s">
        <v>299</v>
      </c>
      <c r="J852" s="13">
        <v>0.39583333333333331</v>
      </c>
      <c r="K852" s="13">
        <v>0.40138888888888891</v>
      </c>
      <c r="L852" s="13">
        <v>0.40902777777777777</v>
      </c>
      <c r="M852">
        <v>45</v>
      </c>
      <c r="N852" s="14">
        <v>120</v>
      </c>
      <c r="O852" t="s">
        <v>195</v>
      </c>
      <c r="P852">
        <v>3</v>
      </c>
      <c r="Q852" t="s">
        <v>285</v>
      </c>
      <c r="R852" t="s">
        <v>2065</v>
      </c>
      <c r="S852">
        <v>0</v>
      </c>
      <c r="T852">
        <v>0</v>
      </c>
      <c r="U852" t="s">
        <v>2294</v>
      </c>
      <c r="V852" t="s">
        <v>2295</v>
      </c>
      <c r="W852" t="s">
        <v>2296</v>
      </c>
      <c r="X852" t="s">
        <v>2297</v>
      </c>
      <c r="Y852" t="s">
        <v>2298</v>
      </c>
      <c r="Z852" t="s">
        <v>2309</v>
      </c>
      <c r="AA852">
        <v>14</v>
      </c>
      <c r="AB852" s="14">
        <v>120</v>
      </c>
      <c r="AC852" t="s">
        <v>2310</v>
      </c>
      <c r="AD852" t="s">
        <v>2311</v>
      </c>
      <c r="AE852" t="s">
        <v>2643</v>
      </c>
      <c r="AF852">
        <v>52</v>
      </c>
      <c r="AG852">
        <v>0</v>
      </c>
      <c r="AH852">
        <v>11</v>
      </c>
      <c r="AI852">
        <v>1</v>
      </c>
      <c r="AJ852">
        <v>1</v>
      </c>
      <c r="AK852">
        <v>0</v>
      </c>
      <c r="AL852">
        <v>1</v>
      </c>
      <c r="AM852" s="14">
        <v>0</v>
      </c>
      <c r="AN852" t="s">
        <v>2644</v>
      </c>
      <c r="AO852" s="12">
        <v>46174</v>
      </c>
      <c r="AP852">
        <v>2026</v>
      </c>
      <c r="AQ852">
        <v>6</v>
      </c>
      <c r="AR852" t="s">
        <v>2653</v>
      </c>
    </row>
    <row r="853" spans="1:44">
      <c r="A853" t="s">
        <v>2154</v>
      </c>
      <c r="B853" s="12">
        <v>46182</v>
      </c>
      <c r="C853" s="12">
        <v>46162</v>
      </c>
      <c r="D853" t="s">
        <v>381</v>
      </c>
      <c r="E853" t="s">
        <v>268</v>
      </c>
      <c r="F853" t="s">
        <v>297</v>
      </c>
      <c r="G853" t="s">
        <v>583</v>
      </c>
      <c r="H853" t="s">
        <v>127</v>
      </c>
      <c r="I853" t="s">
        <v>299</v>
      </c>
      <c r="J853" s="13">
        <v>0.52083333333333337</v>
      </c>
      <c r="K853" s="13"/>
      <c r="L853" s="13"/>
      <c r="M853">
        <v>0</v>
      </c>
      <c r="N853" s="14">
        <v>65</v>
      </c>
      <c r="O853" t="s">
        <v>195</v>
      </c>
      <c r="Q853" t="s">
        <v>318</v>
      </c>
      <c r="R853" t="s">
        <v>2065</v>
      </c>
      <c r="S853">
        <v>0</v>
      </c>
      <c r="T853">
        <v>0</v>
      </c>
      <c r="U853" t="s">
        <v>2285</v>
      </c>
      <c r="V853" t="s">
        <v>2286</v>
      </c>
      <c r="W853" t="s">
        <v>2287</v>
      </c>
      <c r="X853" t="s">
        <v>2288</v>
      </c>
      <c r="Y853" t="s">
        <v>2289</v>
      </c>
      <c r="Z853" t="s">
        <v>2306</v>
      </c>
      <c r="AA853">
        <v>7</v>
      </c>
      <c r="AB853" s="14">
        <v>65</v>
      </c>
      <c r="AC853" t="s">
        <v>2307</v>
      </c>
      <c r="AD853" t="s">
        <v>2308</v>
      </c>
      <c r="AE853" t="s">
        <v>2643</v>
      </c>
      <c r="AF853">
        <v>20</v>
      </c>
      <c r="AG853">
        <v>0</v>
      </c>
      <c r="AJ853">
        <v>0</v>
      </c>
      <c r="AL853">
        <v>1</v>
      </c>
      <c r="AM853" s="14">
        <v>0</v>
      </c>
      <c r="AN853" t="s">
        <v>2644</v>
      </c>
      <c r="AO853" s="12">
        <v>46174</v>
      </c>
      <c r="AP853">
        <v>2026</v>
      </c>
      <c r="AQ853">
        <v>6</v>
      </c>
      <c r="AR853" t="s">
        <v>2653</v>
      </c>
    </row>
    <row r="854" spans="1:44">
      <c r="A854" t="s">
        <v>2155</v>
      </c>
      <c r="B854" s="12">
        <v>46191</v>
      </c>
      <c r="C854" s="12">
        <v>46178</v>
      </c>
      <c r="D854" t="s">
        <v>321</v>
      </c>
      <c r="E854" t="s">
        <v>281</v>
      </c>
      <c r="F854" t="s">
        <v>297</v>
      </c>
      <c r="G854" t="s">
        <v>368</v>
      </c>
      <c r="H854" t="s">
        <v>466</v>
      </c>
      <c r="I854" t="s">
        <v>258</v>
      </c>
      <c r="J854" s="13">
        <v>0.625</v>
      </c>
      <c r="K854" s="13"/>
      <c r="L854" s="13"/>
      <c r="M854">
        <v>0</v>
      </c>
      <c r="N854" s="14">
        <v>65</v>
      </c>
      <c r="O854" t="s">
        <v>195</v>
      </c>
      <c r="Q854" t="s">
        <v>285</v>
      </c>
      <c r="R854" t="s">
        <v>2065</v>
      </c>
      <c r="S854">
        <v>0</v>
      </c>
      <c r="T854">
        <v>0</v>
      </c>
      <c r="U854" t="s">
        <v>2290</v>
      </c>
      <c r="V854" t="s">
        <v>2291</v>
      </c>
      <c r="W854" t="s">
        <v>2292</v>
      </c>
      <c r="X854" t="s">
        <v>2288</v>
      </c>
      <c r="Y854" t="s">
        <v>2293</v>
      </c>
      <c r="Z854" t="s">
        <v>2306</v>
      </c>
      <c r="AA854">
        <v>7</v>
      </c>
      <c r="AB854" s="14">
        <v>65</v>
      </c>
      <c r="AC854" t="s">
        <v>2307</v>
      </c>
      <c r="AD854" t="s">
        <v>2308</v>
      </c>
      <c r="AE854" t="s">
        <v>2643</v>
      </c>
      <c r="AF854">
        <v>13</v>
      </c>
      <c r="AG854">
        <v>0</v>
      </c>
      <c r="AJ854">
        <v>0</v>
      </c>
      <c r="AL854">
        <v>1</v>
      </c>
      <c r="AM854" s="14">
        <v>0</v>
      </c>
      <c r="AN854" t="s">
        <v>2644</v>
      </c>
      <c r="AO854" s="12">
        <v>46174</v>
      </c>
      <c r="AP854">
        <v>2026</v>
      </c>
      <c r="AQ854">
        <v>6</v>
      </c>
      <c r="AR854" t="s">
        <v>2653</v>
      </c>
    </row>
    <row r="855" spans="1:44">
      <c r="A855" t="s">
        <v>2156</v>
      </c>
      <c r="B855" s="12">
        <v>46193</v>
      </c>
      <c r="C855" s="12">
        <v>46144</v>
      </c>
      <c r="D855" t="s">
        <v>853</v>
      </c>
      <c r="E855" t="s">
        <v>268</v>
      </c>
      <c r="F855" t="s">
        <v>269</v>
      </c>
      <c r="G855" t="s">
        <v>270</v>
      </c>
      <c r="H855" t="s">
        <v>115</v>
      </c>
      <c r="I855" t="s">
        <v>258</v>
      </c>
      <c r="J855" s="13">
        <v>0.52083333333333337</v>
      </c>
      <c r="K855" s="13">
        <v>0.53125</v>
      </c>
      <c r="L855" s="13">
        <v>0.52777777777777779</v>
      </c>
      <c r="M855">
        <v>30</v>
      </c>
      <c r="N855" s="14">
        <v>80</v>
      </c>
      <c r="O855" t="s">
        <v>195</v>
      </c>
      <c r="P855">
        <v>2</v>
      </c>
      <c r="Q855" t="s">
        <v>285</v>
      </c>
      <c r="R855" t="s">
        <v>2065</v>
      </c>
      <c r="S855">
        <v>0</v>
      </c>
      <c r="T855">
        <v>0</v>
      </c>
      <c r="U855" t="s">
        <v>2285</v>
      </c>
      <c r="V855" t="s">
        <v>2286</v>
      </c>
      <c r="W855" t="s">
        <v>2287</v>
      </c>
      <c r="X855" t="s">
        <v>2288</v>
      </c>
      <c r="Y855" t="s">
        <v>2289</v>
      </c>
      <c r="Z855" t="s">
        <v>2315</v>
      </c>
      <c r="AA855">
        <v>10</v>
      </c>
      <c r="AB855" s="14">
        <v>80</v>
      </c>
      <c r="AC855" t="s">
        <v>2316</v>
      </c>
      <c r="AD855" t="s">
        <v>2317</v>
      </c>
      <c r="AE855" t="s">
        <v>2643</v>
      </c>
      <c r="AF855">
        <v>49</v>
      </c>
      <c r="AG855">
        <v>0</v>
      </c>
      <c r="AJ855">
        <v>1</v>
      </c>
      <c r="AK855">
        <v>0</v>
      </c>
      <c r="AL855">
        <v>1</v>
      </c>
      <c r="AM855" s="14">
        <v>0</v>
      </c>
      <c r="AN855" t="s">
        <v>2644</v>
      </c>
      <c r="AO855" s="12">
        <v>46174</v>
      </c>
      <c r="AP855">
        <v>2026</v>
      </c>
      <c r="AQ855">
        <v>6</v>
      </c>
      <c r="AR855" t="s">
        <v>2653</v>
      </c>
    </row>
    <row r="856" spans="1:44">
      <c r="A856" t="s">
        <v>2158</v>
      </c>
      <c r="B856" s="12">
        <v>46198</v>
      </c>
      <c r="C856" s="12">
        <v>46144</v>
      </c>
      <c r="D856" t="s">
        <v>1393</v>
      </c>
      <c r="E856" t="s">
        <v>339</v>
      </c>
      <c r="F856" t="s">
        <v>256</v>
      </c>
      <c r="G856" t="s">
        <v>403</v>
      </c>
      <c r="H856" t="s">
        <v>115</v>
      </c>
      <c r="I856" t="s">
        <v>271</v>
      </c>
      <c r="J856" s="13">
        <v>0.41666666666666669</v>
      </c>
      <c r="K856" s="13">
        <v>0.42638888888888887</v>
      </c>
      <c r="L856" s="13">
        <v>0.4375</v>
      </c>
      <c r="M856">
        <v>20</v>
      </c>
      <c r="N856" s="14">
        <v>95</v>
      </c>
      <c r="O856" t="s">
        <v>169</v>
      </c>
      <c r="P856">
        <v>4</v>
      </c>
      <c r="Q856" t="s">
        <v>285</v>
      </c>
      <c r="R856" t="s">
        <v>2065</v>
      </c>
      <c r="S856">
        <v>0</v>
      </c>
      <c r="T856">
        <v>0</v>
      </c>
      <c r="U856" t="s">
        <v>2294</v>
      </c>
      <c r="V856" t="s">
        <v>2295</v>
      </c>
      <c r="W856" t="s">
        <v>2296</v>
      </c>
      <c r="X856" t="s">
        <v>2297</v>
      </c>
      <c r="Y856" t="s">
        <v>2298</v>
      </c>
      <c r="Z856" t="s">
        <v>2312</v>
      </c>
      <c r="AA856">
        <v>21</v>
      </c>
      <c r="AB856" s="14">
        <v>95</v>
      </c>
      <c r="AC856" t="s">
        <v>2313</v>
      </c>
      <c r="AD856" t="s">
        <v>2314</v>
      </c>
      <c r="AE856" t="s">
        <v>2643</v>
      </c>
      <c r="AF856">
        <v>54</v>
      </c>
      <c r="AG856">
        <v>0</v>
      </c>
      <c r="AH856">
        <v>16</v>
      </c>
      <c r="AI856">
        <v>1</v>
      </c>
      <c r="AJ856">
        <v>1</v>
      </c>
      <c r="AK856">
        <v>0</v>
      </c>
      <c r="AL856">
        <v>1</v>
      </c>
      <c r="AM856" s="14">
        <v>0</v>
      </c>
      <c r="AN856" t="s">
        <v>2644</v>
      </c>
      <c r="AO856" s="12">
        <v>46174</v>
      </c>
      <c r="AP856">
        <v>2026</v>
      </c>
      <c r="AQ856">
        <v>6</v>
      </c>
      <c r="AR856" t="s">
        <v>2653</v>
      </c>
    </row>
    <row r="857" spans="1:44">
      <c r="A857" t="s">
        <v>2160</v>
      </c>
      <c r="B857" s="12">
        <v>46203</v>
      </c>
      <c r="C857" s="12">
        <v>46184</v>
      </c>
      <c r="D857" t="s">
        <v>1846</v>
      </c>
      <c r="E857" t="s">
        <v>339</v>
      </c>
      <c r="F857" t="s">
        <v>269</v>
      </c>
      <c r="G857" t="s">
        <v>528</v>
      </c>
      <c r="H857" t="s">
        <v>115</v>
      </c>
      <c r="I857" t="s">
        <v>271</v>
      </c>
      <c r="J857" s="13">
        <v>0.5</v>
      </c>
      <c r="K857" s="13">
        <v>0.51041666666666663</v>
      </c>
      <c r="L857" s="13">
        <v>0.52083333333333337</v>
      </c>
      <c r="M857">
        <v>30</v>
      </c>
      <c r="N857" s="14">
        <v>80</v>
      </c>
      <c r="O857" t="s">
        <v>195</v>
      </c>
      <c r="P857">
        <v>5</v>
      </c>
      <c r="Q857" t="s">
        <v>262</v>
      </c>
      <c r="R857" t="s">
        <v>2065</v>
      </c>
      <c r="S857">
        <v>0</v>
      </c>
      <c r="T857">
        <v>0</v>
      </c>
      <c r="U857" t="s">
        <v>2294</v>
      </c>
      <c r="V857" t="s">
        <v>2295</v>
      </c>
      <c r="W857" t="s">
        <v>2296</v>
      </c>
      <c r="X857" t="s">
        <v>2297</v>
      </c>
      <c r="Y857" t="s">
        <v>2298</v>
      </c>
      <c r="Z857" t="s">
        <v>2315</v>
      </c>
      <c r="AA857">
        <v>10</v>
      </c>
      <c r="AB857" s="14">
        <v>80</v>
      </c>
      <c r="AC857" t="s">
        <v>2316</v>
      </c>
      <c r="AD857" t="s">
        <v>2317</v>
      </c>
      <c r="AE857" t="s">
        <v>2643</v>
      </c>
      <c r="AF857">
        <v>19</v>
      </c>
      <c r="AG857">
        <v>0</v>
      </c>
      <c r="AH857">
        <v>15</v>
      </c>
      <c r="AI857">
        <v>1</v>
      </c>
      <c r="AJ857">
        <v>1</v>
      </c>
      <c r="AK857">
        <v>0</v>
      </c>
      <c r="AL857">
        <v>1</v>
      </c>
      <c r="AM857" s="14">
        <v>0</v>
      </c>
      <c r="AN857" t="s">
        <v>2644</v>
      </c>
      <c r="AO857" s="12">
        <v>46174</v>
      </c>
      <c r="AP857">
        <v>2026</v>
      </c>
      <c r="AQ857">
        <v>6</v>
      </c>
      <c r="AR857" t="s">
        <v>2653</v>
      </c>
    </row>
    <row r="858" spans="1:44">
      <c r="A858" t="s">
        <v>2164</v>
      </c>
      <c r="B858" s="12">
        <v>46182</v>
      </c>
      <c r="C858" s="12">
        <v>46142</v>
      </c>
      <c r="D858" t="s">
        <v>2165</v>
      </c>
      <c r="E858" t="s">
        <v>268</v>
      </c>
      <c r="F858" t="s">
        <v>256</v>
      </c>
      <c r="G858" t="s">
        <v>886</v>
      </c>
      <c r="H858" t="s">
        <v>115</v>
      </c>
      <c r="I858" t="s">
        <v>271</v>
      </c>
      <c r="J858" s="13">
        <v>0.66666666666666663</v>
      </c>
      <c r="K858" s="13">
        <v>0.66388888888888886</v>
      </c>
      <c r="L858" s="13">
        <v>0.67013888888888884</v>
      </c>
      <c r="M858">
        <v>30</v>
      </c>
      <c r="N858" s="14">
        <v>95</v>
      </c>
      <c r="O858" t="s">
        <v>195</v>
      </c>
      <c r="P858">
        <v>2</v>
      </c>
      <c r="Q858" t="s">
        <v>318</v>
      </c>
      <c r="R858" t="s">
        <v>2065</v>
      </c>
      <c r="S858">
        <v>0</v>
      </c>
      <c r="T858">
        <v>0</v>
      </c>
      <c r="U858" t="s">
        <v>2285</v>
      </c>
      <c r="V858" t="s">
        <v>2286</v>
      </c>
      <c r="W858" t="s">
        <v>2287</v>
      </c>
      <c r="X858" t="s">
        <v>2288</v>
      </c>
      <c r="Y858" t="s">
        <v>2289</v>
      </c>
      <c r="Z858" t="s">
        <v>2312</v>
      </c>
      <c r="AA858">
        <v>21</v>
      </c>
      <c r="AB858" s="14">
        <v>95</v>
      </c>
      <c r="AC858" t="s">
        <v>2313</v>
      </c>
      <c r="AD858" t="s">
        <v>2314</v>
      </c>
      <c r="AE858" t="s">
        <v>2643</v>
      </c>
      <c r="AF858">
        <v>40</v>
      </c>
      <c r="AG858">
        <v>0</v>
      </c>
      <c r="AH858">
        <v>9</v>
      </c>
      <c r="AI858">
        <v>1</v>
      </c>
      <c r="AJ858">
        <v>1</v>
      </c>
      <c r="AK858">
        <v>0</v>
      </c>
      <c r="AL858">
        <v>1</v>
      </c>
      <c r="AM858" s="14">
        <v>0</v>
      </c>
      <c r="AN858" t="s">
        <v>2644</v>
      </c>
      <c r="AO858" s="12">
        <v>46174</v>
      </c>
      <c r="AP858">
        <v>2026</v>
      </c>
      <c r="AQ858">
        <v>6</v>
      </c>
      <c r="AR858" t="s">
        <v>2653</v>
      </c>
    </row>
    <row r="859" spans="1:44">
      <c r="A859" t="s">
        <v>2166</v>
      </c>
      <c r="B859" s="12">
        <v>46185</v>
      </c>
      <c r="C859" s="12">
        <v>46147</v>
      </c>
      <c r="D859" t="s">
        <v>2167</v>
      </c>
      <c r="E859" t="s">
        <v>268</v>
      </c>
      <c r="F859" t="s">
        <v>282</v>
      </c>
      <c r="G859" t="s">
        <v>505</v>
      </c>
      <c r="H859" t="s">
        <v>115</v>
      </c>
      <c r="I859" t="s">
        <v>316</v>
      </c>
      <c r="J859" s="13">
        <v>0.35416666666666669</v>
      </c>
      <c r="K859" s="13">
        <v>0.34861111111111109</v>
      </c>
      <c r="L859" s="13">
        <v>0.37777777777777777</v>
      </c>
      <c r="M859">
        <v>45</v>
      </c>
      <c r="N859" s="14">
        <v>120</v>
      </c>
      <c r="O859" t="s">
        <v>169</v>
      </c>
      <c r="P859">
        <v>2</v>
      </c>
      <c r="Q859" t="s">
        <v>318</v>
      </c>
      <c r="R859" t="s">
        <v>2065</v>
      </c>
      <c r="S859">
        <v>0</v>
      </c>
      <c r="T859">
        <v>0</v>
      </c>
      <c r="U859" t="s">
        <v>2285</v>
      </c>
      <c r="V859" t="s">
        <v>2286</v>
      </c>
      <c r="W859" t="s">
        <v>2287</v>
      </c>
      <c r="X859" t="s">
        <v>2288</v>
      </c>
      <c r="Y859" t="s">
        <v>2289</v>
      </c>
      <c r="Z859" t="s">
        <v>2309</v>
      </c>
      <c r="AA859">
        <v>14</v>
      </c>
      <c r="AB859" s="14">
        <v>120</v>
      </c>
      <c r="AC859" t="s">
        <v>2310</v>
      </c>
      <c r="AD859" t="s">
        <v>2311</v>
      </c>
      <c r="AE859" t="s">
        <v>2643</v>
      </c>
      <c r="AF859">
        <v>38</v>
      </c>
      <c r="AG859">
        <v>0</v>
      </c>
      <c r="AH859">
        <v>42</v>
      </c>
      <c r="AI859">
        <v>0</v>
      </c>
      <c r="AJ859">
        <v>1</v>
      </c>
      <c r="AK859">
        <v>0</v>
      </c>
      <c r="AL859">
        <v>1</v>
      </c>
      <c r="AM859" s="14">
        <v>0</v>
      </c>
      <c r="AN859" t="s">
        <v>2644</v>
      </c>
      <c r="AO859" s="12">
        <v>46174</v>
      </c>
      <c r="AP859">
        <v>2026</v>
      </c>
      <c r="AQ859">
        <v>6</v>
      </c>
      <c r="AR859" t="s">
        <v>2653</v>
      </c>
    </row>
    <row r="860" spans="1:44">
      <c r="A860" t="s">
        <v>2168</v>
      </c>
      <c r="B860" s="12">
        <v>46181</v>
      </c>
      <c r="C860" s="12">
        <v>46130</v>
      </c>
      <c r="D860" t="s">
        <v>624</v>
      </c>
      <c r="E860" t="s">
        <v>268</v>
      </c>
      <c r="F860" t="s">
        <v>297</v>
      </c>
      <c r="G860" t="s">
        <v>583</v>
      </c>
      <c r="H860" t="s">
        <v>115</v>
      </c>
      <c r="I860" t="s">
        <v>299</v>
      </c>
      <c r="J860" s="13">
        <v>0.41666666666666669</v>
      </c>
      <c r="K860" s="13">
        <v>0.42569444444444443</v>
      </c>
      <c r="L860" s="13">
        <v>0.43472222222222223</v>
      </c>
      <c r="M860">
        <v>45</v>
      </c>
      <c r="N860" s="14">
        <v>65</v>
      </c>
      <c r="O860" t="s">
        <v>195</v>
      </c>
      <c r="P860">
        <v>2</v>
      </c>
      <c r="Q860" t="s">
        <v>318</v>
      </c>
      <c r="R860" t="s">
        <v>2065</v>
      </c>
      <c r="S860">
        <v>0</v>
      </c>
      <c r="T860">
        <v>0</v>
      </c>
      <c r="U860" t="s">
        <v>2285</v>
      </c>
      <c r="V860" t="s">
        <v>2286</v>
      </c>
      <c r="W860" t="s">
        <v>2287</v>
      </c>
      <c r="X860" t="s">
        <v>2288</v>
      </c>
      <c r="Y860" t="s">
        <v>2289</v>
      </c>
      <c r="Z860" t="s">
        <v>2306</v>
      </c>
      <c r="AA860">
        <v>7</v>
      </c>
      <c r="AB860" s="14">
        <v>65</v>
      </c>
      <c r="AC860" t="s">
        <v>2307</v>
      </c>
      <c r="AD860" t="s">
        <v>2308</v>
      </c>
      <c r="AE860" t="s">
        <v>2643</v>
      </c>
      <c r="AF860">
        <v>51</v>
      </c>
      <c r="AG860">
        <v>0</v>
      </c>
      <c r="AH860">
        <v>13</v>
      </c>
      <c r="AI860">
        <v>1</v>
      </c>
      <c r="AJ860">
        <v>1</v>
      </c>
      <c r="AK860">
        <v>0</v>
      </c>
      <c r="AL860">
        <v>1</v>
      </c>
      <c r="AM860" s="14">
        <v>0</v>
      </c>
      <c r="AN860" t="s">
        <v>2644</v>
      </c>
      <c r="AO860" s="12">
        <v>46174</v>
      </c>
      <c r="AP860">
        <v>2026</v>
      </c>
      <c r="AQ860">
        <v>6</v>
      </c>
      <c r="AR860" t="s">
        <v>2653</v>
      </c>
    </row>
    <row r="861" spans="1:44">
      <c r="A861" t="s">
        <v>2170</v>
      </c>
      <c r="B861" s="12">
        <v>46183</v>
      </c>
      <c r="C861" s="12">
        <v>46150</v>
      </c>
      <c r="D861" t="s">
        <v>765</v>
      </c>
      <c r="E861" t="s">
        <v>339</v>
      </c>
      <c r="F861" t="s">
        <v>297</v>
      </c>
      <c r="G861" t="s">
        <v>780</v>
      </c>
      <c r="H861" t="s">
        <v>115</v>
      </c>
      <c r="I861" t="s">
        <v>299</v>
      </c>
      <c r="J861" s="13">
        <v>0.5</v>
      </c>
      <c r="K861" s="13">
        <v>0.51111111111111107</v>
      </c>
      <c r="L861" s="13">
        <v>0.51875000000000004</v>
      </c>
      <c r="M861">
        <v>45</v>
      </c>
      <c r="N861" s="14">
        <v>65</v>
      </c>
      <c r="O861" t="s">
        <v>195</v>
      </c>
      <c r="P861">
        <v>4</v>
      </c>
      <c r="Q861" t="s">
        <v>305</v>
      </c>
      <c r="R861" t="s">
        <v>2065</v>
      </c>
      <c r="S861">
        <v>0</v>
      </c>
      <c r="T861">
        <v>0</v>
      </c>
      <c r="U861" t="s">
        <v>2294</v>
      </c>
      <c r="V861" t="s">
        <v>2295</v>
      </c>
      <c r="W861" t="s">
        <v>2296</v>
      </c>
      <c r="X861" t="s">
        <v>2297</v>
      </c>
      <c r="Y861" t="s">
        <v>2298</v>
      </c>
      <c r="Z861" t="s">
        <v>2306</v>
      </c>
      <c r="AA861">
        <v>7</v>
      </c>
      <c r="AB861" s="14">
        <v>65</v>
      </c>
      <c r="AC861" t="s">
        <v>2307</v>
      </c>
      <c r="AD861" t="s">
        <v>2308</v>
      </c>
      <c r="AE861" t="s">
        <v>2643</v>
      </c>
      <c r="AF861">
        <v>33</v>
      </c>
      <c r="AG861">
        <v>0</v>
      </c>
      <c r="AH861">
        <v>11</v>
      </c>
      <c r="AI861">
        <v>1</v>
      </c>
      <c r="AJ861">
        <v>1</v>
      </c>
      <c r="AK861">
        <v>0</v>
      </c>
      <c r="AL861">
        <v>1</v>
      </c>
      <c r="AM861" s="14">
        <v>0</v>
      </c>
      <c r="AN861" t="s">
        <v>2644</v>
      </c>
      <c r="AO861" s="12">
        <v>46174</v>
      </c>
      <c r="AP861">
        <v>2026</v>
      </c>
      <c r="AQ861">
        <v>6</v>
      </c>
      <c r="AR861" t="s">
        <v>2653</v>
      </c>
    </row>
    <row r="862" spans="1:44">
      <c r="A862" t="s">
        <v>2171</v>
      </c>
      <c r="B862" s="12">
        <v>46190</v>
      </c>
      <c r="C862" s="12">
        <v>46153</v>
      </c>
      <c r="D862" t="s">
        <v>1478</v>
      </c>
      <c r="E862" t="s">
        <v>339</v>
      </c>
      <c r="F862" t="s">
        <v>282</v>
      </c>
      <c r="G862" t="s">
        <v>461</v>
      </c>
      <c r="H862" t="s">
        <v>115</v>
      </c>
      <c r="I862" t="s">
        <v>271</v>
      </c>
      <c r="J862" s="13">
        <v>0.4375</v>
      </c>
      <c r="K862" s="13">
        <v>0.43472222222222223</v>
      </c>
      <c r="L862" s="13">
        <v>0.44930555555555557</v>
      </c>
      <c r="M862">
        <v>45</v>
      </c>
      <c r="N862" s="14">
        <v>120</v>
      </c>
      <c r="O862" t="s">
        <v>195</v>
      </c>
      <c r="P862">
        <v>5</v>
      </c>
      <c r="Q862" t="s">
        <v>318</v>
      </c>
      <c r="R862" t="s">
        <v>2065</v>
      </c>
      <c r="S862">
        <v>0</v>
      </c>
      <c r="T862">
        <v>0</v>
      </c>
      <c r="U862" t="s">
        <v>2294</v>
      </c>
      <c r="V862" t="s">
        <v>2295</v>
      </c>
      <c r="W862" t="s">
        <v>2296</v>
      </c>
      <c r="X862" t="s">
        <v>2297</v>
      </c>
      <c r="Y862" t="s">
        <v>2298</v>
      </c>
      <c r="Z862" t="s">
        <v>2309</v>
      </c>
      <c r="AA862">
        <v>14</v>
      </c>
      <c r="AB862" s="14">
        <v>120</v>
      </c>
      <c r="AC862" t="s">
        <v>2310</v>
      </c>
      <c r="AD862" t="s">
        <v>2311</v>
      </c>
      <c r="AE862" t="s">
        <v>2643</v>
      </c>
      <c r="AF862">
        <v>37</v>
      </c>
      <c r="AG862">
        <v>0</v>
      </c>
      <c r="AH862">
        <v>21</v>
      </c>
      <c r="AI862">
        <v>1</v>
      </c>
      <c r="AJ862">
        <v>1</v>
      </c>
      <c r="AK862">
        <v>0</v>
      </c>
      <c r="AL862">
        <v>1</v>
      </c>
      <c r="AM862" s="14">
        <v>0</v>
      </c>
      <c r="AN862" t="s">
        <v>2644</v>
      </c>
      <c r="AO862" s="12">
        <v>46174</v>
      </c>
      <c r="AP862">
        <v>2026</v>
      </c>
      <c r="AQ862">
        <v>6</v>
      </c>
      <c r="AR862" t="s">
        <v>2653</v>
      </c>
    </row>
    <row r="863" spans="1:44">
      <c r="A863" t="s">
        <v>2172</v>
      </c>
      <c r="B863" s="12">
        <v>46201</v>
      </c>
      <c r="C863" s="12">
        <v>46164</v>
      </c>
      <c r="D863" t="s">
        <v>691</v>
      </c>
      <c r="E863" t="s">
        <v>255</v>
      </c>
      <c r="F863" t="s">
        <v>269</v>
      </c>
      <c r="G863" t="s">
        <v>391</v>
      </c>
      <c r="H863" t="s">
        <v>115</v>
      </c>
      <c r="I863" t="s">
        <v>299</v>
      </c>
      <c r="J863" s="13">
        <v>0.54166666666666663</v>
      </c>
      <c r="K863" s="13">
        <v>0.54722222222222228</v>
      </c>
      <c r="L863" s="13">
        <v>0.54374999999999996</v>
      </c>
      <c r="M863">
        <v>45</v>
      </c>
      <c r="N863" s="14">
        <v>80</v>
      </c>
      <c r="O863" t="s">
        <v>195</v>
      </c>
      <c r="P863">
        <v>4</v>
      </c>
      <c r="Q863" t="s">
        <v>285</v>
      </c>
      <c r="R863" t="s">
        <v>2065</v>
      </c>
      <c r="S863">
        <v>0</v>
      </c>
      <c r="T863">
        <v>0</v>
      </c>
      <c r="U863" t="s">
        <v>2299</v>
      </c>
      <c r="V863" t="s">
        <v>2295</v>
      </c>
      <c r="W863" t="s">
        <v>2300</v>
      </c>
      <c r="X863" t="s">
        <v>2288</v>
      </c>
      <c r="Y863" t="s">
        <v>2301</v>
      </c>
      <c r="Z863" t="s">
        <v>2315</v>
      </c>
      <c r="AA863">
        <v>10</v>
      </c>
      <c r="AB863" s="14">
        <v>80</v>
      </c>
      <c r="AC863" t="s">
        <v>2316</v>
      </c>
      <c r="AD863" t="s">
        <v>2317</v>
      </c>
      <c r="AE863" t="s">
        <v>2643</v>
      </c>
      <c r="AF863">
        <v>37</v>
      </c>
      <c r="AG863">
        <v>0</v>
      </c>
      <c r="AJ863">
        <v>1</v>
      </c>
      <c r="AK863">
        <v>0</v>
      </c>
      <c r="AL863">
        <v>1</v>
      </c>
      <c r="AM863" s="14">
        <v>0</v>
      </c>
      <c r="AN863" t="s">
        <v>2644</v>
      </c>
      <c r="AO863" s="12">
        <v>46174</v>
      </c>
      <c r="AP863">
        <v>2026</v>
      </c>
      <c r="AQ863">
        <v>6</v>
      </c>
      <c r="AR863" t="s">
        <v>2653</v>
      </c>
    </row>
    <row r="864" spans="1:44">
      <c r="A864" t="s">
        <v>2173</v>
      </c>
      <c r="B864" s="12">
        <v>46197</v>
      </c>
      <c r="C864" s="12">
        <v>46168</v>
      </c>
      <c r="D864" t="s">
        <v>1262</v>
      </c>
      <c r="E864" t="s">
        <v>268</v>
      </c>
      <c r="F864" t="s">
        <v>409</v>
      </c>
      <c r="G864" t="s">
        <v>552</v>
      </c>
      <c r="H864" t="s">
        <v>115</v>
      </c>
      <c r="I864" t="s">
        <v>316</v>
      </c>
      <c r="J864" s="13">
        <v>0.52083333333333337</v>
      </c>
      <c r="K864" s="13">
        <v>0.52500000000000002</v>
      </c>
      <c r="L864" s="13">
        <v>0.54722222222222228</v>
      </c>
      <c r="M864">
        <v>30</v>
      </c>
      <c r="N864" s="14">
        <v>150</v>
      </c>
      <c r="O864" t="s">
        <v>195</v>
      </c>
      <c r="P864">
        <v>4</v>
      </c>
      <c r="Q864" t="s">
        <v>285</v>
      </c>
      <c r="R864" t="s">
        <v>2065</v>
      </c>
      <c r="S864">
        <v>0</v>
      </c>
      <c r="T864">
        <v>0</v>
      </c>
      <c r="U864" t="s">
        <v>2285</v>
      </c>
      <c r="V864" t="s">
        <v>2286</v>
      </c>
      <c r="W864" t="s">
        <v>2287</v>
      </c>
      <c r="X864" t="s">
        <v>2288</v>
      </c>
      <c r="Y864" t="s">
        <v>2289</v>
      </c>
      <c r="Z864" t="s">
        <v>2318</v>
      </c>
      <c r="AA864">
        <v>28</v>
      </c>
      <c r="AB864" s="14">
        <v>150</v>
      </c>
      <c r="AC864" t="s">
        <v>2319</v>
      </c>
      <c r="AD864" t="s">
        <v>2320</v>
      </c>
      <c r="AE864" t="s">
        <v>2643</v>
      </c>
      <c r="AF864">
        <v>29</v>
      </c>
      <c r="AG864">
        <v>0</v>
      </c>
      <c r="AH864">
        <v>32</v>
      </c>
      <c r="AI864">
        <v>0</v>
      </c>
      <c r="AJ864">
        <v>1</v>
      </c>
      <c r="AK864">
        <v>0</v>
      </c>
      <c r="AL864">
        <v>1</v>
      </c>
      <c r="AM864" s="14">
        <v>0</v>
      </c>
      <c r="AN864" t="s">
        <v>2644</v>
      </c>
      <c r="AO864" s="12">
        <v>46174</v>
      </c>
      <c r="AP864">
        <v>2026</v>
      </c>
      <c r="AQ864">
        <v>6</v>
      </c>
      <c r="AR864" t="s">
        <v>2653</v>
      </c>
    </row>
    <row r="865" spans="1:44">
      <c r="A865" t="s">
        <v>2174</v>
      </c>
      <c r="B865" s="12">
        <v>46188</v>
      </c>
      <c r="C865" s="12">
        <v>46181</v>
      </c>
      <c r="D865" t="s">
        <v>1239</v>
      </c>
      <c r="E865" t="s">
        <v>268</v>
      </c>
      <c r="F865" t="s">
        <v>256</v>
      </c>
      <c r="G865" t="s">
        <v>886</v>
      </c>
      <c r="H865" t="s">
        <v>115</v>
      </c>
      <c r="I865" t="s">
        <v>299</v>
      </c>
      <c r="J865" s="13">
        <v>0.5</v>
      </c>
      <c r="K865" s="13">
        <v>0.50347222222222221</v>
      </c>
      <c r="L865" s="13">
        <v>0.51041666666666663</v>
      </c>
      <c r="M865">
        <v>30</v>
      </c>
      <c r="N865" s="14">
        <v>95</v>
      </c>
      <c r="O865" t="s">
        <v>195</v>
      </c>
      <c r="P865">
        <v>5</v>
      </c>
      <c r="Q865" t="s">
        <v>285</v>
      </c>
      <c r="R865" t="s">
        <v>2065</v>
      </c>
      <c r="S865">
        <v>0</v>
      </c>
      <c r="T865">
        <v>0</v>
      </c>
      <c r="U865" t="s">
        <v>2285</v>
      </c>
      <c r="V865" t="s">
        <v>2286</v>
      </c>
      <c r="W865" t="s">
        <v>2287</v>
      </c>
      <c r="X865" t="s">
        <v>2288</v>
      </c>
      <c r="Y865" t="s">
        <v>2289</v>
      </c>
      <c r="Z865" t="s">
        <v>2312</v>
      </c>
      <c r="AA865">
        <v>21</v>
      </c>
      <c r="AB865" s="14">
        <v>95</v>
      </c>
      <c r="AC865" t="s">
        <v>2313</v>
      </c>
      <c r="AD865" t="s">
        <v>2314</v>
      </c>
      <c r="AE865" t="s">
        <v>2643</v>
      </c>
      <c r="AF865">
        <v>7</v>
      </c>
      <c r="AG865">
        <v>1</v>
      </c>
      <c r="AH865">
        <v>10</v>
      </c>
      <c r="AI865">
        <v>1</v>
      </c>
      <c r="AJ865">
        <v>1</v>
      </c>
      <c r="AK865">
        <v>0</v>
      </c>
      <c r="AL865">
        <v>1</v>
      </c>
      <c r="AM865" s="14">
        <v>0</v>
      </c>
      <c r="AN865" t="s">
        <v>2644</v>
      </c>
      <c r="AO865" s="12">
        <v>46174</v>
      </c>
      <c r="AP865">
        <v>2026</v>
      </c>
      <c r="AQ865">
        <v>6</v>
      </c>
      <c r="AR865" t="s">
        <v>2653</v>
      </c>
    </row>
    <row r="866" spans="1:44">
      <c r="A866" t="s">
        <v>2175</v>
      </c>
      <c r="B866" s="12">
        <v>46197</v>
      </c>
      <c r="C866" s="12">
        <v>46147</v>
      </c>
      <c r="D866" t="s">
        <v>2005</v>
      </c>
      <c r="E866" t="s">
        <v>255</v>
      </c>
      <c r="F866" t="s">
        <v>409</v>
      </c>
      <c r="G866" t="s">
        <v>648</v>
      </c>
      <c r="H866" t="s">
        <v>127</v>
      </c>
      <c r="I866" t="s">
        <v>271</v>
      </c>
      <c r="J866" s="13">
        <v>0.64583333333333337</v>
      </c>
      <c r="K866" s="13"/>
      <c r="L866" s="13"/>
      <c r="M866">
        <v>0</v>
      </c>
      <c r="N866" s="14">
        <v>150</v>
      </c>
      <c r="O866" t="s">
        <v>195</v>
      </c>
      <c r="Q866" t="s">
        <v>305</v>
      </c>
      <c r="R866" t="s">
        <v>2065</v>
      </c>
      <c r="S866">
        <v>0</v>
      </c>
      <c r="T866">
        <v>0</v>
      </c>
      <c r="U866" t="s">
        <v>2299</v>
      </c>
      <c r="V866" t="s">
        <v>2295</v>
      </c>
      <c r="W866" t="s">
        <v>2300</v>
      </c>
      <c r="X866" t="s">
        <v>2288</v>
      </c>
      <c r="Y866" t="s">
        <v>2301</v>
      </c>
      <c r="Z866" t="s">
        <v>2318</v>
      </c>
      <c r="AA866">
        <v>28</v>
      </c>
      <c r="AB866" s="14">
        <v>150</v>
      </c>
      <c r="AC866" t="s">
        <v>2319</v>
      </c>
      <c r="AD866" t="s">
        <v>2320</v>
      </c>
      <c r="AE866" t="s">
        <v>2643</v>
      </c>
      <c r="AF866">
        <v>50</v>
      </c>
      <c r="AG866">
        <v>0</v>
      </c>
      <c r="AJ866">
        <v>0</v>
      </c>
      <c r="AL866">
        <v>1</v>
      </c>
      <c r="AM866" s="14">
        <v>0</v>
      </c>
      <c r="AN866" t="s">
        <v>2644</v>
      </c>
      <c r="AO866" s="12">
        <v>46174</v>
      </c>
      <c r="AP866">
        <v>2026</v>
      </c>
      <c r="AQ866">
        <v>6</v>
      </c>
      <c r="AR866" t="s">
        <v>2653</v>
      </c>
    </row>
    <row r="867" spans="1:44">
      <c r="A867" t="s">
        <v>2176</v>
      </c>
      <c r="B867" s="12">
        <v>46193</v>
      </c>
      <c r="C867" s="12">
        <v>46167</v>
      </c>
      <c r="D867" t="s">
        <v>820</v>
      </c>
      <c r="E867" t="s">
        <v>255</v>
      </c>
      <c r="F867" t="s">
        <v>269</v>
      </c>
      <c r="G867" t="s">
        <v>542</v>
      </c>
      <c r="H867" t="s">
        <v>127</v>
      </c>
      <c r="I867" t="s">
        <v>299</v>
      </c>
      <c r="J867" s="13">
        <v>0.52083333333333337</v>
      </c>
      <c r="K867" s="13"/>
      <c r="L867" s="13"/>
      <c r="M867">
        <v>0</v>
      </c>
      <c r="N867" s="14">
        <v>80</v>
      </c>
      <c r="O867" t="s">
        <v>195</v>
      </c>
      <c r="Q867" t="s">
        <v>262</v>
      </c>
      <c r="R867" t="s">
        <v>2065</v>
      </c>
      <c r="S867">
        <v>0</v>
      </c>
      <c r="T867">
        <v>0</v>
      </c>
      <c r="U867" t="s">
        <v>2299</v>
      </c>
      <c r="V867" t="s">
        <v>2295</v>
      </c>
      <c r="W867" t="s">
        <v>2300</v>
      </c>
      <c r="X867" t="s">
        <v>2288</v>
      </c>
      <c r="Y867" t="s">
        <v>2301</v>
      </c>
      <c r="Z867" t="s">
        <v>2315</v>
      </c>
      <c r="AA867">
        <v>10</v>
      </c>
      <c r="AB867" s="14">
        <v>80</v>
      </c>
      <c r="AC867" t="s">
        <v>2316</v>
      </c>
      <c r="AD867" t="s">
        <v>2317</v>
      </c>
      <c r="AE867" t="s">
        <v>2643</v>
      </c>
      <c r="AF867">
        <v>26</v>
      </c>
      <c r="AG867">
        <v>0</v>
      </c>
      <c r="AJ867">
        <v>0</v>
      </c>
      <c r="AL867">
        <v>1</v>
      </c>
      <c r="AM867" s="14">
        <v>0</v>
      </c>
      <c r="AN867" t="s">
        <v>2644</v>
      </c>
      <c r="AO867" s="12">
        <v>46174</v>
      </c>
      <c r="AP867">
        <v>2026</v>
      </c>
      <c r="AQ867">
        <v>6</v>
      </c>
      <c r="AR867" t="s">
        <v>2653</v>
      </c>
    </row>
    <row r="868" spans="1:44">
      <c r="A868" t="s">
        <v>2177</v>
      </c>
      <c r="B868" s="12">
        <v>46197</v>
      </c>
      <c r="C868" s="12">
        <v>46195</v>
      </c>
      <c r="D868" t="s">
        <v>408</v>
      </c>
      <c r="E868" t="s">
        <v>268</v>
      </c>
      <c r="F868" t="s">
        <v>256</v>
      </c>
      <c r="G868" t="s">
        <v>419</v>
      </c>
      <c r="H868" t="s">
        <v>115</v>
      </c>
      <c r="I868" t="s">
        <v>271</v>
      </c>
      <c r="J868" s="13">
        <v>0.41666666666666669</v>
      </c>
      <c r="K868" s="13">
        <v>0.42569444444444443</v>
      </c>
      <c r="L868" s="13">
        <v>0.43194444444444446</v>
      </c>
      <c r="M868">
        <v>60</v>
      </c>
      <c r="N868" s="14">
        <v>95</v>
      </c>
      <c r="O868" t="s">
        <v>195</v>
      </c>
      <c r="P868">
        <v>2</v>
      </c>
      <c r="Q868" t="s">
        <v>285</v>
      </c>
      <c r="R868" t="s">
        <v>2065</v>
      </c>
      <c r="S868">
        <v>0</v>
      </c>
      <c r="T868">
        <v>0</v>
      </c>
      <c r="U868" t="s">
        <v>2285</v>
      </c>
      <c r="V868" t="s">
        <v>2286</v>
      </c>
      <c r="W868" t="s">
        <v>2287</v>
      </c>
      <c r="X868" t="s">
        <v>2288</v>
      </c>
      <c r="Y868" t="s">
        <v>2289</v>
      </c>
      <c r="Z868" t="s">
        <v>2312</v>
      </c>
      <c r="AA868">
        <v>21</v>
      </c>
      <c r="AB868" s="14">
        <v>95</v>
      </c>
      <c r="AC868" t="s">
        <v>2313</v>
      </c>
      <c r="AD868" t="s">
        <v>2314</v>
      </c>
      <c r="AE868" t="s">
        <v>2643</v>
      </c>
      <c r="AF868">
        <v>2</v>
      </c>
      <c r="AG868">
        <v>1</v>
      </c>
      <c r="AH868">
        <v>9</v>
      </c>
      <c r="AI868">
        <v>1</v>
      </c>
      <c r="AJ868">
        <v>1</v>
      </c>
      <c r="AK868">
        <v>0</v>
      </c>
      <c r="AL868">
        <v>1</v>
      </c>
      <c r="AM868" s="14">
        <v>0</v>
      </c>
      <c r="AN868" t="s">
        <v>2644</v>
      </c>
      <c r="AO868" s="12">
        <v>46174</v>
      </c>
      <c r="AP868">
        <v>2026</v>
      </c>
      <c r="AQ868">
        <v>6</v>
      </c>
      <c r="AR868" t="s">
        <v>2653</v>
      </c>
    </row>
    <row r="869" spans="1:44">
      <c r="A869" t="s">
        <v>2179</v>
      </c>
      <c r="B869" s="12">
        <v>46174</v>
      </c>
      <c r="C869" s="12">
        <v>46169</v>
      </c>
      <c r="D869" t="s">
        <v>736</v>
      </c>
      <c r="E869" t="s">
        <v>255</v>
      </c>
      <c r="F869" t="s">
        <v>282</v>
      </c>
      <c r="G869" t="s">
        <v>424</v>
      </c>
      <c r="H869" t="s">
        <v>115</v>
      </c>
      <c r="I869" t="s">
        <v>299</v>
      </c>
      <c r="J869" s="13">
        <v>0.64583333333333337</v>
      </c>
      <c r="K869" s="13">
        <v>0.64027777777777772</v>
      </c>
      <c r="L869" s="13">
        <v>0.64652777777777781</v>
      </c>
      <c r="M869">
        <v>45</v>
      </c>
      <c r="N869" s="14">
        <v>120</v>
      </c>
      <c r="O869" t="s">
        <v>169</v>
      </c>
      <c r="P869">
        <v>5</v>
      </c>
      <c r="Q869" t="s">
        <v>326</v>
      </c>
      <c r="R869" t="s">
        <v>2065</v>
      </c>
      <c r="S869">
        <v>0</v>
      </c>
      <c r="T869">
        <v>0</v>
      </c>
      <c r="U869" t="s">
        <v>2299</v>
      </c>
      <c r="V869" t="s">
        <v>2295</v>
      </c>
      <c r="W869" t="s">
        <v>2300</v>
      </c>
      <c r="X869" t="s">
        <v>2288</v>
      </c>
      <c r="Y869" t="s">
        <v>2301</v>
      </c>
      <c r="Z869" t="s">
        <v>2309</v>
      </c>
      <c r="AA869">
        <v>14</v>
      </c>
      <c r="AB869" s="14">
        <v>120</v>
      </c>
      <c r="AC869" t="s">
        <v>2310</v>
      </c>
      <c r="AD869" t="s">
        <v>2311</v>
      </c>
      <c r="AE869" t="s">
        <v>2643</v>
      </c>
      <c r="AF869">
        <v>5</v>
      </c>
      <c r="AG869">
        <v>1</v>
      </c>
      <c r="AH869">
        <v>9</v>
      </c>
      <c r="AI869">
        <v>1</v>
      </c>
      <c r="AJ869">
        <v>1</v>
      </c>
      <c r="AK869">
        <v>0</v>
      </c>
      <c r="AL869">
        <v>1</v>
      </c>
      <c r="AM869" s="14">
        <v>0</v>
      </c>
      <c r="AN869" t="s">
        <v>2644</v>
      </c>
      <c r="AO869" s="12">
        <v>46174</v>
      </c>
      <c r="AP869">
        <v>2026</v>
      </c>
      <c r="AQ869">
        <v>6</v>
      </c>
      <c r="AR869" t="s">
        <v>2653</v>
      </c>
    </row>
    <row r="870" spans="1:44">
      <c r="A870" t="s">
        <v>2180</v>
      </c>
      <c r="B870" s="12">
        <v>46196</v>
      </c>
      <c r="C870" s="12">
        <v>46150</v>
      </c>
      <c r="D870" t="s">
        <v>486</v>
      </c>
      <c r="E870" t="s">
        <v>268</v>
      </c>
      <c r="F870" t="s">
        <v>256</v>
      </c>
      <c r="G870" t="s">
        <v>419</v>
      </c>
      <c r="H870" t="s">
        <v>115</v>
      </c>
      <c r="I870" t="s">
        <v>316</v>
      </c>
      <c r="J870" s="13">
        <v>0.4375</v>
      </c>
      <c r="K870" s="13">
        <v>0.43958333333333333</v>
      </c>
      <c r="L870" s="13">
        <v>0.45902777777777776</v>
      </c>
      <c r="M870">
        <v>20</v>
      </c>
      <c r="N870" s="14">
        <v>95</v>
      </c>
      <c r="O870" t="s">
        <v>195</v>
      </c>
      <c r="P870">
        <v>3</v>
      </c>
      <c r="Q870" t="s">
        <v>318</v>
      </c>
      <c r="R870" t="s">
        <v>2065</v>
      </c>
      <c r="S870">
        <v>0</v>
      </c>
      <c r="T870">
        <v>0</v>
      </c>
      <c r="U870" t="s">
        <v>2285</v>
      </c>
      <c r="V870" t="s">
        <v>2286</v>
      </c>
      <c r="W870" t="s">
        <v>2287</v>
      </c>
      <c r="X870" t="s">
        <v>2288</v>
      </c>
      <c r="Y870" t="s">
        <v>2289</v>
      </c>
      <c r="Z870" t="s">
        <v>2312</v>
      </c>
      <c r="AA870">
        <v>21</v>
      </c>
      <c r="AB870" s="14">
        <v>95</v>
      </c>
      <c r="AC870" t="s">
        <v>2313</v>
      </c>
      <c r="AD870" t="s">
        <v>2314</v>
      </c>
      <c r="AE870" t="s">
        <v>2643</v>
      </c>
      <c r="AF870">
        <v>46</v>
      </c>
      <c r="AG870">
        <v>0</v>
      </c>
      <c r="AH870">
        <v>28</v>
      </c>
      <c r="AI870">
        <v>1</v>
      </c>
      <c r="AJ870">
        <v>1</v>
      </c>
      <c r="AK870">
        <v>0</v>
      </c>
      <c r="AL870">
        <v>1</v>
      </c>
      <c r="AM870" s="14">
        <v>0</v>
      </c>
      <c r="AN870" t="s">
        <v>2644</v>
      </c>
      <c r="AO870" s="12">
        <v>46174</v>
      </c>
      <c r="AP870">
        <v>2026</v>
      </c>
      <c r="AQ870">
        <v>6</v>
      </c>
      <c r="AR870" t="s">
        <v>2653</v>
      </c>
    </row>
    <row r="871" spans="1:44">
      <c r="A871" t="s">
        <v>2182</v>
      </c>
      <c r="B871" s="12">
        <v>46184</v>
      </c>
      <c r="C871" s="12">
        <v>46179</v>
      </c>
      <c r="D871" t="s">
        <v>946</v>
      </c>
      <c r="E871" t="s">
        <v>281</v>
      </c>
      <c r="F871" t="s">
        <v>297</v>
      </c>
      <c r="G871" t="s">
        <v>298</v>
      </c>
      <c r="H871" t="s">
        <v>115</v>
      </c>
      <c r="I871" t="s">
        <v>271</v>
      </c>
      <c r="J871" s="13">
        <v>0.375</v>
      </c>
      <c r="K871" s="13">
        <v>0.37291666666666667</v>
      </c>
      <c r="L871" s="13">
        <v>0.40277777777777779</v>
      </c>
      <c r="M871">
        <v>30</v>
      </c>
      <c r="N871" s="14">
        <v>65</v>
      </c>
      <c r="O871" t="s">
        <v>169</v>
      </c>
      <c r="P871">
        <v>3</v>
      </c>
      <c r="Q871" t="s">
        <v>305</v>
      </c>
      <c r="R871" t="s">
        <v>2065</v>
      </c>
      <c r="S871">
        <v>0</v>
      </c>
      <c r="T871">
        <v>0</v>
      </c>
      <c r="U871" t="s">
        <v>2290</v>
      </c>
      <c r="V871" t="s">
        <v>2291</v>
      </c>
      <c r="W871" t="s">
        <v>2292</v>
      </c>
      <c r="X871" t="s">
        <v>2288</v>
      </c>
      <c r="Y871" t="s">
        <v>2293</v>
      </c>
      <c r="Z871" t="s">
        <v>2306</v>
      </c>
      <c r="AA871">
        <v>7</v>
      </c>
      <c r="AB871" s="14">
        <v>65</v>
      </c>
      <c r="AC871" t="s">
        <v>2307</v>
      </c>
      <c r="AD871" t="s">
        <v>2308</v>
      </c>
      <c r="AE871" t="s">
        <v>2643</v>
      </c>
      <c r="AF871">
        <v>5</v>
      </c>
      <c r="AG871">
        <v>1</v>
      </c>
      <c r="AH871">
        <v>43</v>
      </c>
      <c r="AI871">
        <v>0</v>
      </c>
      <c r="AJ871">
        <v>1</v>
      </c>
      <c r="AK871">
        <v>0</v>
      </c>
      <c r="AL871">
        <v>1</v>
      </c>
      <c r="AM871" s="14">
        <v>0</v>
      </c>
      <c r="AN871" t="s">
        <v>2644</v>
      </c>
      <c r="AO871" s="12">
        <v>46174</v>
      </c>
      <c r="AP871">
        <v>2026</v>
      </c>
      <c r="AQ871">
        <v>6</v>
      </c>
      <c r="AR871" t="s">
        <v>2653</v>
      </c>
    </row>
    <row r="872" spans="1:44">
      <c r="A872" t="s">
        <v>2183</v>
      </c>
      <c r="B872" s="12">
        <v>46201</v>
      </c>
      <c r="C872" s="12">
        <v>46157</v>
      </c>
      <c r="D872" t="s">
        <v>1206</v>
      </c>
      <c r="E872" t="s">
        <v>281</v>
      </c>
      <c r="F872" t="s">
        <v>282</v>
      </c>
      <c r="G872" t="s">
        <v>446</v>
      </c>
      <c r="H872" t="s">
        <v>122</v>
      </c>
      <c r="I872" t="s">
        <v>299</v>
      </c>
      <c r="J872" s="13">
        <v>0.47916666666666669</v>
      </c>
      <c r="K872" s="13"/>
      <c r="L872" s="13"/>
      <c r="M872">
        <v>0</v>
      </c>
      <c r="N872" s="14">
        <v>120</v>
      </c>
      <c r="O872" t="s">
        <v>195</v>
      </c>
      <c r="Q872" t="s">
        <v>305</v>
      </c>
      <c r="R872" t="s">
        <v>2065</v>
      </c>
      <c r="S872">
        <v>0</v>
      </c>
      <c r="T872">
        <v>0</v>
      </c>
      <c r="U872" t="s">
        <v>2290</v>
      </c>
      <c r="V872" t="s">
        <v>2291</v>
      </c>
      <c r="W872" t="s">
        <v>2292</v>
      </c>
      <c r="X872" t="s">
        <v>2288</v>
      </c>
      <c r="Y872" t="s">
        <v>2293</v>
      </c>
      <c r="Z872" t="s">
        <v>2309</v>
      </c>
      <c r="AA872">
        <v>14</v>
      </c>
      <c r="AB872" s="14">
        <v>120</v>
      </c>
      <c r="AC872" t="s">
        <v>2310</v>
      </c>
      <c r="AD872" t="s">
        <v>2311</v>
      </c>
      <c r="AE872" t="s">
        <v>2643</v>
      </c>
      <c r="AF872">
        <v>44</v>
      </c>
      <c r="AG872">
        <v>0</v>
      </c>
      <c r="AJ872">
        <v>1</v>
      </c>
      <c r="AK872">
        <v>1</v>
      </c>
      <c r="AL872">
        <v>1</v>
      </c>
      <c r="AM872" s="14">
        <v>0</v>
      </c>
      <c r="AN872" t="s">
        <v>2644</v>
      </c>
      <c r="AO872" s="12">
        <v>46174</v>
      </c>
      <c r="AP872">
        <v>2026</v>
      </c>
      <c r="AQ872">
        <v>6</v>
      </c>
      <c r="AR872" t="s">
        <v>2653</v>
      </c>
    </row>
    <row r="873" spans="1:44">
      <c r="A873" t="s">
        <v>2184</v>
      </c>
      <c r="B873" s="12">
        <v>46203</v>
      </c>
      <c r="C873" s="12">
        <v>46197</v>
      </c>
      <c r="D873" t="s">
        <v>624</v>
      </c>
      <c r="E873" t="s">
        <v>255</v>
      </c>
      <c r="F873" t="s">
        <v>282</v>
      </c>
      <c r="G873" t="s">
        <v>290</v>
      </c>
      <c r="H873" t="s">
        <v>127</v>
      </c>
      <c r="I873" t="s">
        <v>316</v>
      </c>
      <c r="J873" s="13">
        <v>0.64583333333333337</v>
      </c>
      <c r="K873" s="13"/>
      <c r="L873" s="13"/>
      <c r="M873">
        <v>0</v>
      </c>
      <c r="N873" s="14">
        <v>120</v>
      </c>
      <c r="O873" t="s">
        <v>169</v>
      </c>
      <c r="Q873" t="s">
        <v>326</v>
      </c>
      <c r="R873" t="s">
        <v>2065</v>
      </c>
      <c r="S873">
        <v>0</v>
      </c>
      <c r="T873">
        <v>0</v>
      </c>
      <c r="U873" t="s">
        <v>2299</v>
      </c>
      <c r="V873" t="s">
        <v>2295</v>
      </c>
      <c r="W873" t="s">
        <v>2300</v>
      </c>
      <c r="X873" t="s">
        <v>2288</v>
      </c>
      <c r="Y873" t="s">
        <v>2301</v>
      </c>
      <c r="Z873" t="s">
        <v>2309</v>
      </c>
      <c r="AA873">
        <v>14</v>
      </c>
      <c r="AB873" s="14">
        <v>120</v>
      </c>
      <c r="AC873" t="s">
        <v>2310</v>
      </c>
      <c r="AD873" t="s">
        <v>2311</v>
      </c>
      <c r="AE873" t="s">
        <v>2643</v>
      </c>
      <c r="AF873">
        <v>6</v>
      </c>
      <c r="AG873">
        <v>1</v>
      </c>
      <c r="AJ873">
        <v>0</v>
      </c>
      <c r="AL873">
        <v>1</v>
      </c>
      <c r="AM873" s="14">
        <v>0</v>
      </c>
      <c r="AN873" t="s">
        <v>2644</v>
      </c>
      <c r="AO873" s="12">
        <v>46174</v>
      </c>
      <c r="AP873">
        <v>2026</v>
      </c>
      <c r="AQ873">
        <v>6</v>
      </c>
      <c r="AR873" t="s">
        <v>2653</v>
      </c>
    </row>
    <row r="874" spans="1:44">
      <c r="A874" t="s">
        <v>2185</v>
      </c>
      <c r="B874" s="12">
        <v>46190</v>
      </c>
      <c r="C874" s="12">
        <v>46153</v>
      </c>
      <c r="D874" t="s">
        <v>309</v>
      </c>
      <c r="E874" t="s">
        <v>268</v>
      </c>
      <c r="F874" t="s">
        <v>269</v>
      </c>
      <c r="G874" t="s">
        <v>435</v>
      </c>
      <c r="H874" t="s">
        <v>115</v>
      </c>
      <c r="I874" t="s">
        <v>271</v>
      </c>
      <c r="J874" s="13">
        <v>0.60416666666666663</v>
      </c>
      <c r="K874" s="13">
        <v>0.60486111111111107</v>
      </c>
      <c r="L874" s="13">
        <v>0.62291666666666667</v>
      </c>
      <c r="M874">
        <v>30</v>
      </c>
      <c r="N874" s="14">
        <v>80</v>
      </c>
      <c r="O874" t="s">
        <v>195</v>
      </c>
      <c r="P874">
        <v>4</v>
      </c>
      <c r="Q874" t="s">
        <v>305</v>
      </c>
      <c r="R874" t="s">
        <v>2065</v>
      </c>
      <c r="S874">
        <v>0</v>
      </c>
      <c r="T874">
        <v>0</v>
      </c>
      <c r="U874" t="s">
        <v>2285</v>
      </c>
      <c r="V874" t="s">
        <v>2286</v>
      </c>
      <c r="W874" t="s">
        <v>2287</v>
      </c>
      <c r="X874" t="s">
        <v>2288</v>
      </c>
      <c r="Y874" t="s">
        <v>2289</v>
      </c>
      <c r="Z874" t="s">
        <v>2315</v>
      </c>
      <c r="AA874">
        <v>10</v>
      </c>
      <c r="AB874" s="14">
        <v>80</v>
      </c>
      <c r="AC874" t="s">
        <v>2316</v>
      </c>
      <c r="AD874" t="s">
        <v>2317</v>
      </c>
      <c r="AE874" t="s">
        <v>2643</v>
      </c>
      <c r="AF874">
        <v>37</v>
      </c>
      <c r="AG874">
        <v>0</v>
      </c>
      <c r="AH874">
        <v>26</v>
      </c>
      <c r="AI874">
        <v>1</v>
      </c>
      <c r="AJ874">
        <v>1</v>
      </c>
      <c r="AK874">
        <v>0</v>
      </c>
      <c r="AL874">
        <v>1</v>
      </c>
      <c r="AM874" s="14">
        <v>0</v>
      </c>
      <c r="AN874" t="s">
        <v>2644</v>
      </c>
      <c r="AO874" s="12">
        <v>46174</v>
      </c>
      <c r="AP874">
        <v>2026</v>
      </c>
      <c r="AQ874">
        <v>6</v>
      </c>
      <c r="AR874" t="s">
        <v>2653</v>
      </c>
    </row>
    <row r="875" spans="1:44">
      <c r="A875" t="s">
        <v>2186</v>
      </c>
      <c r="B875" s="12">
        <v>46177</v>
      </c>
      <c r="C875" s="12">
        <v>46138</v>
      </c>
      <c r="D875" t="s">
        <v>967</v>
      </c>
      <c r="E875" t="s">
        <v>339</v>
      </c>
      <c r="G875" t="s">
        <v>501</v>
      </c>
      <c r="H875" t="s">
        <v>122</v>
      </c>
      <c r="I875" t="s">
        <v>271</v>
      </c>
      <c r="J875" s="13">
        <v>0.45833333333333331</v>
      </c>
      <c r="K875" s="13"/>
      <c r="L875" s="13"/>
      <c r="M875">
        <v>0</v>
      </c>
      <c r="N875" s="14">
        <v>150</v>
      </c>
      <c r="O875" t="s">
        <v>195</v>
      </c>
      <c r="Q875" t="s">
        <v>305</v>
      </c>
      <c r="R875" t="s">
        <v>2065</v>
      </c>
      <c r="S875">
        <v>0</v>
      </c>
      <c r="T875">
        <v>1</v>
      </c>
      <c r="U875" t="s">
        <v>2294</v>
      </c>
      <c r="V875" t="s">
        <v>2295</v>
      </c>
      <c r="W875" t="s">
        <v>2296</v>
      </c>
      <c r="X875" t="s">
        <v>2297</v>
      </c>
      <c r="Y875" t="s">
        <v>2298</v>
      </c>
      <c r="AE875" t="s">
        <v>2646</v>
      </c>
      <c r="AF875">
        <v>39</v>
      </c>
      <c r="AJ875">
        <v>1</v>
      </c>
      <c r="AK875">
        <v>1</v>
      </c>
      <c r="AL875">
        <v>1</v>
      </c>
      <c r="AN875" t="s">
        <v>2647</v>
      </c>
      <c r="AO875" s="12">
        <v>46174</v>
      </c>
      <c r="AP875">
        <v>2026</v>
      </c>
      <c r="AQ875">
        <v>6</v>
      </c>
      <c r="AR875" t="s">
        <v>2653</v>
      </c>
    </row>
    <row r="876" spans="1:44">
      <c r="A876" t="s">
        <v>2187</v>
      </c>
      <c r="B876" s="12">
        <v>46175</v>
      </c>
      <c r="C876" s="12">
        <v>46124</v>
      </c>
      <c r="D876" t="s">
        <v>1189</v>
      </c>
      <c r="E876" t="s">
        <v>255</v>
      </c>
      <c r="F876" t="s">
        <v>297</v>
      </c>
      <c r="G876" t="s">
        <v>331</v>
      </c>
      <c r="H876" t="s">
        <v>115</v>
      </c>
      <c r="I876" t="s">
        <v>316</v>
      </c>
      <c r="J876" s="13">
        <v>0.39583333333333331</v>
      </c>
      <c r="K876" s="13">
        <v>0.39930555555555558</v>
      </c>
      <c r="L876" s="13">
        <v>0.41597222222222224</v>
      </c>
      <c r="M876">
        <v>30</v>
      </c>
      <c r="N876" s="14">
        <v>65</v>
      </c>
      <c r="O876" t="s">
        <v>195</v>
      </c>
      <c r="P876">
        <v>5</v>
      </c>
      <c r="Q876" t="s">
        <v>326</v>
      </c>
      <c r="R876" t="s">
        <v>2065</v>
      </c>
      <c r="S876">
        <v>0</v>
      </c>
      <c r="T876">
        <v>0</v>
      </c>
      <c r="U876" t="s">
        <v>2299</v>
      </c>
      <c r="V876" t="s">
        <v>2295</v>
      </c>
      <c r="W876" t="s">
        <v>2300</v>
      </c>
      <c r="X876" t="s">
        <v>2288</v>
      </c>
      <c r="Y876" t="s">
        <v>2301</v>
      </c>
      <c r="Z876" t="s">
        <v>2306</v>
      </c>
      <c r="AA876">
        <v>7</v>
      </c>
      <c r="AB876" s="14">
        <v>65</v>
      </c>
      <c r="AC876" t="s">
        <v>2307</v>
      </c>
      <c r="AD876" t="s">
        <v>2308</v>
      </c>
      <c r="AE876" t="s">
        <v>2643</v>
      </c>
      <c r="AF876">
        <v>51</v>
      </c>
      <c r="AG876">
        <v>0</v>
      </c>
      <c r="AH876">
        <v>24</v>
      </c>
      <c r="AI876">
        <v>1</v>
      </c>
      <c r="AJ876">
        <v>1</v>
      </c>
      <c r="AK876">
        <v>0</v>
      </c>
      <c r="AL876">
        <v>1</v>
      </c>
      <c r="AM876" s="14">
        <v>0</v>
      </c>
      <c r="AN876" t="s">
        <v>2644</v>
      </c>
      <c r="AO876" s="12">
        <v>46174</v>
      </c>
      <c r="AP876">
        <v>2026</v>
      </c>
      <c r="AQ876">
        <v>6</v>
      </c>
      <c r="AR876" t="s">
        <v>2653</v>
      </c>
    </row>
    <row r="877" spans="1:44">
      <c r="A877" t="s">
        <v>2188</v>
      </c>
      <c r="B877" s="12">
        <v>46202</v>
      </c>
      <c r="C877" s="12">
        <v>46197</v>
      </c>
      <c r="D877" t="s">
        <v>367</v>
      </c>
      <c r="E877" t="s">
        <v>255</v>
      </c>
      <c r="F877" t="s">
        <v>282</v>
      </c>
      <c r="G877" t="s">
        <v>424</v>
      </c>
      <c r="H877" t="s">
        <v>115</v>
      </c>
      <c r="I877" t="s">
        <v>258</v>
      </c>
      <c r="J877" s="13">
        <v>0.5</v>
      </c>
      <c r="K877" s="13">
        <v>0.49375000000000002</v>
      </c>
      <c r="L877" s="13">
        <v>0.51111111111111107</v>
      </c>
      <c r="M877">
        <v>20</v>
      </c>
      <c r="N877" s="14">
        <v>120</v>
      </c>
      <c r="O877" t="s">
        <v>195</v>
      </c>
      <c r="P877">
        <v>4</v>
      </c>
      <c r="Q877" t="s">
        <v>305</v>
      </c>
      <c r="R877" t="s">
        <v>2065</v>
      </c>
      <c r="S877">
        <v>0</v>
      </c>
      <c r="T877">
        <v>0</v>
      </c>
      <c r="U877" t="s">
        <v>2299</v>
      </c>
      <c r="V877" t="s">
        <v>2295</v>
      </c>
      <c r="W877" t="s">
        <v>2300</v>
      </c>
      <c r="X877" t="s">
        <v>2288</v>
      </c>
      <c r="Y877" t="s">
        <v>2301</v>
      </c>
      <c r="Z877" t="s">
        <v>2309</v>
      </c>
      <c r="AA877">
        <v>14</v>
      </c>
      <c r="AB877" s="14">
        <v>120</v>
      </c>
      <c r="AC877" t="s">
        <v>2310</v>
      </c>
      <c r="AD877" t="s">
        <v>2311</v>
      </c>
      <c r="AE877" t="s">
        <v>2643</v>
      </c>
      <c r="AF877">
        <v>5</v>
      </c>
      <c r="AG877">
        <v>1</v>
      </c>
      <c r="AH877">
        <v>25</v>
      </c>
      <c r="AI877">
        <v>1</v>
      </c>
      <c r="AJ877">
        <v>1</v>
      </c>
      <c r="AK877">
        <v>0</v>
      </c>
      <c r="AL877">
        <v>1</v>
      </c>
      <c r="AM877" s="14">
        <v>0</v>
      </c>
      <c r="AN877" t="s">
        <v>2644</v>
      </c>
      <c r="AO877" s="12">
        <v>46174</v>
      </c>
      <c r="AP877">
        <v>2026</v>
      </c>
      <c r="AQ877">
        <v>6</v>
      </c>
      <c r="AR877" t="s">
        <v>2653</v>
      </c>
    </row>
    <row r="878" spans="1:44">
      <c r="A878" t="s">
        <v>2189</v>
      </c>
      <c r="B878" s="12">
        <v>46179</v>
      </c>
      <c r="C878" s="12">
        <v>46170</v>
      </c>
      <c r="D878" t="s">
        <v>577</v>
      </c>
      <c r="E878" t="s">
        <v>281</v>
      </c>
      <c r="F878" t="s">
        <v>269</v>
      </c>
      <c r="G878" t="s">
        <v>363</v>
      </c>
      <c r="H878" t="s">
        <v>115</v>
      </c>
      <c r="I878" t="s">
        <v>299</v>
      </c>
      <c r="J878" s="13">
        <v>0.45833333333333331</v>
      </c>
      <c r="K878" s="13">
        <v>0.4597222222222222</v>
      </c>
      <c r="L878" s="13">
        <v>0.4597222222222222</v>
      </c>
      <c r="M878">
        <v>60</v>
      </c>
      <c r="N878" s="14">
        <v>80</v>
      </c>
      <c r="O878" t="s">
        <v>195</v>
      </c>
      <c r="P878">
        <v>2</v>
      </c>
      <c r="Q878" t="s">
        <v>305</v>
      </c>
      <c r="R878" t="s">
        <v>2065</v>
      </c>
      <c r="S878">
        <v>0</v>
      </c>
      <c r="T878">
        <v>0</v>
      </c>
      <c r="U878" t="s">
        <v>2290</v>
      </c>
      <c r="V878" t="s">
        <v>2291</v>
      </c>
      <c r="W878" t="s">
        <v>2292</v>
      </c>
      <c r="X878" t="s">
        <v>2288</v>
      </c>
      <c r="Y878" t="s">
        <v>2293</v>
      </c>
      <c r="Z878" t="s">
        <v>2315</v>
      </c>
      <c r="AA878">
        <v>10</v>
      </c>
      <c r="AB878" s="14">
        <v>80</v>
      </c>
      <c r="AC878" t="s">
        <v>2316</v>
      </c>
      <c r="AD878" t="s">
        <v>2317</v>
      </c>
      <c r="AE878" t="s">
        <v>2643</v>
      </c>
      <c r="AF878">
        <v>9</v>
      </c>
      <c r="AG878">
        <v>1</v>
      </c>
      <c r="AH878">
        <v>0</v>
      </c>
      <c r="AI878">
        <v>1</v>
      </c>
      <c r="AJ878">
        <v>1</v>
      </c>
      <c r="AK878">
        <v>0</v>
      </c>
      <c r="AL878">
        <v>1</v>
      </c>
      <c r="AM878" s="14">
        <v>0</v>
      </c>
      <c r="AN878" t="s">
        <v>2644</v>
      </c>
      <c r="AO878" s="12">
        <v>46174</v>
      </c>
      <c r="AP878">
        <v>2026</v>
      </c>
      <c r="AQ878">
        <v>6</v>
      </c>
      <c r="AR878" t="s">
        <v>2653</v>
      </c>
    </row>
    <row r="879" spans="1:44">
      <c r="A879" t="s">
        <v>2190</v>
      </c>
      <c r="B879" s="12">
        <v>46191</v>
      </c>
      <c r="C879" s="12">
        <v>46150</v>
      </c>
      <c r="D879" t="s">
        <v>1418</v>
      </c>
      <c r="E879" t="s">
        <v>339</v>
      </c>
      <c r="F879" t="s">
        <v>409</v>
      </c>
      <c r="G879" t="s">
        <v>501</v>
      </c>
      <c r="H879" t="s">
        <v>115</v>
      </c>
      <c r="I879" t="s">
        <v>316</v>
      </c>
      <c r="J879" s="13">
        <v>0.45833333333333331</v>
      </c>
      <c r="K879" s="13">
        <v>0.46527777777777779</v>
      </c>
      <c r="L879" s="13">
        <v>0.47499999999999998</v>
      </c>
      <c r="M879">
        <v>60</v>
      </c>
      <c r="N879" s="14">
        <v>150</v>
      </c>
      <c r="O879" t="s">
        <v>169</v>
      </c>
      <c r="Q879" t="s">
        <v>318</v>
      </c>
      <c r="R879" t="s">
        <v>2065</v>
      </c>
      <c r="S879">
        <v>0</v>
      </c>
      <c r="T879">
        <v>0</v>
      </c>
      <c r="U879" t="s">
        <v>2294</v>
      </c>
      <c r="V879" t="s">
        <v>2295</v>
      </c>
      <c r="W879" t="s">
        <v>2296</v>
      </c>
      <c r="X879" t="s">
        <v>2297</v>
      </c>
      <c r="Y879" t="s">
        <v>2298</v>
      </c>
      <c r="Z879" t="s">
        <v>2318</v>
      </c>
      <c r="AA879">
        <v>28</v>
      </c>
      <c r="AB879" s="14">
        <v>150</v>
      </c>
      <c r="AC879" t="s">
        <v>2319</v>
      </c>
      <c r="AD879" t="s">
        <v>2320</v>
      </c>
      <c r="AE879" t="s">
        <v>2643</v>
      </c>
      <c r="AF879">
        <v>41</v>
      </c>
      <c r="AG879">
        <v>0</v>
      </c>
      <c r="AH879">
        <v>14</v>
      </c>
      <c r="AI879">
        <v>1</v>
      </c>
      <c r="AJ879">
        <v>1</v>
      </c>
      <c r="AK879">
        <v>0</v>
      </c>
      <c r="AL879">
        <v>1</v>
      </c>
      <c r="AM879" s="14">
        <v>0</v>
      </c>
      <c r="AN879" t="s">
        <v>2644</v>
      </c>
      <c r="AO879" s="12">
        <v>46174</v>
      </c>
      <c r="AP879">
        <v>2026</v>
      </c>
      <c r="AQ879">
        <v>6</v>
      </c>
      <c r="AR879" t="s">
        <v>2653</v>
      </c>
    </row>
    <row r="880" spans="1:44">
      <c r="A880" t="s">
        <v>2191</v>
      </c>
      <c r="B880" s="12">
        <v>46178</v>
      </c>
      <c r="C880" s="12">
        <v>46140</v>
      </c>
      <c r="D880" t="s">
        <v>1123</v>
      </c>
      <c r="E880" t="s">
        <v>339</v>
      </c>
      <c r="F880" t="s">
        <v>269</v>
      </c>
      <c r="G880" t="s">
        <v>528</v>
      </c>
      <c r="H880" t="s">
        <v>122</v>
      </c>
      <c r="I880" t="s">
        <v>299</v>
      </c>
      <c r="J880" s="13">
        <v>0.45833333333333331</v>
      </c>
      <c r="K880" s="13"/>
      <c r="L880" s="13"/>
      <c r="M880">
        <v>0</v>
      </c>
      <c r="N880" s="14">
        <v>80</v>
      </c>
      <c r="O880" t="s">
        <v>195</v>
      </c>
      <c r="Q880" t="s">
        <v>318</v>
      </c>
      <c r="R880" t="s">
        <v>2065</v>
      </c>
      <c r="S880">
        <v>0</v>
      </c>
      <c r="T880">
        <v>0</v>
      </c>
      <c r="U880" t="s">
        <v>2294</v>
      </c>
      <c r="V880" t="s">
        <v>2295</v>
      </c>
      <c r="W880" t="s">
        <v>2296</v>
      </c>
      <c r="X880" t="s">
        <v>2297</v>
      </c>
      <c r="Y880" t="s">
        <v>2298</v>
      </c>
      <c r="Z880" t="s">
        <v>2315</v>
      </c>
      <c r="AA880">
        <v>10</v>
      </c>
      <c r="AB880" s="14">
        <v>80</v>
      </c>
      <c r="AC880" t="s">
        <v>2316</v>
      </c>
      <c r="AD880" t="s">
        <v>2317</v>
      </c>
      <c r="AE880" t="s">
        <v>2643</v>
      </c>
      <c r="AF880">
        <v>38</v>
      </c>
      <c r="AG880">
        <v>0</v>
      </c>
      <c r="AJ880">
        <v>1</v>
      </c>
      <c r="AK880">
        <v>1</v>
      </c>
      <c r="AL880">
        <v>1</v>
      </c>
      <c r="AM880" s="14">
        <v>0</v>
      </c>
      <c r="AN880" t="s">
        <v>2644</v>
      </c>
      <c r="AO880" s="12">
        <v>46174</v>
      </c>
      <c r="AP880">
        <v>2026</v>
      </c>
      <c r="AQ880">
        <v>6</v>
      </c>
      <c r="AR880" t="s">
        <v>2653</v>
      </c>
    </row>
    <row r="881" spans="1:44">
      <c r="A881" t="s">
        <v>2192</v>
      </c>
      <c r="B881" s="12">
        <v>46174</v>
      </c>
      <c r="C881" s="12">
        <v>46161</v>
      </c>
      <c r="D881" t="s">
        <v>2165</v>
      </c>
      <c r="E881" t="s">
        <v>268</v>
      </c>
      <c r="F881" t="s">
        <v>297</v>
      </c>
      <c r="G881" t="s">
        <v>628</v>
      </c>
      <c r="H881" t="s">
        <v>115</v>
      </c>
      <c r="I881" t="s">
        <v>316</v>
      </c>
      <c r="J881" s="13">
        <v>0.39583333333333331</v>
      </c>
      <c r="K881" s="13">
        <v>0.39791666666666664</v>
      </c>
      <c r="L881" s="13">
        <v>0.41180555555555554</v>
      </c>
      <c r="M881">
        <v>30</v>
      </c>
      <c r="N881" s="14">
        <v>65</v>
      </c>
      <c r="O881" t="s">
        <v>195</v>
      </c>
      <c r="P881">
        <v>2</v>
      </c>
      <c r="Q881" t="s">
        <v>326</v>
      </c>
      <c r="R881" t="s">
        <v>2065</v>
      </c>
      <c r="S881">
        <v>0</v>
      </c>
      <c r="T881">
        <v>0</v>
      </c>
      <c r="U881" t="s">
        <v>2285</v>
      </c>
      <c r="V881" t="s">
        <v>2286</v>
      </c>
      <c r="W881" t="s">
        <v>2287</v>
      </c>
      <c r="X881" t="s">
        <v>2288</v>
      </c>
      <c r="Y881" t="s">
        <v>2289</v>
      </c>
      <c r="Z881" t="s">
        <v>2306</v>
      </c>
      <c r="AA881">
        <v>7</v>
      </c>
      <c r="AB881" s="14">
        <v>65</v>
      </c>
      <c r="AC881" t="s">
        <v>2307</v>
      </c>
      <c r="AD881" t="s">
        <v>2308</v>
      </c>
      <c r="AE881" t="s">
        <v>2643</v>
      </c>
      <c r="AF881">
        <v>13</v>
      </c>
      <c r="AG881">
        <v>0</v>
      </c>
      <c r="AH881">
        <v>20</v>
      </c>
      <c r="AI881">
        <v>1</v>
      </c>
      <c r="AJ881">
        <v>1</v>
      </c>
      <c r="AK881">
        <v>0</v>
      </c>
      <c r="AL881">
        <v>1</v>
      </c>
      <c r="AM881" s="14">
        <v>0</v>
      </c>
      <c r="AN881" t="s">
        <v>2644</v>
      </c>
      <c r="AO881" s="12">
        <v>46174</v>
      </c>
      <c r="AP881">
        <v>2026</v>
      </c>
      <c r="AQ881">
        <v>6</v>
      </c>
      <c r="AR881" t="s">
        <v>2653</v>
      </c>
    </row>
    <row r="882" spans="1:44">
      <c r="A882" t="s">
        <v>2193</v>
      </c>
      <c r="B882" s="12">
        <v>46182</v>
      </c>
      <c r="C882" s="12">
        <v>46157</v>
      </c>
      <c r="D882" t="s">
        <v>465</v>
      </c>
      <c r="E882" t="s">
        <v>268</v>
      </c>
      <c r="F882" t="s">
        <v>297</v>
      </c>
      <c r="G882" t="s">
        <v>583</v>
      </c>
      <c r="H882" t="s">
        <v>115</v>
      </c>
      <c r="I882" t="s">
        <v>271</v>
      </c>
      <c r="J882" s="13">
        <v>0.52083333333333337</v>
      </c>
      <c r="K882" s="13">
        <v>0.52916666666666667</v>
      </c>
      <c r="L882" s="13">
        <v>0.54791666666666672</v>
      </c>
      <c r="M882">
        <v>30</v>
      </c>
      <c r="N882" s="14">
        <v>65</v>
      </c>
      <c r="O882" t="s">
        <v>169</v>
      </c>
      <c r="P882">
        <v>3</v>
      </c>
      <c r="Q882" t="s">
        <v>326</v>
      </c>
      <c r="R882" t="s">
        <v>2065</v>
      </c>
      <c r="S882">
        <v>0</v>
      </c>
      <c r="T882">
        <v>0</v>
      </c>
      <c r="U882" t="s">
        <v>2285</v>
      </c>
      <c r="V882" t="s">
        <v>2286</v>
      </c>
      <c r="W882" t="s">
        <v>2287</v>
      </c>
      <c r="X882" t="s">
        <v>2288</v>
      </c>
      <c r="Y882" t="s">
        <v>2289</v>
      </c>
      <c r="Z882" t="s">
        <v>2306</v>
      </c>
      <c r="AA882">
        <v>7</v>
      </c>
      <c r="AB882" s="14">
        <v>65</v>
      </c>
      <c r="AC882" t="s">
        <v>2307</v>
      </c>
      <c r="AD882" t="s">
        <v>2308</v>
      </c>
      <c r="AE882" t="s">
        <v>2643</v>
      </c>
      <c r="AF882">
        <v>25</v>
      </c>
      <c r="AG882">
        <v>0</v>
      </c>
      <c r="AH882">
        <v>27</v>
      </c>
      <c r="AI882">
        <v>1</v>
      </c>
      <c r="AJ882">
        <v>1</v>
      </c>
      <c r="AK882">
        <v>0</v>
      </c>
      <c r="AL882">
        <v>1</v>
      </c>
      <c r="AM882" s="14">
        <v>0</v>
      </c>
      <c r="AN882" t="s">
        <v>2644</v>
      </c>
      <c r="AO882" s="12">
        <v>46174</v>
      </c>
      <c r="AP882">
        <v>2026</v>
      </c>
      <c r="AQ882">
        <v>6</v>
      </c>
      <c r="AR882" t="s">
        <v>2653</v>
      </c>
    </row>
    <row r="883" spans="1:44">
      <c r="A883" t="s">
        <v>2194</v>
      </c>
      <c r="B883" s="12">
        <v>46201</v>
      </c>
      <c r="C883" s="12">
        <v>46160</v>
      </c>
      <c r="D883" t="s">
        <v>1525</v>
      </c>
      <c r="E883" t="s">
        <v>339</v>
      </c>
      <c r="F883" t="s">
        <v>269</v>
      </c>
      <c r="G883" t="s">
        <v>528</v>
      </c>
      <c r="H883" t="s">
        <v>115</v>
      </c>
      <c r="I883" t="s">
        <v>271</v>
      </c>
      <c r="J883" s="13">
        <v>0.66666666666666663</v>
      </c>
      <c r="K883" s="13">
        <v>0.66597222222222219</v>
      </c>
      <c r="L883" s="13">
        <v>0.68263888888888891</v>
      </c>
      <c r="M883">
        <v>20</v>
      </c>
      <c r="N883" s="14">
        <v>80</v>
      </c>
      <c r="O883" t="s">
        <v>195</v>
      </c>
      <c r="P883">
        <v>3</v>
      </c>
      <c r="Q883" t="s">
        <v>326</v>
      </c>
      <c r="R883" t="s">
        <v>2065</v>
      </c>
      <c r="S883">
        <v>0</v>
      </c>
      <c r="T883">
        <v>0</v>
      </c>
      <c r="U883" t="s">
        <v>2294</v>
      </c>
      <c r="V883" t="s">
        <v>2295</v>
      </c>
      <c r="W883" t="s">
        <v>2296</v>
      </c>
      <c r="X883" t="s">
        <v>2297</v>
      </c>
      <c r="Y883" t="s">
        <v>2298</v>
      </c>
      <c r="Z883" t="s">
        <v>2315</v>
      </c>
      <c r="AA883">
        <v>10</v>
      </c>
      <c r="AB883" s="14">
        <v>80</v>
      </c>
      <c r="AC883" t="s">
        <v>2316</v>
      </c>
      <c r="AD883" t="s">
        <v>2317</v>
      </c>
      <c r="AE883" t="s">
        <v>2643</v>
      </c>
      <c r="AF883">
        <v>41</v>
      </c>
      <c r="AG883">
        <v>0</v>
      </c>
      <c r="AH883">
        <v>24</v>
      </c>
      <c r="AI883">
        <v>1</v>
      </c>
      <c r="AJ883">
        <v>1</v>
      </c>
      <c r="AK883">
        <v>0</v>
      </c>
      <c r="AL883">
        <v>1</v>
      </c>
      <c r="AM883" s="14">
        <v>0</v>
      </c>
      <c r="AN883" t="s">
        <v>2644</v>
      </c>
      <c r="AO883" s="12">
        <v>46174</v>
      </c>
      <c r="AP883">
        <v>2026</v>
      </c>
      <c r="AQ883">
        <v>6</v>
      </c>
      <c r="AR883" t="s">
        <v>2653</v>
      </c>
    </row>
    <row r="884" spans="1:44">
      <c r="A884" t="s">
        <v>2196</v>
      </c>
      <c r="B884" s="12">
        <v>46195</v>
      </c>
      <c r="C884" s="12">
        <v>46184</v>
      </c>
      <c r="D884" t="s">
        <v>1393</v>
      </c>
      <c r="E884" t="s">
        <v>255</v>
      </c>
      <c r="F884" t="s">
        <v>256</v>
      </c>
      <c r="G884" t="s">
        <v>257</v>
      </c>
      <c r="H884" t="s">
        <v>115</v>
      </c>
      <c r="I884" t="s">
        <v>316</v>
      </c>
      <c r="J884" s="13">
        <v>0.33333333333333331</v>
      </c>
      <c r="K884" s="13">
        <v>0.32847222222222222</v>
      </c>
      <c r="L884" s="13">
        <v>0.34722222222222221</v>
      </c>
      <c r="M884">
        <v>30</v>
      </c>
      <c r="N884" s="14">
        <v>95</v>
      </c>
      <c r="O884" t="s">
        <v>169</v>
      </c>
      <c r="P884">
        <v>3</v>
      </c>
      <c r="Q884" t="s">
        <v>326</v>
      </c>
      <c r="R884" t="s">
        <v>2065</v>
      </c>
      <c r="S884">
        <v>0</v>
      </c>
      <c r="T884">
        <v>0</v>
      </c>
      <c r="U884" t="s">
        <v>2299</v>
      </c>
      <c r="V884" t="s">
        <v>2295</v>
      </c>
      <c r="W884" t="s">
        <v>2300</v>
      </c>
      <c r="X884" t="s">
        <v>2288</v>
      </c>
      <c r="Y884" t="s">
        <v>2301</v>
      </c>
      <c r="Z884" t="s">
        <v>2312</v>
      </c>
      <c r="AA884">
        <v>21</v>
      </c>
      <c r="AB884" s="14">
        <v>95</v>
      </c>
      <c r="AC884" t="s">
        <v>2313</v>
      </c>
      <c r="AD884" t="s">
        <v>2314</v>
      </c>
      <c r="AE884" t="s">
        <v>2643</v>
      </c>
      <c r="AF884">
        <v>11</v>
      </c>
      <c r="AG884">
        <v>1</v>
      </c>
      <c r="AH884">
        <v>27</v>
      </c>
      <c r="AI884">
        <v>1</v>
      </c>
      <c r="AJ884">
        <v>1</v>
      </c>
      <c r="AK884">
        <v>0</v>
      </c>
      <c r="AL884">
        <v>1</v>
      </c>
      <c r="AM884" s="14">
        <v>0</v>
      </c>
      <c r="AN884" t="s">
        <v>2644</v>
      </c>
      <c r="AO884" s="12">
        <v>46174</v>
      </c>
      <c r="AP884">
        <v>2026</v>
      </c>
      <c r="AQ884">
        <v>6</v>
      </c>
      <c r="AR884" t="s">
        <v>2653</v>
      </c>
    </row>
    <row r="885" spans="1:44">
      <c r="A885" t="s">
        <v>2197</v>
      </c>
      <c r="B885" s="12">
        <v>46192</v>
      </c>
      <c r="C885" s="12">
        <v>46185</v>
      </c>
      <c r="D885" t="s">
        <v>837</v>
      </c>
      <c r="E885" t="s">
        <v>255</v>
      </c>
      <c r="F885" t="s">
        <v>269</v>
      </c>
      <c r="G885" t="s">
        <v>542</v>
      </c>
      <c r="H885" t="s">
        <v>115</v>
      </c>
      <c r="I885" t="s">
        <v>258</v>
      </c>
      <c r="J885" s="13">
        <v>0.4375</v>
      </c>
      <c r="K885" s="13">
        <v>0.44305555555555554</v>
      </c>
      <c r="L885" s="13">
        <v>0.4513888888888889</v>
      </c>
      <c r="M885">
        <v>45</v>
      </c>
      <c r="N885" s="14">
        <v>80</v>
      </c>
      <c r="O885" t="s">
        <v>169</v>
      </c>
      <c r="P885">
        <v>4</v>
      </c>
      <c r="Q885" t="s">
        <v>262</v>
      </c>
      <c r="R885" t="s">
        <v>2065</v>
      </c>
      <c r="S885">
        <v>0</v>
      </c>
      <c r="T885">
        <v>0</v>
      </c>
      <c r="U885" t="s">
        <v>2299</v>
      </c>
      <c r="V885" t="s">
        <v>2295</v>
      </c>
      <c r="W885" t="s">
        <v>2300</v>
      </c>
      <c r="X885" t="s">
        <v>2288</v>
      </c>
      <c r="Y885" t="s">
        <v>2301</v>
      </c>
      <c r="Z885" t="s">
        <v>2315</v>
      </c>
      <c r="AA885">
        <v>10</v>
      </c>
      <c r="AB885" s="14">
        <v>80</v>
      </c>
      <c r="AC885" t="s">
        <v>2316</v>
      </c>
      <c r="AD885" t="s">
        <v>2317</v>
      </c>
      <c r="AE885" t="s">
        <v>2643</v>
      </c>
      <c r="AF885">
        <v>7</v>
      </c>
      <c r="AG885">
        <v>1</v>
      </c>
      <c r="AH885">
        <v>12</v>
      </c>
      <c r="AI885">
        <v>1</v>
      </c>
      <c r="AJ885">
        <v>1</v>
      </c>
      <c r="AK885">
        <v>0</v>
      </c>
      <c r="AL885">
        <v>1</v>
      </c>
      <c r="AM885" s="14">
        <v>0</v>
      </c>
      <c r="AN885" t="s">
        <v>2644</v>
      </c>
      <c r="AO885" s="12">
        <v>46174</v>
      </c>
      <c r="AP885">
        <v>2026</v>
      </c>
      <c r="AQ885">
        <v>6</v>
      </c>
      <c r="AR885" t="s">
        <v>2653</v>
      </c>
    </row>
    <row r="886" spans="1:44">
      <c r="A886" t="s">
        <v>2198</v>
      </c>
      <c r="B886" s="12">
        <v>46201</v>
      </c>
      <c r="C886" s="12">
        <v>46177</v>
      </c>
      <c r="D886" t="s">
        <v>1065</v>
      </c>
      <c r="E886" t="s">
        <v>255</v>
      </c>
      <c r="F886" t="s">
        <v>409</v>
      </c>
      <c r="G886" t="s">
        <v>648</v>
      </c>
      <c r="H886" t="s">
        <v>115</v>
      </c>
      <c r="I886" t="s">
        <v>258</v>
      </c>
      <c r="J886" s="13">
        <v>0.47916666666666669</v>
      </c>
      <c r="K886" s="13">
        <v>0.47222222222222221</v>
      </c>
      <c r="L886" s="13">
        <v>0.48888888888888887</v>
      </c>
      <c r="M886">
        <v>20</v>
      </c>
      <c r="N886" s="14">
        <v>150</v>
      </c>
      <c r="O886" t="s">
        <v>195</v>
      </c>
      <c r="P886">
        <v>5</v>
      </c>
      <c r="Q886" t="s">
        <v>262</v>
      </c>
      <c r="R886" t="s">
        <v>2065</v>
      </c>
      <c r="S886">
        <v>0</v>
      </c>
      <c r="T886">
        <v>0</v>
      </c>
      <c r="U886" t="s">
        <v>2299</v>
      </c>
      <c r="V886" t="s">
        <v>2295</v>
      </c>
      <c r="W886" t="s">
        <v>2300</v>
      </c>
      <c r="X886" t="s">
        <v>2288</v>
      </c>
      <c r="Y886" t="s">
        <v>2301</v>
      </c>
      <c r="Z886" t="s">
        <v>2318</v>
      </c>
      <c r="AA886">
        <v>28</v>
      </c>
      <c r="AB886" s="14">
        <v>150</v>
      </c>
      <c r="AC886" t="s">
        <v>2319</v>
      </c>
      <c r="AD886" t="s">
        <v>2320</v>
      </c>
      <c r="AE886" t="s">
        <v>2643</v>
      </c>
      <c r="AF886">
        <v>24</v>
      </c>
      <c r="AG886">
        <v>1</v>
      </c>
      <c r="AH886">
        <v>24</v>
      </c>
      <c r="AI886">
        <v>1</v>
      </c>
      <c r="AJ886">
        <v>1</v>
      </c>
      <c r="AK886">
        <v>0</v>
      </c>
      <c r="AL886">
        <v>1</v>
      </c>
      <c r="AM886" s="14">
        <v>0</v>
      </c>
      <c r="AN886" t="s">
        <v>2644</v>
      </c>
      <c r="AO886" s="12">
        <v>46174</v>
      </c>
      <c r="AP886">
        <v>2026</v>
      </c>
      <c r="AQ886">
        <v>6</v>
      </c>
      <c r="AR886" t="s">
        <v>2653</v>
      </c>
    </row>
    <row r="887" spans="1:44">
      <c r="A887" t="s">
        <v>2199</v>
      </c>
      <c r="B887" s="12">
        <v>46188</v>
      </c>
      <c r="C887" s="12">
        <v>46185</v>
      </c>
      <c r="D887" t="s">
        <v>967</v>
      </c>
      <c r="E887" t="s">
        <v>339</v>
      </c>
      <c r="F887" t="s">
        <v>269</v>
      </c>
      <c r="G887" t="s">
        <v>528</v>
      </c>
      <c r="H887" t="s">
        <v>115</v>
      </c>
      <c r="I887" t="s">
        <v>299</v>
      </c>
      <c r="J887" s="13">
        <v>0.5</v>
      </c>
      <c r="K887" s="13">
        <v>0.50902777777777775</v>
      </c>
      <c r="L887" s="13">
        <v>0.50972222222222219</v>
      </c>
      <c r="M887">
        <v>60</v>
      </c>
      <c r="N887" s="14">
        <v>80</v>
      </c>
      <c r="O887" t="s">
        <v>195</v>
      </c>
      <c r="P887">
        <v>5</v>
      </c>
      <c r="Q887" t="s">
        <v>285</v>
      </c>
      <c r="R887" t="s">
        <v>2065</v>
      </c>
      <c r="S887">
        <v>0</v>
      </c>
      <c r="T887">
        <v>0</v>
      </c>
      <c r="U887" t="s">
        <v>2294</v>
      </c>
      <c r="V887" t="s">
        <v>2295</v>
      </c>
      <c r="W887" t="s">
        <v>2296</v>
      </c>
      <c r="X887" t="s">
        <v>2297</v>
      </c>
      <c r="Y887" t="s">
        <v>2298</v>
      </c>
      <c r="Z887" t="s">
        <v>2315</v>
      </c>
      <c r="AA887">
        <v>10</v>
      </c>
      <c r="AB887" s="14">
        <v>80</v>
      </c>
      <c r="AC887" t="s">
        <v>2316</v>
      </c>
      <c r="AD887" t="s">
        <v>2317</v>
      </c>
      <c r="AE887" t="s">
        <v>2643</v>
      </c>
      <c r="AF887">
        <v>3</v>
      </c>
      <c r="AG887">
        <v>1</v>
      </c>
      <c r="AH887">
        <v>1</v>
      </c>
      <c r="AI887">
        <v>1</v>
      </c>
      <c r="AJ887">
        <v>1</v>
      </c>
      <c r="AK887">
        <v>0</v>
      </c>
      <c r="AL887">
        <v>1</v>
      </c>
      <c r="AM887" s="14">
        <v>0</v>
      </c>
      <c r="AN887" t="s">
        <v>2644</v>
      </c>
      <c r="AO887" s="12">
        <v>46174</v>
      </c>
      <c r="AP887">
        <v>2026</v>
      </c>
      <c r="AQ887">
        <v>6</v>
      </c>
      <c r="AR887" t="s">
        <v>2653</v>
      </c>
    </row>
    <row r="888" spans="1:44">
      <c r="A888" t="s">
        <v>2200</v>
      </c>
      <c r="B888" s="12">
        <v>46199</v>
      </c>
      <c r="C888" s="12">
        <v>46168</v>
      </c>
      <c r="D888" t="s">
        <v>1864</v>
      </c>
      <c r="E888" t="s">
        <v>268</v>
      </c>
      <c r="F888" t="s">
        <v>269</v>
      </c>
      <c r="G888" t="s">
        <v>270</v>
      </c>
      <c r="H888" t="s">
        <v>115</v>
      </c>
      <c r="I888" t="s">
        <v>258</v>
      </c>
      <c r="J888" s="13">
        <v>0.54166666666666663</v>
      </c>
      <c r="K888" s="13">
        <v>0.54166666666666663</v>
      </c>
      <c r="L888" s="13">
        <v>0.5625</v>
      </c>
      <c r="M888">
        <v>30</v>
      </c>
      <c r="N888" s="14">
        <v>80</v>
      </c>
      <c r="O888" t="s">
        <v>195</v>
      </c>
      <c r="P888">
        <v>4</v>
      </c>
      <c r="Q888" t="s">
        <v>318</v>
      </c>
      <c r="R888" t="s">
        <v>2065</v>
      </c>
      <c r="S888">
        <v>0</v>
      </c>
      <c r="T888">
        <v>0</v>
      </c>
      <c r="U888" t="s">
        <v>2285</v>
      </c>
      <c r="V888" t="s">
        <v>2286</v>
      </c>
      <c r="W888" t="s">
        <v>2287</v>
      </c>
      <c r="X888" t="s">
        <v>2288</v>
      </c>
      <c r="Y888" t="s">
        <v>2289</v>
      </c>
      <c r="Z888" t="s">
        <v>2315</v>
      </c>
      <c r="AA888">
        <v>10</v>
      </c>
      <c r="AB888" s="14">
        <v>80</v>
      </c>
      <c r="AC888" t="s">
        <v>2316</v>
      </c>
      <c r="AD888" t="s">
        <v>2317</v>
      </c>
      <c r="AE888" t="s">
        <v>2643</v>
      </c>
      <c r="AF888">
        <v>31</v>
      </c>
      <c r="AG888">
        <v>0</v>
      </c>
      <c r="AH888">
        <v>30</v>
      </c>
      <c r="AI888">
        <v>1</v>
      </c>
      <c r="AJ888">
        <v>1</v>
      </c>
      <c r="AK888">
        <v>0</v>
      </c>
      <c r="AL888">
        <v>1</v>
      </c>
      <c r="AM888" s="14">
        <v>0</v>
      </c>
      <c r="AN888" t="s">
        <v>2644</v>
      </c>
      <c r="AO888" s="12">
        <v>46174</v>
      </c>
      <c r="AP888">
        <v>2026</v>
      </c>
      <c r="AQ888">
        <v>6</v>
      </c>
      <c r="AR888" t="s">
        <v>2653</v>
      </c>
    </row>
    <row r="889" spans="1:44">
      <c r="A889" t="s">
        <v>2201</v>
      </c>
      <c r="B889" s="12">
        <v>46188</v>
      </c>
      <c r="C889" s="12">
        <v>46176</v>
      </c>
      <c r="D889" t="s">
        <v>460</v>
      </c>
      <c r="E889" t="s">
        <v>268</v>
      </c>
      <c r="F889" t="s">
        <v>297</v>
      </c>
      <c r="G889" t="s">
        <v>583</v>
      </c>
      <c r="H889" t="s">
        <v>127</v>
      </c>
      <c r="I889" t="s">
        <v>299</v>
      </c>
      <c r="J889" s="13">
        <v>0.4375</v>
      </c>
      <c r="K889" s="13">
        <v>0.43055555555555558</v>
      </c>
      <c r="L889" s="13">
        <v>0.44791666666666669</v>
      </c>
      <c r="M889">
        <v>60</v>
      </c>
      <c r="N889" s="14">
        <v>65</v>
      </c>
      <c r="O889" t="s">
        <v>169</v>
      </c>
      <c r="P889">
        <v>3</v>
      </c>
      <c r="Q889" t="s">
        <v>262</v>
      </c>
      <c r="R889" t="s">
        <v>2065</v>
      </c>
      <c r="S889">
        <v>0</v>
      </c>
      <c r="T889">
        <v>0</v>
      </c>
      <c r="U889" t="s">
        <v>2285</v>
      </c>
      <c r="V889" t="s">
        <v>2286</v>
      </c>
      <c r="W889" t="s">
        <v>2287</v>
      </c>
      <c r="X889" t="s">
        <v>2288</v>
      </c>
      <c r="Y889" t="s">
        <v>2289</v>
      </c>
      <c r="Z889" t="s">
        <v>2306</v>
      </c>
      <c r="AA889">
        <v>7</v>
      </c>
      <c r="AB889" s="14">
        <v>65</v>
      </c>
      <c r="AC889" t="s">
        <v>2307</v>
      </c>
      <c r="AD889" t="s">
        <v>2308</v>
      </c>
      <c r="AE889" t="s">
        <v>2643</v>
      </c>
      <c r="AF889">
        <v>12</v>
      </c>
      <c r="AG889">
        <v>0</v>
      </c>
      <c r="AJ889">
        <v>0</v>
      </c>
      <c r="AL889">
        <v>1</v>
      </c>
      <c r="AM889" s="14">
        <v>0</v>
      </c>
      <c r="AN889" t="s">
        <v>2644</v>
      </c>
      <c r="AO889" s="12">
        <v>46174</v>
      </c>
      <c r="AP889">
        <v>2026</v>
      </c>
      <c r="AQ889">
        <v>6</v>
      </c>
      <c r="AR889" t="s">
        <v>2653</v>
      </c>
    </row>
    <row r="890" spans="1:44">
      <c r="A890" t="s">
        <v>2203</v>
      </c>
      <c r="B890" s="12">
        <v>46178</v>
      </c>
      <c r="C890" s="12">
        <v>46168</v>
      </c>
      <c r="D890" t="s">
        <v>541</v>
      </c>
      <c r="E890" t="s">
        <v>268</v>
      </c>
      <c r="F890" t="s">
        <v>282</v>
      </c>
      <c r="G890" t="s">
        <v>524</v>
      </c>
      <c r="H890" t="s">
        <v>115</v>
      </c>
      <c r="I890" t="s">
        <v>316</v>
      </c>
      <c r="J890" s="13">
        <v>0.5625</v>
      </c>
      <c r="K890" s="13">
        <v>0.57152777777777775</v>
      </c>
      <c r="L890" s="13">
        <v>0.57291666666666663</v>
      </c>
      <c r="M890">
        <v>30</v>
      </c>
      <c r="N890" s="14">
        <v>120</v>
      </c>
      <c r="O890" t="s">
        <v>195</v>
      </c>
      <c r="P890">
        <v>3</v>
      </c>
      <c r="Q890" t="s">
        <v>318</v>
      </c>
      <c r="R890" t="s">
        <v>2065</v>
      </c>
      <c r="S890">
        <v>0</v>
      </c>
      <c r="T890">
        <v>0</v>
      </c>
      <c r="U890" t="s">
        <v>2285</v>
      </c>
      <c r="V890" t="s">
        <v>2286</v>
      </c>
      <c r="W890" t="s">
        <v>2287</v>
      </c>
      <c r="X890" t="s">
        <v>2288</v>
      </c>
      <c r="Y890" t="s">
        <v>2289</v>
      </c>
      <c r="Z890" t="s">
        <v>2309</v>
      </c>
      <c r="AA890">
        <v>14</v>
      </c>
      <c r="AB890" s="14">
        <v>120</v>
      </c>
      <c r="AC890" t="s">
        <v>2310</v>
      </c>
      <c r="AD890" t="s">
        <v>2311</v>
      </c>
      <c r="AE890" t="s">
        <v>2643</v>
      </c>
      <c r="AF890">
        <v>10</v>
      </c>
      <c r="AG890">
        <v>1</v>
      </c>
      <c r="AH890">
        <v>2</v>
      </c>
      <c r="AI890">
        <v>1</v>
      </c>
      <c r="AJ890">
        <v>1</v>
      </c>
      <c r="AK890">
        <v>0</v>
      </c>
      <c r="AL890">
        <v>1</v>
      </c>
      <c r="AM890" s="14">
        <v>0</v>
      </c>
      <c r="AN890" t="s">
        <v>2644</v>
      </c>
      <c r="AO890" s="12">
        <v>46174</v>
      </c>
      <c r="AP890">
        <v>2026</v>
      </c>
      <c r="AQ890">
        <v>6</v>
      </c>
      <c r="AR890" t="s">
        <v>2653</v>
      </c>
    </row>
    <row r="891" spans="1:44">
      <c r="A891" t="s">
        <v>2204</v>
      </c>
      <c r="B891" s="12">
        <v>46186</v>
      </c>
      <c r="C891" s="12">
        <v>46155</v>
      </c>
      <c r="D891" t="s">
        <v>921</v>
      </c>
      <c r="E891" t="s">
        <v>339</v>
      </c>
      <c r="F891" t="s">
        <v>409</v>
      </c>
      <c r="G891" t="s">
        <v>501</v>
      </c>
      <c r="H891" t="s">
        <v>115</v>
      </c>
      <c r="I891" t="s">
        <v>258</v>
      </c>
      <c r="J891" s="13">
        <v>0.58333333333333337</v>
      </c>
      <c r="K891" s="13">
        <v>0.58888888888888891</v>
      </c>
      <c r="L891" s="13">
        <v>0.60277777777777775</v>
      </c>
      <c r="M891">
        <v>20</v>
      </c>
      <c r="N891" s="14">
        <v>150</v>
      </c>
      <c r="O891" t="s">
        <v>195</v>
      </c>
      <c r="P891">
        <v>4</v>
      </c>
      <c r="Q891" t="s">
        <v>285</v>
      </c>
      <c r="R891" t="s">
        <v>2065</v>
      </c>
      <c r="S891">
        <v>0</v>
      </c>
      <c r="T891">
        <v>0</v>
      </c>
      <c r="U891" t="s">
        <v>2294</v>
      </c>
      <c r="V891" t="s">
        <v>2295</v>
      </c>
      <c r="W891" t="s">
        <v>2296</v>
      </c>
      <c r="X891" t="s">
        <v>2297</v>
      </c>
      <c r="Y891" t="s">
        <v>2298</v>
      </c>
      <c r="Z891" t="s">
        <v>2318</v>
      </c>
      <c r="AA891">
        <v>28</v>
      </c>
      <c r="AB891" s="14">
        <v>150</v>
      </c>
      <c r="AC891" t="s">
        <v>2319</v>
      </c>
      <c r="AD891" t="s">
        <v>2320</v>
      </c>
      <c r="AE891" t="s">
        <v>2643</v>
      </c>
      <c r="AF891">
        <v>31</v>
      </c>
      <c r="AG891">
        <v>0</v>
      </c>
      <c r="AH891">
        <v>20</v>
      </c>
      <c r="AI891">
        <v>1</v>
      </c>
      <c r="AJ891">
        <v>1</v>
      </c>
      <c r="AK891">
        <v>0</v>
      </c>
      <c r="AL891">
        <v>1</v>
      </c>
      <c r="AM891" s="14">
        <v>0</v>
      </c>
      <c r="AN891" t="s">
        <v>2644</v>
      </c>
      <c r="AO891" s="12">
        <v>46174</v>
      </c>
      <c r="AP891">
        <v>2026</v>
      </c>
      <c r="AQ891">
        <v>6</v>
      </c>
      <c r="AR891" t="s">
        <v>2653</v>
      </c>
    </row>
    <row r="892" spans="1:44">
      <c r="A892" t="s">
        <v>2205</v>
      </c>
      <c r="B892" s="12">
        <v>46188</v>
      </c>
      <c r="C892" s="12">
        <v>46176</v>
      </c>
      <c r="D892" t="s">
        <v>989</v>
      </c>
      <c r="E892" t="s">
        <v>281</v>
      </c>
      <c r="F892" t="s">
        <v>297</v>
      </c>
      <c r="G892" t="s">
        <v>368</v>
      </c>
      <c r="H892" t="s">
        <v>127</v>
      </c>
      <c r="I892" t="s">
        <v>316</v>
      </c>
      <c r="J892" s="13">
        <v>0.47916666666666669</v>
      </c>
      <c r="K892" s="13"/>
      <c r="L892" s="13"/>
      <c r="M892">
        <v>0</v>
      </c>
      <c r="N892" s="14">
        <v>65</v>
      </c>
      <c r="O892" t="s">
        <v>195</v>
      </c>
      <c r="Q892" t="s">
        <v>285</v>
      </c>
      <c r="R892" t="s">
        <v>2065</v>
      </c>
      <c r="S892">
        <v>0</v>
      </c>
      <c r="T892">
        <v>0</v>
      </c>
      <c r="U892" t="s">
        <v>2290</v>
      </c>
      <c r="V892" t="s">
        <v>2291</v>
      </c>
      <c r="W892" t="s">
        <v>2292</v>
      </c>
      <c r="X892" t="s">
        <v>2288</v>
      </c>
      <c r="Y892" t="s">
        <v>2293</v>
      </c>
      <c r="Z892" t="s">
        <v>2306</v>
      </c>
      <c r="AA892">
        <v>7</v>
      </c>
      <c r="AB892" s="14">
        <v>65</v>
      </c>
      <c r="AC892" t="s">
        <v>2307</v>
      </c>
      <c r="AD892" t="s">
        <v>2308</v>
      </c>
      <c r="AE892" t="s">
        <v>2643</v>
      </c>
      <c r="AF892">
        <v>12</v>
      </c>
      <c r="AG892">
        <v>0</v>
      </c>
      <c r="AJ892">
        <v>0</v>
      </c>
      <c r="AL892">
        <v>1</v>
      </c>
      <c r="AM892" s="14">
        <v>0</v>
      </c>
      <c r="AN892" t="s">
        <v>2644</v>
      </c>
      <c r="AO892" s="12">
        <v>46174</v>
      </c>
      <c r="AP892">
        <v>2026</v>
      </c>
      <c r="AQ892">
        <v>6</v>
      </c>
      <c r="AR892" t="s">
        <v>2653</v>
      </c>
    </row>
    <row r="893" spans="1:44">
      <c r="A893" t="s">
        <v>2206</v>
      </c>
      <c r="B893" s="12"/>
      <c r="C893" s="12">
        <v>46139</v>
      </c>
      <c r="D893" t="s">
        <v>1012</v>
      </c>
      <c r="E893" t="s">
        <v>268</v>
      </c>
      <c r="F893" t="s">
        <v>269</v>
      </c>
      <c r="G893" t="s">
        <v>270</v>
      </c>
      <c r="H893" t="s">
        <v>115</v>
      </c>
      <c r="I893" t="s">
        <v>316</v>
      </c>
      <c r="J893" s="13">
        <v>0.33333333333333331</v>
      </c>
      <c r="K893" s="13">
        <v>0.33958333333333335</v>
      </c>
      <c r="L893" s="13">
        <v>0.33611111111111114</v>
      </c>
      <c r="M893">
        <v>30</v>
      </c>
      <c r="N893" s="14">
        <v>80</v>
      </c>
      <c r="O893" t="s">
        <v>195</v>
      </c>
      <c r="P893">
        <v>5</v>
      </c>
      <c r="Q893" t="s">
        <v>262</v>
      </c>
      <c r="R893" t="s">
        <v>2065</v>
      </c>
      <c r="S893">
        <v>0</v>
      </c>
      <c r="T893">
        <v>0</v>
      </c>
      <c r="U893" t="s">
        <v>2285</v>
      </c>
      <c r="V893" t="s">
        <v>2286</v>
      </c>
      <c r="W893" t="s">
        <v>2287</v>
      </c>
      <c r="X893" t="s">
        <v>2288</v>
      </c>
      <c r="Y893" t="s">
        <v>2289</v>
      </c>
      <c r="Z893" t="s">
        <v>2315</v>
      </c>
      <c r="AA893">
        <v>10</v>
      </c>
      <c r="AB893" s="14">
        <v>80</v>
      </c>
      <c r="AC893" t="s">
        <v>2316</v>
      </c>
      <c r="AD893" t="s">
        <v>2317</v>
      </c>
      <c r="AE893" t="s">
        <v>2643</v>
      </c>
      <c r="AJ893">
        <v>1</v>
      </c>
      <c r="AK893">
        <v>0</v>
      </c>
      <c r="AL893">
        <v>1</v>
      </c>
      <c r="AM893" s="14">
        <v>0</v>
      </c>
      <c r="AN893" t="s">
        <v>2644</v>
      </c>
      <c r="AO893" s="12"/>
    </row>
    <row r="894" spans="1:44">
      <c r="A894" t="s">
        <v>2207</v>
      </c>
      <c r="B894" s="12">
        <v>46185</v>
      </c>
      <c r="C894" s="12">
        <v>46177</v>
      </c>
      <c r="D894" t="s">
        <v>1088</v>
      </c>
      <c r="E894" t="s">
        <v>268</v>
      </c>
      <c r="F894" t="s">
        <v>256</v>
      </c>
      <c r="G894" t="s">
        <v>419</v>
      </c>
      <c r="H894" t="s">
        <v>115</v>
      </c>
      <c r="I894" t="s">
        <v>258</v>
      </c>
      <c r="J894" s="13">
        <v>0.60416666666666663</v>
      </c>
      <c r="K894" s="13">
        <v>0.59791666666666665</v>
      </c>
      <c r="L894" s="13">
        <v>0.62291666666666667</v>
      </c>
      <c r="M894">
        <v>60</v>
      </c>
      <c r="N894" s="14">
        <v>95</v>
      </c>
      <c r="O894" t="s">
        <v>169</v>
      </c>
      <c r="P894">
        <v>5</v>
      </c>
      <c r="Q894" t="s">
        <v>305</v>
      </c>
      <c r="R894" t="s">
        <v>2065</v>
      </c>
      <c r="S894">
        <v>0</v>
      </c>
      <c r="T894">
        <v>0</v>
      </c>
      <c r="U894" t="s">
        <v>2285</v>
      </c>
      <c r="V894" t="s">
        <v>2286</v>
      </c>
      <c r="W894" t="s">
        <v>2287</v>
      </c>
      <c r="X894" t="s">
        <v>2288</v>
      </c>
      <c r="Y894" t="s">
        <v>2289</v>
      </c>
      <c r="Z894" t="s">
        <v>2312</v>
      </c>
      <c r="AA894">
        <v>21</v>
      </c>
      <c r="AB894" s="14">
        <v>95</v>
      </c>
      <c r="AC894" t="s">
        <v>2313</v>
      </c>
      <c r="AD894" t="s">
        <v>2314</v>
      </c>
      <c r="AE894" t="s">
        <v>2643</v>
      </c>
      <c r="AF894">
        <v>8</v>
      </c>
      <c r="AG894">
        <v>1</v>
      </c>
      <c r="AH894">
        <v>36</v>
      </c>
      <c r="AI894">
        <v>0</v>
      </c>
      <c r="AJ894">
        <v>1</v>
      </c>
      <c r="AK894">
        <v>0</v>
      </c>
      <c r="AL894">
        <v>1</v>
      </c>
      <c r="AM894" s="14">
        <v>0</v>
      </c>
      <c r="AN894" t="s">
        <v>2644</v>
      </c>
      <c r="AO894" s="12">
        <v>46174</v>
      </c>
      <c r="AP894">
        <v>2026</v>
      </c>
      <c r="AQ894">
        <v>6</v>
      </c>
      <c r="AR894" t="s">
        <v>2653</v>
      </c>
    </row>
    <row r="895" spans="1:44">
      <c r="A895" t="s">
        <v>2208</v>
      </c>
      <c r="B895" s="12">
        <v>46193</v>
      </c>
      <c r="C895" s="12">
        <v>46165</v>
      </c>
      <c r="D895" t="s">
        <v>1246</v>
      </c>
      <c r="E895" t="s">
        <v>268</v>
      </c>
      <c r="F895" t="s">
        <v>297</v>
      </c>
      <c r="G895" t="s">
        <v>628</v>
      </c>
      <c r="H895" t="s">
        <v>466</v>
      </c>
      <c r="I895" t="s">
        <v>271</v>
      </c>
      <c r="J895" s="13">
        <v>0.33333333333333331</v>
      </c>
      <c r="K895" s="13"/>
      <c r="L895" s="13"/>
      <c r="M895">
        <v>0</v>
      </c>
      <c r="N895" s="14">
        <v>65</v>
      </c>
      <c r="O895" t="s">
        <v>195</v>
      </c>
      <c r="Q895" t="s">
        <v>305</v>
      </c>
      <c r="R895" t="s">
        <v>2065</v>
      </c>
      <c r="S895">
        <v>0</v>
      </c>
      <c r="T895">
        <v>0</v>
      </c>
      <c r="U895" t="s">
        <v>2285</v>
      </c>
      <c r="V895" t="s">
        <v>2286</v>
      </c>
      <c r="W895" t="s">
        <v>2287</v>
      </c>
      <c r="X895" t="s">
        <v>2288</v>
      </c>
      <c r="Y895" t="s">
        <v>2289</v>
      </c>
      <c r="Z895" t="s">
        <v>2306</v>
      </c>
      <c r="AA895">
        <v>7</v>
      </c>
      <c r="AB895" s="14">
        <v>65</v>
      </c>
      <c r="AC895" t="s">
        <v>2307</v>
      </c>
      <c r="AD895" t="s">
        <v>2308</v>
      </c>
      <c r="AE895" t="s">
        <v>2643</v>
      </c>
      <c r="AF895">
        <v>28</v>
      </c>
      <c r="AG895">
        <v>0</v>
      </c>
      <c r="AJ895">
        <v>0</v>
      </c>
      <c r="AL895">
        <v>1</v>
      </c>
      <c r="AM895" s="14">
        <v>0</v>
      </c>
      <c r="AN895" t="s">
        <v>2644</v>
      </c>
      <c r="AO895" s="12">
        <v>46174</v>
      </c>
      <c r="AP895">
        <v>2026</v>
      </c>
      <c r="AQ895">
        <v>6</v>
      </c>
      <c r="AR895" t="s">
        <v>2653</v>
      </c>
    </row>
    <row r="896" spans="1:44">
      <c r="A896" t="s">
        <v>2209</v>
      </c>
      <c r="B896" s="12">
        <v>46192</v>
      </c>
      <c r="C896" s="12">
        <v>46154</v>
      </c>
      <c r="D896" t="s">
        <v>465</v>
      </c>
      <c r="E896" t="s">
        <v>255</v>
      </c>
      <c r="F896" t="s">
        <v>297</v>
      </c>
      <c r="G896" t="s">
        <v>331</v>
      </c>
      <c r="H896" t="s">
        <v>122</v>
      </c>
      <c r="I896" t="s">
        <v>258</v>
      </c>
      <c r="J896" s="13">
        <v>0.47916666666666669</v>
      </c>
      <c r="K896" s="13"/>
      <c r="L896" s="13"/>
      <c r="M896">
        <v>0</v>
      </c>
      <c r="N896" s="14">
        <v>65</v>
      </c>
      <c r="O896" t="s">
        <v>195</v>
      </c>
      <c r="Q896" t="s">
        <v>262</v>
      </c>
      <c r="R896" t="s">
        <v>2065</v>
      </c>
      <c r="S896">
        <v>0</v>
      </c>
      <c r="T896">
        <v>0</v>
      </c>
      <c r="U896" t="s">
        <v>2299</v>
      </c>
      <c r="V896" t="s">
        <v>2295</v>
      </c>
      <c r="W896" t="s">
        <v>2300</v>
      </c>
      <c r="X896" t="s">
        <v>2288</v>
      </c>
      <c r="Y896" t="s">
        <v>2301</v>
      </c>
      <c r="Z896" t="s">
        <v>2306</v>
      </c>
      <c r="AA896">
        <v>7</v>
      </c>
      <c r="AB896" s="14">
        <v>65</v>
      </c>
      <c r="AC896" t="s">
        <v>2307</v>
      </c>
      <c r="AD896" t="s">
        <v>2308</v>
      </c>
      <c r="AE896" t="s">
        <v>2643</v>
      </c>
      <c r="AF896">
        <v>38</v>
      </c>
      <c r="AG896">
        <v>0</v>
      </c>
      <c r="AJ896">
        <v>1</v>
      </c>
      <c r="AK896">
        <v>1</v>
      </c>
      <c r="AL896">
        <v>1</v>
      </c>
      <c r="AM896" s="14">
        <v>0</v>
      </c>
      <c r="AN896" t="s">
        <v>2644</v>
      </c>
      <c r="AO896" s="12">
        <v>46174</v>
      </c>
      <c r="AP896">
        <v>2026</v>
      </c>
      <c r="AQ896">
        <v>6</v>
      </c>
      <c r="AR896" t="s">
        <v>2653</v>
      </c>
    </row>
    <row r="897" spans="1:44">
      <c r="A897" t="s">
        <v>2210</v>
      </c>
      <c r="B897" s="12">
        <v>46177</v>
      </c>
      <c r="C897" s="12">
        <v>46157</v>
      </c>
      <c r="D897" t="s">
        <v>756</v>
      </c>
      <c r="E897" t="s">
        <v>281</v>
      </c>
      <c r="F897" t="s">
        <v>282</v>
      </c>
      <c r="G897" t="s">
        <v>725</v>
      </c>
      <c r="H897" t="s">
        <v>115</v>
      </c>
      <c r="I897" t="s">
        <v>316</v>
      </c>
      <c r="J897" s="13">
        <v>0.33333333333333331</v>
      </c>
      <c r="K897" s="13">
        <v>0.32708333333333334</v>
      </c>
      <c r="L897" s="13">
        <v>0.33750000000000002</v>
      </c>
      <c r="M897">
        <v>45</v>
      </c>
      <c r="N897" s="14">
        <v>120</v>
      </c>
      <c r="O897" t="s">
        <v>195</v>
      </c>
      <c r="P897">
        <v>5</v>
      </c>
      <c r="Q897" t="s">
        <v>262</v>
      </c>
      <c r="R897" t="s">
        <v>2065</v>
      </c>
      <c r="S897">
        <v>0</v>
      </c>
      <c r="T897">
        <v>0</v>
      </c>
      <c r="U897" t="s">
        <v>2290</v>
      </c>
      <c r="V897" t="s">
        <v>2291</v>
      </c>
      <c r="W897" t="s">
        <v>2292</v>
      </c>
      <c r="X897" t="s">
        <v>2288</v>
      </c>
      <c r="Y897" t="s">
        <v>2293</v>
      </c>
      <c r="Z897" t="s">
        <v>2309</v>
      </c>
      <c r="AA897">
        <v>14</v>
      </c>
      <c r="AB897" s="14">
        <v>120</v>
      </c>
      <c r="AC897" t="s">
        <v>2310</v>
      </c>
      <c r="AD897" t="s">
        <v>2311</v>
      </c>
      <c r="AE897" t="s">
        <v>2643</v>
      </c>
      <c r="AF897">
        <v>20</v>
      </c>
      <c r="AG897">
        <v>0</v>
      </c>
      <c r="AH897">
        <v>15</v>
      </c>
      <c r="AI897">
        <v>1</v>
      </c>
      <c r="AJ897">
        <v>1</v>
      </c>
      <c r="AK897">
        <v>0</v>
      </c>
      <c r="AL897">
        <v>1</v>
      </c>
      <c r="AM897" s="14">
        <v>0</v>
      </c>
      <c r="AN897" t="s">
        <v>2644</v>
      </c>
      <c r="AO897" s="12">
        <v>46174</v>
      </c>
      <c r="AP897">
        <v>2026</v>
      </c>
      <c r="AQ897">
        <v>6</v>
      </c>
      <c r="AR897" t="s">
        <v>2653</v>
      </c>
    </row>
    <row r="898" spans="1:44">
      <c r="A898" t="s">
        <v>2211</v>
      </c>
      <c r="B898" s="12">
        <v>46177</v>
      </c>
      <c r="C898" s="12">
        <v>46155</v>
      </c>
      <c r="D898" t="s">
        <v>694</v>
      </c>
      <c r="E898" t="s">
        <v>255</v>
      </c>
      <c r="F898" t="s">
        <v>297</v>
      </c>
      <c r="G898" t="s">
        <v>331</v>
      </c>
      <c r="H898" t="s">
        <v>122</v>
      </c>
      <c r="I898" t="s">
        <v>271</v>
      </c>
      <c r="J898" s="13">
        <v>0.52083333333333337</v>
      </c>
      <c r="K898" s="13"/>
      <c r="L898" s="13"/>
      <c r="M898">
        <v>0</v>
      </c>
      <c r="N898" s="14">
        <v>65</v>
      </c>
      <c r="O898" t="s">
        <v>195</v>
      </c>
      <c r="Q898" t="s">
        <v>305</v>
      </c>
      <c r="R898" t="s">
        <v>2065</v>
      </c>
      <c r="S898">
        <v>0</v>
      </c>
      <c r="T898">
        <v>0</v>
      </c>
      <c r="U898" t="s">
        <v>2299</v>
      </c>
      <c r="V898" t="s">
        <v>2295</v>
      </c>
      <c r="W898" t="s">
        <v>2300</v>
      </c>
      <c r="X898" t="s">
        <v>2288</v>
      </c>
      <c r="Y898" t="s">
        <v>2301</v>
      </c>
      <c r="Z898" t="s">
        <v>2306</v>
      </c>
      <c r="AA898">
        <v>7</v>
      </c>
      <c r="AB898" s="14">
        <v>65</v>
      </c>
      <c r="AC898" t="s">
        <v>2307</v>
      </c>
      <c r="AD898" t="s">
        <v>2308</v>
      </c>
      <c r="AE898" t="s">
        <v>2643</v>
      </c>
      <c r="AF898">
        <v>22</v>
      </c>
      <c r="AG898">
        <v>0</v>
      </c>
      <c r="AJ898">
        <v>1</v>
      </c>
      <c r="AK898">
        <v>1</v>
      </c>
      <c r="AL898">
        <v>1</v>
      </c>
      <c r="AM898" s="14">
        <v>0</v>
      </c>
      <c r="AN898" t="s">
        <v>2644</v>
      </c>
      <c r="AO898" s="12">
        <v>46174</v>
      </c>
      <c r="AP898">
        <v>2026</v>
      </c>
      <c r="AQ898">
        <v>6</v>
      </c>
      <c r="AR898" t="s">
        <v>2653</v>
      </c>
    </row>
    <row r="899" spans="1:44">
      <c r="A899" t="s">
        <v>2212</v>
      </c>
      <c r="B899" s="12">
        <v>46186</v>
      </c>
      <c r="C899" s="12">
        <v>46166</v>
      </c>
      <c r="D899" t="s">
        <v>315</v>
      </c>
      <c r="E899" t="s">
        <v>281</v>
      </c>
      <c r="F899" t="s">
        <v>269</v>
      </c>
      <c r="G899" t="s">
        <v>322</v>
      </c>
      <c r="H899" t="s">
        <v>127</v>
      </c>
      <c r="I899" t="s">
        <v>299</v>
      </c>
      <c r="J899" s="13">
        <v>0.375</v>
      </c>
      <c r="K899" s="13"/>
      <c r="L899" s="13"/>
      <c r="M899">
        <v>0</v>
      </c>
      <c r="N899" s="14">
        <v>80</v>
      </c>
      <c r="O899" t="s">
        <v>195</v>
      </c>
      <c r="Q899" t="s">
        <v>285</v>
      </c>
      <c r="R899" t="s">
        <v>2065</v>
      </c>
      <c r="S899">
        <v>0</v>
      </c>
      <c r="T899">
        <v>0</v>
      </c>
      <c r="U899" t="s">
        <v>2290</v>
      </c>
      <c r="V899" t="s">
        <v>2291</v>
      </c>
      <c r="W899" t="s">
        <v>2292</v>
      </c>
      <c r="X899" t="s">
        <v>2288</v>
      </c>
      <c r="Y899" t="s">
        <v>2293</v>
      </c>
      <c r="Z899" t="s">
        <v>2315</v>
      </c>
      <c r="AA899">
        <v>10</v>
      </c>
      <c r="AB899" s="14">
        <v>80</v>
      </c>
      <c r="AC899" t="s">
        <v>2316</v>
      </c>
      <c r="AD899" t="s">
        <v>2317</v>
      </c>
      <c r="AE899" t="s">
        <v>2643</v>
      </c>
      <c r="AF899">
        <v>20</v>
      </c>
      <c r="AG899">
        <v>0</v>
      </c>
      <c r="AJ899">
        <v>0</v>
      </c>
      <c r="AL899">
        <v>1</v>
      </c>
      <c r="AM899" s="14">
        <v>0</v>
      </c>
      <c r="AN899" t="s">
        <v>2644</v>
      </c>
      <c r="AO899" s="12">
        <v>46174</v>
      </c>
      <c r="AP899">
        <v>2026</v>
      </c>
      <c r="AQ899">
        <v>6</v>
      </c>
      <c r="AR899" t="s">
        <v>2653</v>
      </c>
    </row>
    <row r="900" spans="1:44">
      <c r="A900" t="s">
        <v>2213</v>
      </c>
      <c r="B900" s="12">
        <v>46188</v>
      </c>
      <c r="C900" s="12">
        <v>46135</v>
      </c>
      <c r="D900" t="s">
        <v>691</v>
      </c>
      <c r="E900" t="s">
        <v>281</v>
      </c>
      <c r="F900" t="s">
        <v>409</v>
      </c>
      <c r="G900" t="s">
        <v>496</v>
      </c>
      <c r="H900" t="s">
        <v>115</v>
      </c>
      <c r="I900" t="s">
        <v>258</v>
      </c>
      <c r="J900" s="13">
        <v>0.66666666666666663</v>
      </c>
      <c r="K900" s="13">
        <v>0.66874999999999996</v>
      </c>
      <c r="L900" s="13">
        <v>0.68402777777777779</v>
      </c>
      <c r="M900">
        <v>30</v>
      </c>
      <c r="N900" s="14">
        <v>150</v>
      </c>
      <c r="O900" t="s">
        <v>169</v>
      </c>
      <c r="P900">
        <v>5</v>
      </c>
      <c r="Q900" t="s">
        <v>305</v>
      </c>
      <c r="R900" t="s">
        <v>2065</v>
      </c>
      <c r="S900">
        <v>0</v>
      </c>
      <c r="T900">
        <v>0</v>
      </c>
      <c r="U900" t="s">
        <v>2290</v>
      </c>
      <c r="V900" t="s">
        <v>2291</v>
      </c>
      <c r="W900" t="s">
        <v>2292</v>
      </c>
      <c r="X900" t="s">
        <v>2288</v>
      </c>
      <c r="Y900" t="s">
        <v>2293</v>
      </c>
      <c r="Z900" t="s">
        <v>2318</v>
      </c>
      <c r="AA900">
        <v>28</v>
      </c>
      <c r="AB900" s="14">
        <v>150</v>
      </c>
      <c r="AC900" t="s">
        <v>2319</v>
      </c>
      <c r="AD900" t="s">
        <v>2320</v>
      </c>
      <c r="AE900" t="s">
        <v>2643</v>
      </c>
      <c r="AF900">
        <v>53</v>
      </c>
      <c r="AG900">
        <v>0</v>
      </c>
      <c r="AH900">
        <v>22</v>
      </c>
      <c r="AI900">
        <v>1</v>
      </c>
      <c r="AJ900">
        <v>1</v>
      </c>
      <c r="AK900">
        <v>0</v>
      </c>
      <c r="AL900">
        <v>1</v>
      </c>
      <c r="AM900" s="14">
        <v>0</v>
      </c>
      <c r="AN900" t="s">
        <v>2644</v>
      </c>
      <c r="AO900" s="12">
        <v>46174</v>
      </c>
      <c r="AP900">
        <v>2026</v>
      </c>
      <c r="AQ900">
        <v>6</v>
      </c>
      <c r="AR900" t="s">
        <v>2653</v>
      </c>
    </row>
    <row r="901" spans="1:44">
      <c r="A901" t="s">
        <v>2216</v>
      </c>
      <c r="B901" s="12">
        <v>46190</v>
      </c>
      <c r="C901" s="12">
        <v>46174</v>
      </c>
      <c r="D901" t="s">
        <v>1144</v>
      </c>
      <c r="E901" t="s">
        <v>268</v>
      </c>
      <c r="F901" t="s">
        <v>269</v>
      </c>
      <c r="G901" t="s">
        <v>435</v>
      </c>
      <c r="H901" t="s">
        <v>122</v>
      </c>
      <c r="I901" t="s">
        <v>299</v>
      </c>
      <c r="J901" s="13">
        <v>0.35416666666666669</v>
      </c>
      <c r="K901" s="13"/>
      <c r="L901" s="13"/>
      <c r="M901">
        <v>0</v>
      </c>
      <c r="N901" s="14">
        <v>80</v>
      </c>
      <c r="O901" t="s">
        <v>195</v>
      </c>
      <c r="Q901" t="s">
        <v>305</v>
      </c>
      <c r="R901" t="s">
        <v>2065</v>
      </c>
      <c r="S901">
        <v>0</v>
      </c>
      <c r="T901">
        <v>0</v>
      </c>
      <c r="U901" t="s">
        <v>2285</v>
      </c>
      <c r="V901" t="s">
        <v>2286</v>
      </c>
      <c r="W901" t="s">
        <v>2287</v>
      </c>
      <c r="X901" t="s">
        <v>2288</v>
      </c>
      <c r="Y901" t="s">
        <v>2289</v>
      </c>
      <c r="Z901" t="s">
        <v>2315</v>
      </c>
      <c r="AA901">
        <v>10</v>
      </c>
      <c r="AB901" s="14">
        <v>80</v>
      </c>
      <c r="AC901" t="s">
        <v>2316</v>
      </c>
      <c r="AD901" t="s">
        <v>2317</v>
      </c>
      <c r="AE901" t="s">
        <v>2643</v>
      </c>
      <c r="AF901">
        <v>16</v>
      </c>
      <c r="AG901">
        <v>0</v>
      </c>
      <c r="AJ901">
        <v>1</v>
      </c>
      <c r="AK901">
        <v>1</v>
      </c>
      <c r="AL901">
        <v>1</v>
      </c>
      <c r="AM901" s="14">
        <v>0</v>
      </c>
      <c r="AN901" t="s">
        <v>2644</v>
      </c>
      <c r="AO901" s="12">
        <v>46174</v>
      </c>
      <c r="AP901">
        <v>2026</v>
      </c>
      <c r="AQ901">
        <v>6</v>
      </c>
      <c r="AR901" t="s">
        <v>2653</v>
      </c>
    </row>
    <row r="902" spans="1:44">
      <c r="A902" t="s">
        <v>2217</v>
      </c>
      <c r="B902" s="12">
        <v>46200</v>
      </c>
      <c r="C902" s="12">
        <v>46179</v>
      </c>
      <c r="D902" t="s">
        <v>1755</v>
      </c>
      <c r="E902" t="s">
        <v>339</v>
      </c>
      <c r="F902" t="s">
        <v>297</v>
      </c>
      <c r="G902" t="s">
        <v>780</v>
      </c>
      <c r="H902" t="s">
        <v>115</v>
      </c>
      <c r="I902" t="s">
        <v>258</v>
      </c>
      <c r="J902" s="13">
        <v>0.35416666666666669</v>
      </c>
      <c r="K902" s="13">
        <v>0.35902777777777778</v>
      </c>
      <c r="L902" s="13">
        <v>0.36458333333333331</v>
      </c>
      <c r="M902">
        <v>45</v>
      </c>
      <c r="N902" s="14">
        <v>65</v>
      </c>
      <c r="O902" t="s">
        <v>195</v>
      </c>
      <c r="P902">
        <v>4</v>
      </c>
      <c r="Q902" t="s">
        <v>262</v>
      </c>
      <c r="R902" t="s">
        <v>2065</v>
      </c>
      <c r="S902">
        <v>0</v>
      </c>
      <c r="T902">
        <v>0</v>
      </c>
      <c r="U902" t="s">
        <v>2294</v>
      </c>
      <c r="V902" t="s">
        <v>2295</v>
      </c>
      <c r="W902" t="s">
        <v>2296</v>
      </c>
      <c r="X902" t="s">
        <v>2297</v>
      </c>
      <c r="Y902" t="s">
        <v>2298</v>
      </c>
      <c r="Z902" t="s">
        <v>2306</v>
      </c>
      <c r="AA902">
        <v>7</v>
      </c>
      <c r="AB902" s="14">
        <v>65</v>
      </c>
      <c r="AC902" t="s">
        <v>2307</v>
      </c>
      <c r="AD902" t="s">
        <v>2308</v>
      </c>
      <c r="AE902" t="s">
        <v>2643</v>
      </c>
      <c r="AF902">
        <v>21</v>
      </c>
      <c r="AG902">
        <v>0</v>
      </c>
      <c r="AH902">
        <v>8</v>
      </c>
      <c r="AI902">
        <v>1</v>
      </c>
      <c r="AJ902">
        <v>1</v>
      </c>
      <c r="AK902">
        <v>0</v>
      </c>
      <c r="AL902">
        <v>1</v>
      </c>
      <c r="AM902" s="14">
        <v>0</v>
      </c>
      <c r="AN902" t="s">
        <v>2644</v>
      </c>
      <c r="AO902" s="12">
        <v>46174</v>
      </c>
      <c r="AP902">
        <v>2026</v>
      </c>
      <c r="AQ902">
        <v>6</v>
      </c>
      <c r="AR902" t="s">
        <v>2653</v>
      </c>
    </row>
    <row r="903" spans="1:44">
      <c r="A903" t="s">
        <v>2218</v>
      </c>
      <c r="B903" s="12">
        <v>46197</v>
      </c>
      <c r="C903" s="12">
        <v>46186</v>
      </c>
      <c r="D903" t="s">
        <v>280</v>
      </c>
      <c r="E903" t="s">
        <v>281</v>
      </c>
      <c r="F903" t="s">
        <v>282</v>
      </c>
      <c r="G903" t="s">
        <v>283</v>
      </c>
      <c r="H903" t="s">
        <v>115</v>
      </c>
      <c r="I903" t="s">
        <v>316</v>
      </c>
      <c r="J903" s="13">
        <v>0.66666666666666663</v>
      </c>
      <c r="K903" s="13">
        <v>0.66388888888888886</v>
      </c>
      <c r="L903" s="13">
        <v>0.68888888888888888</v>
      </c>
      <c r="M903">
        <v>60</v>
      </c>
      <c r="O903" t="s">
        <v>195</v>
      </c>
      <c r="P903">
        <v>4</v>
      </c>
      <c r="Q903" t="s">
        <v>326</v>
      </c>
      <c r="R903" t="s">
        <v>2065</v>
      </c>
      <c r="S903">
        <v>0</v>
      </c>
      <c r="T903">
        <v>0</v>
      </c>
      <c r="U903" t="s">
        <v>2290</v>
      </c>
      <c r="V903" t="s">
        <v>2291</v>
      </c>
      <c r="W903" t="s">
        <v>2292</v>
      </c>
      <c r="X903" t="s">
        <v>2288</v>
      </c>
      <c r="Y903" t="s">
        <v>2293</v>
      </c>
      <c r="Z903" t="s">
        <v>2309</v>
      </c>
      <c r="AA903">
        <v>14</v>
      </c>
      <c r="AB903" s="14">
        <v>120</v>
      </c>
      <c r="AC903" t="s">
        <v>2310</v>
      </c>
      <c r="AD903" t="s">
        <v>2311</v>
      </c>
      <c r="AE903" t="s">
        <v>2643</v>
      </c>
      <c r="AF903">
        <v>11</v>
      </c>
      <c r="AG903">
        <v>1</v>
      </c>
      <c r="AH903">
        <v>36</v>
      </c>
      <c r="AI903">
        <v>0</v>
      </c>
      <c r="AJ903">
        <v>1</v>
      </c>
      <c r="AK903">
        <v>0</v>
      </c>
      <c r="AL903">
        <v>0</v>
      </c>
      <c r="AN903" t="s">
        <v>2648</v>
      </c>
      <c r="AO903" s="12">
        <v>46174</v>
      </c>
      <c r="AP903">
        <v>2026</v>
      </c>
      <c r="AQ903">
        <v>6</v>
      </c>
      <c r="AR903" t="s">
        <v>2653</v>
      </c>
    </row>
    <row r="904" spans="1:44">
      <c r="A904" t="s">
        <v>2219</v>
      </c>
      <c r="B904" s="12">
        <v>46185</v>
      </c>
      <c r="C904" s="12">
        <v>46148</v>
      </c>
      <c r="D904" t="s">
        <v>2220</v>
      </c>
      <c r="E904" t="s">
        <v>255</v>
      </c>
      <c r="F904" t="s">
        <v>409</v>
      </c>
      <c r="G904" t="s">
        <v>410</v>
      </c>
      <c r="H904" t="s">
        <v>115</v>
      </c>
      <c r="I904" t="s">
        <v>316</v>
      </c>
      <c r="J904" s="13">
        <v>0.625</v>
      </c>
      <c r="K904" s="13">
        <v>0.62986111111111109</v>
      </c>
      <c r="L904" s="13">
        <v>0.63472222222222219</v>
      </c>
      <c r="M904">
        <v>30</v>
      </c>
      <c r="N904" s="14">
        <v>150</v>
      </c>
      <c r="O904" t="s">
        <v>169</v>
      </c>
      <c r="P904">
        <v>5</v>
      </c>
      <c r="Q904" t="s">
        <v>318</v>
      </c>
      <c r="R904" t="s">
        <v>2065</v>
      </c>
      <c r="S904">
        <v>0</v>
      </c>
      <c r="T904">
        <v>0</v>
      </c>
      <c r="U904" t="s">
        <v>2299</v>
      </c>
      <c r="V904" t="s">
        <v>2295</v>
      </c>
      <c r="W904" t="s">
        <v>2300</v>
      </c>
      <c r="X904" t="s">
        <v>2288</v>
      </c>
      <c r="Y904" t="s">
        <v>2301</v>
      </c>
      <c r="Z904" t="s">
        <v>2318</v>
      </c>
      <c r="AA904">
        <v>28</v>
      </c>
      <c r="AB904" s="14">
        <v>150</v>
      </c>
      <c r="AC904" t="s">
        <v>2319</v>
      </c>
      <c r="AD904" t="s">
        <v>2320</v>
      </c>
      <c r="AE904" t="s">
        <v>2643</v>
      </c>
      <c r="AF904">
        <v>37</v>
      </c>
      <c r="AG904">
        <v>0</v>
      </c>
      <c r="AH904">
        <v>7</v>
      </c>
      <c r="AI904">
        <v>1</v>
      </c>
      <c r="AJ904">
        <v>1</v>
      </c>
      <c r="AK904">
        <v>0</v>
      </c>
      <c r="AL904">
        <v>1</v>
      </c>
      <c r="AM904" s="14">
        <v>0</v>
      </c>
      <c r="AN904" t="s">
        <v>2644</v>
      </c>
      <c r="AO904" s="12">
        <v>46174</v>
      </c>
      <c r="AP904">
        <v>2026</v>
      </c>
      <c r="AQ904">
        <v>6</v>
      </c>
      <c r="AR904" t="s">
        <v>2653</v>
      </c>
    </row>
    <row r="905" spans="1:44">
      <c r="A905" t="s">
        <v>2221</v>
      </c>
      <c r="B905" s="12">
        <v>46175</v>
      </c>
      <c r="C905" s="12">
        <v>46125</v>
      </c>
      <c r="E905" t="s">
        <v>281</v>
      </c>
      <c r="F905" t="s">
        <v>409</v>
      </c>
      <c r="G905" t="s">
        <v>535</v>
      </c>
      <c r="H905" t="s">
        <v>115</v>
      </c>
      <c r="I905" t="s">
        <v>271</v>
      </c>
      <c r="J905" s="13">
        <v>0.66666666666666663</v>
      </c>
      <c r="K905" s="13">
        <v>0.66319444444444442</v>
      </c>
      <c r="L905" s="13">
        <v>0.6791666666666667</v>
      </c>
      <c r="M905">
        <v>30</v>
      </c>
      <c r="N905" s="14">
        <v>150</v>
      </c>
      <c r="O905" t="s">
        <v>169</v>
      </c>
      <c r="P905">
        <v>3</v>
      </c>
      <c r="Q905" t="s">
        <v>318</v>
      </c>
      <c r="R905" t="s">
        <v>2065</v>
      </c>
      <c r="S905">
        <v>1</v>
      </c>
      <c r="T905">
        <v>0</v>
      </c>
      <c r="U905" t="s">
        <v>2290</v>
      </c>
      <c r="V905" t="s">
        <v>2291</v>
      </c>
      <c r="W905" t="s">
        <v>2292</v>
      </c>
      <c r="X905" t="s">
        <v>2288</v>
      </c>
      <c r="Y905" t="s">
        <v>2293</v>
      </c>
      <c r="Z905" t="s">
        <v>2318</v>
      </c>
      <c r="AA905">
        <v>28</v>
      </c>
      <c r="AB905" s="14">
        <v>150</v>
      </c>
      <c r="AC905" t="s">
        <v>2319</v>
      </c>
      <c r="AD905" t="s">
        <v>2320</v>
      </c>
      <c r="AE905" t="s">
        <v>2643</v>
      </c>
      <c r="AF905">
        <v>50</v>
      </c>
      <c r="AG905">
        <v>0</v>
      </c>
      <c r="AH905">
        <v>23</v>
      </c>
      <c r="AI905">
        <v>1</v>
      </c>
      <c r="AJ905">
        <v>1</v>
      </c>
      <c r="AK905">
        <v>0</v>
      </c>
      <c r="AL905">
        <v>1</v>
      </c>
      <c r="AM905" s="14">
        <v>0</v>
      </c>
      <c r="AN905" t="s">
        <v>2644</v>
      </c>
      <c r="AO905" s="12">
        <v>46174</v>
      </c>
      <c r="AP905">
        <v>2026</v>
      </c>
      <c r="AQ905">
        <v>6</v>
      </c>
      <c r="AR905" t="s">
        <v>2653</v>
      </c>
    </row>
    <row r="906" spans="1:44">
      <c r="A906" t="s">
        <v>2223</v>
      </c>
      <c r="B906" s="12">
        <v>46194</v>
      </c>
      <c r="C906" s="12">
        <v>46152</v>
      </c>
      <c r="D906" t="s">
        <v>450</v>
      </c>
      <c r="E906" t="s">
        <v>268</v>
      </c>
      <c r="F906" t="s">
        <v>297</v>
      </c>
      <c r="G906" t="s">
        <v>583</v>
      </c>
      <c r="H906" t="s">
        <v>115</v>
      </c>
      <c r="I906" t="s">
        <v>316</v>
      </c>
      <c r="J906" s="13">
        <v>0.625</v>
      </c>
      <c r="K906" s="13">
        <v>0.62430555555555556</v>
      </c>
      <c r="L906" s="13">
        <v>0.65</v>
      </c>
      <c r="M906">
        <v>30</v>
      </c>
      <c r="N906" s="14">
        <v>65</v>
      </c>
      <c r="O906" t="s">
        <v>195</v>
      </c>
      <c r="P906">
        <v>2</v>
      </c>
      <c r="Q906" t="s">
        <v>318</v>
      </c>
      <c r="R906" t="s">
        <v>2065</v>
      </c>
      <c r="S906">
        <v>0</v>
      </c>
      <c r="T906">
        <v>0</v>
      </c>
      <c r="U906" t="s">
        <v>2285</v>
      </c>
      <c r="V906" t="s">
        <v>2286</v>
      </c>
      <c r="W906" t="s">
        <v>2287</v>
      </c>
      <c r="X906" t="s">
        <v>2288</v>
      </c>
      <c r="Y906" t="s">
        <v>2289</v>
      </c>
      <c r="Z906" t="s">
        <v>2306</v>
      </c>
      <c r="AA906">
        <v>7</v>
      </c>
      <c r="AB906" s="14">
        <v>65</v>
      </c>
      <c r="AC906" t="s">
        <v>2307</v>
      </c>
      <c r="AD906" t="s">
        <v>2308</v>
      </c>
      <c r="AE906" t="s">
        <v>2643</v>
      </c>
      <c r="AF906">
        <v>42</v>
      </c>
      <c r="AG906">
        <v>0</v>
      </c>
      <c r="AH906">
        <v>37</v>
      </c>
      <c r="AI906">
        <v>0</v>
      </c>
      <c r="AJ906">
        <v>1</v>
      </c>
      <c r="AK906">
        <v>0</v>
      </c>
      <c r="AL906">
        <v>1</v>
      </c>
      <c r="AM906" s="14">
        <v>0</v>
      </c>
      <c r="AN906" t="s">
        <v>2644</v>
      </c>
      <c r="AO906" s="12">
        <v>46174</v>
      </c>
      <c r="AP906">
        <v>2026</v>
      </c>
      <c r="AQ906">
        <v>6</v>
      </c>
      <c r="AR906" t="s">
        <v>2653</v>
      </c>
    </row>
    <row r="907" spans="1:44">
      <c r="A907" t="s">
        <v>2225</v>
      </c>
      <c r="B907" s="12">
        <v>46176</v>
      </c>
      <c r="C907" s="12">
        <v>46131</v>
      </c>
      <c r="D907" t="s">
        <v>930</v>
      </c>
      <c r="E907" t="s">
        <v>281</v>
      </c>
      <c r="F907" t="s">
        <v>269</v>
      </c>
      <c r="G907" t="s">
        <v>363</v>
      </c>
      <c r="H907" t="s">
        <v>115</v>
      </c>
      <c r="I907" t="s">
        <v>299</v>
      </c>
      <c r="J907" s="13">
        <v>0.45833333333333331</v>
      </c>
      <c r="K907" s="13">
        <v>0.45763888888888887</v>
      </c>
      <c r="L907" s="13">
        <v>0.47013888888888888</v>
      </c>
      <c r="M907">
        <v>45</v>
      </c>
      <c r="N907" s="14">
        <v>80</v>
      </c>
      <c r="O907" t="s">
        <v>195</v>
      </c>
      <c r="P907">
        <v>4</v>
      </c>
      <c r="Q907" t="s">
        <v>305</v>
      </c>
      <c r="R907" t="s">
        <v>2065</v>
      </c>
      <c r="S907">
        <v>0</v>
      </c>
      <c r="T907">
        <v>0</v>
      </c>
      <c r="U907" t="s">
        <v>2290</v>
      </c>
      <c r="V907" t="s">
        <v>2291</v>
      </c>
      <c r="W907" t="s">
        <v>2292</v>
      </c>
      <c r="X907" t="s">
        <v>2288</v>
      </c>
      <c r="Y907" t="s">
        <v>2293</v>
      </c>
      <c r="Z907" t="s">
        <v>2315</v>
      </c>
      <c r="AA907">
        <v>10</v>
      </c>
      <c r="AB907" s="14">
        <v>80</v>
      </c>
      <c r="AC907" t="s">
        <v>2316</v>
      </c>
      <c r="AD907" t="s">
        <v>2317</v>
      </c>
      <c r="AE907" t="s">
        <v>2643</v>
      </c>
      <c r="AF907">
        <v>45</v>
      </c>
      <c r="AG907">
        <v>0</v>
      </c>
      <c r="AH907">
        <v>18</v>
      </c>
      <c r="AI907">
        <v>1</v>
      </c>
      <c r="AJ907">
        <v>1</v>
      </c>
      <c r="AK907">
        <v>0</v>
      </c>
      <c r="AL907">
        <v>1</v>
      </c>
      <c r="AM907" s="14">
        <v>0</v>
      </c>
      <c r="AN907" t="s">
        <v>2644</v>
      </c>
      <c r="AO907" s="12">
        <v>46174</v>
      </c>
      <c r="AP907">
        <v>2026</v>
      </c>
      <c r="AQ907">
        <v>6</v>
      </c>
      <c r="AR907" t="s">
        <v>2653</v>
      </c>
    </row>
    <row r="908" spans="1:44">
      <c r="A908" t="s">
        <v>2226</v>
      </c>
      <c r="B908" s="12">
        <v>46177</v>
      </c>
      <c r="C908" s="12">
        <v>46161</v>
      </c>
      <c r="D908" t="s">
        <v>642</v>
      </c>
      <c r="E908" t="s">
        <v>339</v>
      </c>
      <c r="F908" t="s">
        <v>256</v>
      </c>
      <c r="G908" t="s">
        <v>345</v>
      </c>
      <c r="H908" t="s">
        <v>115</v>
      </c>
      <c r="I908" t="s">
        <v>316</v>
      </c>
      <c r="J908" s="13">
        <v>0.66666666666666663</v>
      </c>
      <c r="K908" s="13">
        <v>0.65972222222222221</v>
      </c>
      <c r="L908" s="13">
        <v>0.68472222222222223</v>
      </c>
      <c r="M908">
        <v>60</v>
      </c>
      <c r="N908" s="14">
        <v>95</v>
      </c>
      <c r="O908" t="s">
        <v>195</v>
      </c>
      <c r="P908">
        <v>2</v>
      </c>
      <c r="Q908" t="s">
        <v>318</v>
      </c>
      <c r="R908" t="s">
        <v>2065</v>
      </c>
      <c r="S908">
        <v>0</v>
      </c>
      <c r="T908">
        <v>0</v>
      </c>
      <c r="U908" t="s">
        <v>2294</v>
      </c>
      <c r="V908" t="s">
        <v>2295</v>
      </c>
      <c r="W908" t="s">
        <v>2296</v>
      </c>
      <c r="X908" t="s">
        <v>2297</v>
      </c>
      <c r="Y908" t="s">
        <v>2298</v>
      </c>
      <c r="Z908" t="s">
        <v>2312</v>
      </c>
      <c r="AA908">
        <v>21</v>
      </c>
      <c r="AB908" s="14">
        <v>95</v>
      </c>
      <c r="AC908" t="s">
        <v>2313</v>
      </c>
      <c r="AD908" t="s">
        <v>2314</v>
      </c>
      <c r="AE908" t="s">
        <v>2643</v>
      </c>
      <c r="AF908">
        <v>16</v>
      </c>
      <c r="AG908">
        <v>1</v>
      </c>
      <c r="AH908">
        <v>36</v>
      </c>
      <c r="AI908">
        <v>0</v>
      </c>
      <c r="AJ908">
        <v>1</v>
      </c>
      <c r="AK908">
        <v>0</v>
      </c>
      <c r="AL908">
        <v>1</v>
      </c>
      <c r="AM908" s="14">
        <v>0</v>
      </c>
      <c r="AN908" t="s">
        <v>2644</v>
      </c>
      <c r="AO908" s="12">
        <v>46174</v>
      </c>
      <c r="AP908">
        <v>2026</v>
      </c>
      <c r="AQ908">
        <v>6</v>
      </c>
      <c r="AR908" t="s">
        <v>2653</v>
      </c>
    </row>
    <row r="909" spans="1:44">
      <c r="A909" t="s">
        <v>2228</v>
      </c>
      <c r="B909" s="12">
        <v>46190</v>
      </c>
      <c r="C909" s="12"/>
      <c r="D909" t="s">
        <v>1478</v>
      </c>
      <c r="E909" t="s">
        <v>255</v>
      </c>
      <c r="F909" t="s">
        <v>409</v>
      </c>
      <c r="G909" t="s">
        <v>410</v>
      </c>
      <c r="H909" t="s">
        <v>115</v>
      </c>
      <c r="I909" t="s">
        <v>316</v>
      </c>
      <c r="J909" s="13">
        <v>0.375</v>
      </c>
      <c r="K909" s="13">
        <v>0.3840277777777778</v>
      </c>
      <c r="L909" s="13">
        <v>0.39097222222222222</v>
      </c>
      <c r="M909">
        <v>30</v>
      </c>
      <c r="N909" s="14">
        <v>150</v>
      </c>
      <c r="O909" t="s">
        <v>195</v>
      </c>
      <c r="P909">
        <v>5</v>
      </c>
      <c r="Q909" t="s">
        <v>318</v>
      </c>
      <c r="R909" t="s">
        <v>2065</v>
      </c>
      <c r="S909">
        <v>0</v>
      </c>
      <c r="T909">
        <v>0</v>
      </c>
      <c r="U909" t="s">
        <v>2299</v>
      </c>
      <c r="V909" t="s">
        <v>2295</v>
      </c>
      <c r="W909" t="s">
        <v>2300</v>
      </c>
      <c r="X909" t="s">
        <v>2288</v>
      </c>
      <c r="Y909" t="s">
        <v>2301</v>
      </c>
      <c r="Z909" t="s">
        <v>2318</v>
      </c>
      <c r="AA909">
        <v>28</v>
      </c>
      <c r="AB909" s="14">
        <v>150</v>
      </c>
      <c r="AC909" t="s">
        <v>2319</v>
      </c>
      <c r="AD909" t="s">
        <v>2320</v>
      </c>
      <c r="AE909" t="s">
        <v>2643</v>
      </c>
      <c r="AH909">
        <v>10</v>
      </c>
      <c r="AI909">
        <v>1</v>
      </c>
      <c r="AJ909">
        <v>1</v>
      </c>
      <c r="AK909">
        <v>0</v>
      </c>
      <c r="AL909">
        <v>1</v>
      </c>
      <c r="AM909" s="14">
        <v>0</v>
      </c>
      <c r="AN909" t="s">
        <v>2644</v>
      </c>
      <c r="AO909" s="12">
        <v>46174</v>
      </c>
      <c r="AP909">
        <v>2026</v>
      </c>
      <c r="AQ909">
        <v>6</v>
      </c>
      <c r="AR909" t="s">
        <v>2653</v>
      </c>
    </row>
    <row r="910" spans="1:44">
      <c r="A910" t="s">
        <v>2230</v>
      </c>
      <c r="B910" s="12">
        <v>46184</v>
      </c>
      <c r="C910" s="12">
        <v>46182</v>
      </c>
      <c r="D910" t="s">
        <v>951</v>
      </c>
      <c r="E910" t="s">
        <v>268</v>
      </c>
      <c r="F910" t="s">
        <v>282</v>
      </c>
      <c r="G910" t="s">
        <v>524</v>
      </c>
      <c r="H910" t="s">
        <v>115</v>
      </c>
      <c r="I910" t="s">
        <v>271</v>
      </c>
      <c r="J910" s="13">
        <v>0.58333333333333337</v>
      </c>
      <c r="K910" s="13">
        <v>0.58402777777777781</v>
      </c>
      <c r="L910" s="13">
        <v>0.59444444444444444</v>
      </c>
      <c r="M910">
        <v>60</v>
      </c>
      <c r="N910" s="14">
        <v>120</v>
      </c>
      <c r="O910" t="s">
        <v>195</v>
      </c>
      <c r="P910">
        <v>5</v>
      </c>
      <c r="Q910" t="s">
        <v>262</v>
      </c>
      <c r="R910" t="s">
        <v>2065</v>
      </c>
      <c r="S910">
        <v>0</v>
      </c>
      <c r="T910">
        <v>0</v>
      </c>
      <c r="U910" t="s">
        <v>2285</v>
      </c>
      <c r="V910" t="s">
        <v>2286</v>
      </c>
      <c r="W910" t="s">
        <v>2287</v>
      </c>
      <c r="X910" t="s">
        <v>2288</v>
      </c>
      <c r="Y910" t="s">
        <v>2289</v>
      </c>
      <c r="Z910" t="s">
        <v>2309</v>
      </c>
      <c r="AA910">
        <v>14</v>
      </c>
      <c r="AB910" s="14">
        <v>120</v>
      </c>
      <c r="AC910" t="s">
        <v>2310</v>
      </c>
      <c r="AD910" t="s">
        <v>2311</v>
      </c>
      <c r="AE910" t="s">
        <v>2643</v>
      </c>
      <c r="AF910">
        <v>2</v>
      </c>
      <c r="AG910">
        <v>1</v>
      </c>
      <c r="AH910">
        <v>15</v>
      </c>
      <c r="AI910">
        <v>1</v>
      </c>
      <c r="AJ910">
        <v>1</v>
      </c>
      <c r="AK910">
        <v>0</v>
      </c>
      <c r="AL910">
        <v>1</v>
      </c>
      <c r="AM910" s="14">
        <v>0</v>
      </c>
      <c r="AN910" t="s">
        <v>2644</v>
      </c>
      <c r="AO910" s="12">
        <v>46174</v>
      </c>
      <c r="AP910">
        <v>2026</v>
      </c>
      <c r="AQ910">
        <v>6</v>
      </c>
      <c r="AR910" t="s">
        <v>2653</v>
      </c>
    </row>
    <row r="911" spans="1:44">
      <c r="A911" t="s">
        <v>2231</v>
      </c>
      <c r="B911" s="12">
        <v>46177</v>
      </c>
      <c r="C911" s="12">
        <v>46175</v>
      </c>
      <c r="D911" t="s">
        <v>1968</v>
      </c>
      <c r="E911" t="s">
        <v>281</v>
      </c>
      <c r="F911" t="s">
        <v>256</v>
      </c>
      <c r="G911" t="s">
        <v>429</v>
      </c>
      <c r="H911" t="s">
        <v>115</v>
      </c>
      <c r="I911" t="s">
        <v>258</v>
      </c>
      <c r="J911" s="13">
        <v>0.60416666666666663</v>
      </c>
      <c r="K911" s="13">
        <v>0.59861111111111109</v>
      </c>
      <c r="L911" s="13">
        <v>0.62152777777777779</v>
      </c>
      <c r="M911">
        <v>60</v>
      </c>
      <c r="N911" s="14">
        <v>95</v>
      </c>
      <c r="O911" t="s">
        <v>169</v>
      </c>
      <c r="P911">
        <v>2</v>
      </c>
      <c r="Q911" t="s">
        <v>326</v>
      </c>
      <c r="R911" t="s">
        <v>2065</v>
      </c>
      <c r="S911">
        <v>0</v>
      </c>
      <c r="T911">
        <v>0</v>
      </c>
      <c r="U911" t="s">
        <v>2290</v>
      </c>
      <c r="V911" t="s">
        <v>2291</v>
      </c>
      <c r="W911" t="s">
        <v>2292</v>
      </c>
      <c r="X911" t="s">
        <v>2288</v>
      </c>
      <c r="Y911" t="s">
        <v>2293</v>
      </c>
      <c r="Z911" t="s">
        <v>2312</v>
      </c>
      <c r="AA911">
        <v>21</v>
      </c>
      <c r="AB911" s="14">
        <v>95</v>
      </c>
      <c r="AC911" t="s">
        <v>2313</v>
      </c>
      <c r="AD911" t="s">
        <v>2314</v>
      </c>
      <c r="AE911" t="s">
        <v>2643</v>
      </c>
      <c r="AF911">
        <v>2</v>
      </c>
      <c r="AG911">
        <v>1</v>
      </c>
      <c r="AH911">
        <v>33</v>
      </c>
      <c r="AI911">
        <v>0</v>
      </c>
      <c r="AJ911">
        <v>1</v>
      </c>
      <c r="AK911">
        <v>0</v>
      </c>
      <c r="AL911">
        <v>1</v>
      </c>
      <c r="AM911" s="14">
        <v>0</v>
      </c>
      <c r="AN911" t="s">
        <v>2644</v>
      </c>
      <c r="AO911" s="12">
        <v>46174</v>
      </c>
      <c r="AP911">
        <v>2026</v>
      </c>
      <c r="AQ911">
        <v>6</v>
      </c>
      <c r="AR911" t="s">
        <v>2653</v>
      </c>
    </row>
    <row r="912" spans="1:44">
      <c r="A912" t="s">
        <v>2232</v>
      </c>
      <c r="B912" s="12">
        <v>46176</v>
      </c>
      <c r="C912" s="12">
        <v>46168</v>
      </c>
      <c r="D912" t="s">
        <v>1060</v>
      </c>
      <c r="E912" t="s">
        <v>339</v>
      </c>
      <c r="F912" t="s">
        <v>282</v>
      </c>
      <c r="G912" t="s">
        <v>564</v>
      </c>
      <c r="H912" t="s">
        <v>115</v>
      </c>
      <c r="I912" t="s">
        <v>316</v>
      </c>
      <c r="J912" s="13">
        <v>0.41666666666666669</v>
      </c>
      <c r="K912" s="13">
        <v>0.41666666666666669</v>
      </c>
      <c r="L912" s="13">
        <v>0.44236111111111109</v>
      </c>
      <c r="M912">
        <v>30</v>
      </c>
      <c r="N912" s="14">
        <v>120</v>
      </c>
      <c r="O912" t="s">
        <v>195</v>
      </c>
      <c r="P912">
        <v>4</v>
      </c>
      <c r="Q912" t="s">
        <v>326</v>
      </c>
      <c r="R912" t="s">
        <v>2065</v>
      </c>
      <c r="S912">
        <v>0</v>
      </c>
      <c r="T912">
        <v>0</v>
      </c>
      <c r="U912" t="s">
        <v>2294</v>
      </c>
      <c r="V912" t="s">
        <v>2295</v>
      </c>
      <c r="W912" t="s">
        <v>2296</v>
      </c>
      <c r="X912" t="s">
        <v>2297</v>
      </c>
      <c r="Y912" t="s">
        <v>2298</v>
      </c>
      <c r="Z912" t="s">
        <v>2309</v>
      </c>
      <c r="AA912">
        <v>14</v>
      </c>
      <c r="AB912" s="14">
        <v>120</v>
      </c>
      <c r="AC912" t="s">
        <v>2310</v>
      </c>
      <c r="AD912" t="s">
        <v>2311</v>
      </c>
      <c r="AE912" t="s">
        <v>2643</v>
      </c>
      <c r="AF912">
        <v>8</v>
      </c>
      <c r="AG912">
        <v>1</v>
      </c>
      <c r="AH912">
        <v>37</v>
      </c>
      <c r="AI912">
        <v>0</v>
      </c>
      <c r="AJ912">
        <v>1</v>
      </c>
      <c r="AK912">
        <v>0</v>
      </c>
      <c r="AL912">
        <v>1</v>
      </c>
      <c r="AM912" s="14">
        <v>0</v>
      </c>
      <c r="AN912" t="s">
        <v>2644</v>
      </c>
      <c r="AO912" s="12">
        <v>46174</v>
      </c>
      <c r="AP912">
        <v>2026</v>
      </c>
      <c r="AQ912">
        <v>6</v>
      </c>
      <c r="AR912" t="s">
        <v>2653</v>
      </c>
    </row>
    <row r="913" spans="1:44">
      <c r="A913" t="s">
        <v>2233</v>
      </c>
      <c r="B913" s="12">
        <v>46190</v>
      </c>
      <c r="C913" s="12">
        <v>46135</v>
      </c>
      <c r="D913" t="s">
        <v>454</v>
      </c>
      <c r="E913" t="s">
        <v>268</v>
      </c>
      <c r="F913" t="s">
        <v>297</v>
      </c>
      <c r="G913" t="s">
        <v>628</v>
      </c>
      <c r="H913" t="s">
        <v>127</v>
      </c>
      <c r="I913" t="s">
        <v>258</v>
      </c>
      <c r="J913" s="13">
        <v>0.35416666666666669</v>
      </c>
      <c r="K913" s="13"/>
      <c r="L913" s="13"/>
      <c r="M913">
        <v>0</v>
      </c>
      <c r="N913" s="14">
        <v>65</v>
      </c>
      <c r="O913" t="s">
        <v>195</v>
      </c>
      <c r="Q913" t="s">
        <v>285</v>
      </c>
      <c r="R913" t="s">
        <v>2065</v>
      </c>
      <c r="S913">
        <v>0</v>
      </c>
      <c r="T913">
        <v>0</v>
      </c>
      <c r="U913" t="s">
        <v>2285</v>
      </c>
      <c r="V913" t="s">
        <v>2286</v>
      </c>
      <c r="W913" t="s">
        <v>2287</v>
      </c>
      <c r="X913" t="s">
        <v>2288</v>
      </c>
      <c r="Y913" t="s">
        <v>2289</v>
      </c>
      <c r="Z913" t="s">
        <v>2306</v>
      </c>
      <c r="AA913">
        <v>7</v>
      </c>
      <c r="AB913" s="14">
        <v>65</v>
      </c>
      <c r="AC913" t="s">
        <v>2307</v>
      </c>
      <c r="AD913" t="s">
        <v>2308</v>
      </c>
      <c r="AE913" t="s">
        <v>2643</v>
      </c>
      <c r="AF913">
        <v>55</v>
      </c>
      <c r="AG913">
        <v>0</v>
      </c>
      <c r="AJ913">
        <v>0</v>
      </c>
      <c r="AL913">
        <v>1</v>
      </c>
      <c r="AM913" s="14">
        <v>0</v>
      </c>
      <c r="AN913" t="s">
        <v>2644</v>
      </c>
      <c r="AO913" s="12">
        <v>46174</v>
      </c>
      <c r="AP913">
        <v>2026</v>
      </c>
      <c r="AQ913">
        <v>6</v>
      </c>
      <c r="AR913" t="s">
        <v>2653</v>
      </c>
    </row>
    <row r="914" spans="1:44">
      <c r="A914" t="s">
        <v>2234</v>
      </c>
      <c r="B914" s="12">
        <v>46176</v>
      </c>
      <c r="C914" s="12">
        <v>46156</v>
      </c>
      <c r="D914" t="s">
        <v>1978</v>
      </c>
      <c r="E914" t="s">
        <v>268</v>
      </c>
      <c r="F914" t="s">
        <v>269</v>
      </c>
      <c r="G914" t="s">
        <v>270</v>
      </c>
      <c r="H914" t="s">
        <v>122</v>
      </c>
      <c r="I914" t="s">
        <v>316</v>
      </c>
      <c r="J914" s="13">
        <v>0.39583333333333331</v>
      </c>
      <c r="K914" s="13"/>
      <c r="L914" s="13"/>
      <c r="M914">
        <v>0</v>
      </c>
      <c r="N914" s="14">
        <v>80</v>
      </c>
      <c r="O914" t="s">
        <v>195</v>
      </c>
      <c r="Q914" t="s">
        <v>262</v>
      </c>
      <c r="R914" t="s">
        <v>2065</v>
      </c>
      <c r="S914">
        <v>0</v>
      </c>
      <c r="T914">
        <v>0</v>
      </c>
      <c r="U914" t="s">
        <v>2285</v>
      </c>
      <c r="V914" t="s">
        <v>2286</v>
      </c>
      <c r="W914" t="s">
        <v>2287</v>
      </c>
      <c r="X914" t="s">
        <v>2288</v>
      </c>
      <c r="Y914" t="s">
        <v>2289</v>
      </c>
      <c r="Z914" t="s">
        <v>2315</v>
      </c>
      <c r="AA914">
        <v>10</v>
      </c>
      <c r="AB914" s="14">
        <v>80</v>
      </c>
      <c r="AC914" t="s">
        <v>2316</v>
      </c>
      <c r="AD914" t="s">
        <v>2317</v>
      </c>
      <c r="AE914" t="s">
        <v>2643</v>
      </c>
      <c r="AF914">
        <v>20</v>
      </c>
      <c r="AG914">
        <v>0</v>
      </c>
      <c r="AJ914">
        <v>1</v>
      </c>
      <c r="AK914">
        <v>1</v>
      </c>
      <c r="AL914">
        <v>1</v>
      </c>
      <c r="AM914" s="14">
        <v>0</v>
      </c>
      <c r="AN914" t="s">
        <v>2644</v>
      </c>
      <c r="AO914" s="12">
        <v>46174</v>
      </c>
      <c r="AP914">
        <v>2026</v>
      </c>
      <c r="AQ914">
        <v>6</v>
      </c>
      <c r="AR914" t="s">
        <v>2653</v>
      </c>
    </row>
    <row r="915" spans="1:44">
      <c r="A915" t="s">
        <v>2236</v>
      </c>
      <c r="B915" s="12">
        <v>46175</v>
      </c>
      <c r="C915" s="12">
        <v>46155</v>
      </c>
      <c r="D915" t="s">
        <v>582</v>
      </c>
      <c r="E915" t="s">
        <v>268</v>
      </c>
      <c r="F915" t="s">
        <v>269</v>
      </c>
      <c r="G915" t="s">
        <v>270</v>
      </c>
      <c r="H915" t="s">
        <v>115</v>
      </c>
      <c r="I915" t="s">
        <v>271</v>
      </c>
      <c r="J915" s="13">
        <v>0.64583333333333337</v>
      </c>
      <c r="K915" s="13">
        <v>0.65625</v>
      </c>
      <c r="L915" s="13">
        <v>0.65138888888888891</v>
      </c>
      <c r="M915">
        <v>60</v>
      </c>
      <c r="N915" s="14">
        <v>80</v>
      </c>
      <c r="O915" t="s">
        <v>195</v>
      </c>
      <c r="P915">
        <v>2</v>
      </c>
      <c r="Q915" t="s">
        <v>262</v>
      </c>
      <c r="R915" t="s">
        <v>2065</v>
      </c>
      <c r="S915">
        <v>0</v>
      </c>
      <c r="T915">
        <v>0</v>
      </c>
      <c r="U915" t="s">
        <v>2285</v>
      </c>
      <c r="V915" t="s">
        <v>2286</v>
      </c>
      <c r="W915" t="s">
        <v>2287</v>
      </c>
      <c r="X915" t="s">
        <v>2288</v>
      </c>
      <c r="Y915" t="s">
        <v>2289</v>
      </c>
      <c r="Z915" t="s">
        <v>2315</v>
      </c>
      <c r="AA915">
        <v>10</v>
      </c>
      <c r="AB915" s="14">
        <v>80</v>
      </c>
      <c r="AC915" t="s">
        <v>2316</v>
      </c>
      <c r="AD915" t="s">
        <v>2317</v>
      </c>
      <c r="AE915" t="s">
        <v>2643</v>
      </c>
      <c r="AF915">
        <v>20</v>
      </c>
      <c r="AG915">
        <v>0</v>
      </c>
      <c r="AJ915">
        <v>1</v>
      </c>
      <c r="AK915">
        <v>0</v>
      </c>
      <c r="AL915">
        <v>1</v>
      </c>
      <c r="AM915" s="14">
        <v>0</v>
      </c>
      <c r="AN915" t="s">
        <v>2644</v>
      </c>
      <c r="AO915" s="12">
        <v>46174</v>
      </c>
      <c r="AP915">
        <v>2026</v>
      </c>
      <c r="AQ915">
        <v>6</v>
      </c>
      <c r="AR915" t="s">
        <v>2653</v>
      </c>
    </row>
    <row r="916" spans="1:44">
      <c r="A916" t="s">
        <v>2237</v>
      </c>
      <c r="B916" s="12">
        <v>46179</v>
      </c>
      <c r="C916" s="12">
        <v>46127</v>
      </c>
      <c r="D916" t="s">
        <v>851</v>
      </c>
      <c r="E916" t="s">
        <v>255</v>
      </c>
      <c r="F916" t="s">
        <v>297</v>
      </c>
      <c r="G916" t="s">
        <v>331</v>
      </c>
      <c r="H916" t="s">
        <v>115</v>
      </c>
      <c r="I916" t="s">
        <v>316</v>
      </c>
      <c r="J916" s="13">
        <v>0.33333333333333331</v>
      </c>
      <c r="K916" s="13">
        <v>0.33124999999999999</v>
      </c>
      <c r="L916" s="13">
        <v>0.34166666666666667</v>
      </c>
      <c r="M916">
        <v>20</v>
      </c>
      <c r="N916" s="14">
        <v>65</v>
      </c>
      <c r="O916" t="s">
        <v>169</v>
      </c>
      <c r="P916">
        <v>2</v>
      </c>
      <c r="Q916" t="s">
        <v>305</v>
      </c>
      <c r="R916" t="s">
        <v>2065</v>
      </c>
      <c r="S916">
        <v>0</v>
      </c>
      <c r="T916">
        <v>0</v>
      </c>
      <c r="U916" t="s">
        <v>2299</v>
      </c>
      <c r="V916" t="s">
        <v>2295</v>
      </c>
      <c r="W916" t="s">
        <v>2300</v>
      </c>
      <c r="X916" t="s">
        <v>2288</v>
      </c>
      <c r="Y916" t="s">
        <v>2301</v>
      </c>
      <c r="Z916" t="s">
        <v>2306</v>
      </c>
      <c r="AA916">
        <v>7</v>
      </c>
      <c r="AB916" s="14">
        <v>65</v>
      </c>
      <c r="AC916" t="s">
        <v>2307</v>
      </c>
      <c r="AD916" t="s">
        <v>2308</v>
      </c>
      <c r="AE916" t="s">
        <v>2643</v>
      </c>
      <c r="AF916">
        <v>52</v>
      </c>
      <c r="AG916">
        <v>0</v>
      </c>
      <c r="AH916">
        <v>15</v>
      </c>
      <c r="AI916">
        <v>1</v>
      </c>
      <c r="AJ916">
        <v>1</v>
      </c>
      <c r="AK916">
        <v>0</v>
      </c>
      <c r="AL916">
        <v>1</v>
      </c>
      <c r="AM916" s="14">
        <v>0</v>
      </c>
      <c r="AN916" t="s">
        <v>2644</v>
      </c>
      <c r="AO916" s="12">
        <v>46174</v>
      </c>
      <c r="AP916">
        <v>2026</v>
      </c>
      <c r="AQ916">
        <v>6</v>
      </c>
      <c r="AR916" t="s">
        <v>2653</v>
      </c>
    </row>
    <row r="917" spans="1:44">
      <c r="A917" t="s">
        <v>2238</v>
      </c>
      <c r="B917" s="12">
        <v>46197</v>
      </c>
      <c r="C917" s="12">
        <v>46144</v>
      </c>
      <c r="D917" t="s">
        <v>1505</v>
      </c>
      <c r="E917" t="s">
        <v>255</v>
      </c>
      <c r="F917" t="s">
        <v>269</v>
      </c>
      <c r="G917" t="s">
        <v>391</v>
      </c>
      <c r="H917" t="s">
        <v>115</v>
      </c>
      <c r="I917" t="s">
        <v>271</v>
      </c>
      <c r="J917" s="13">
        <v>0.52083333333333337</v>
      </c>
      <c r="K917" s="13">
        <v>0.52152777777777781</v>
      </c>
      <c r="L917" s="13">
        <v>0.52847222222222223</v>
      </c>
      <c r="M917">
        <v>30</v>
      </c>
      <c r="N917" s="14">
        <v>80</v>
      </c>
      <c r="O917" t="s">
        <v>169</v>
      </c>
      <c r="P917">
        <v>3</v>
      </c>
      <c r="Q917" t="s">
        <v>285</v>
      </c>
      <c r="R917" t="s">
        <v>2065</v>
      </c>
      <c r="S917">
        <v>0</v>
      </c>
      <c r="T917">
        <v>0</v>
      </c>
      <c r="U917" t="s">
        <v>2299</v>
      </c>
      <c r="V917" t="s">
        <v>2295</v>
      </c>
      <c r="W917" t="s">
        <v>2300</v>
      </c>
      <c r="X917" t="s">
        <v>2288</v>
      </c>
      <c r="Y917" t="s">
        <v>2301</v>
      </c>
      <c r="Z917" t="s">
        <v>2315</v>
      </c>
      <c r="AA917">
        <v>10</v>
      </c>
      <c r="AB917" s="14">
        <v>80</v>
      </c>
      <c r="AC917" t="s">
        <v>2316</v>
      </c>
      <c r="AD917" t="s">
        <v>2317</v>
      </c>
      <c r="AE917" t="s">
        <v>2643</v>
      </c>
      <c r="AF917">
        <v>53</v>
      </c>
      <c r="AG917">
        <v>0</v>
      </c>
      <c r="AH917">
        <v>10</v>
      </c>
      <c r="AI917">
        <v>1</v>
      </c>
      <c r="AJ917">
        <v>1</v>
      </c>
      <c r="AK917">
        <v>0</v>
      </c>
      <c r="AL917">
        <v>1</v>
      </c>
      <c r="AM917" s="14">
        <v>0</v>
      </c>
      <c r="AN917" t="s">
        <v>2644</v>
      </c>
      <c r="AO917" s="12">
        <v>46174</v>
      </c>
      <c r="AP917">
        <v>2026</v>
      </c>
      <c r="AQ917">
        <v>6</v>
      </c>
      <c r="AR917" t="s">
        <v>2653</v>
      </c>
    </row>
    <row r="918" spans="1:44">
      <c r="A918" t="s">
        <v>2239</v>
      </c>
      <c r="B918" s="12">
        <v>46193</v>
      </c>
      <c r="C918" s="12">
        <v>46146</v>
      </c>
      <c r="D918" t="s">
        <v>441</v>
      </c>
      <c r="E918" t="s">
        <v>255</v>
      </c>
      <c r="F918" t="s">
        <v>409</v>
      </c>
      <c r="G918" t="s">
        <v>648</v>
      </c>
      <c r="H918" t="s">
        <v>115</v>
      </c>
      <c r="I918" t="s">
        <v>271</v>
      </c>
      <c r="J918" s="13">
        <v>0.5</v>
      </c>
      <c r="K918" s="13">
        <v>0.49652777777777779</v>
      </c>
      <c r="L918" s="13">
        <v>0.52361111111111114</v>
      </c>
      <c r="M918">
        <v>45</v>
      </c>
      <c r="N918" s="14">
        <v>150</v>
      </c>
      <c r="O918" t="s">
        <v>195</v>
      </c>
      <c r="P918">
        <v>4</v>
      </c>
      <c r="Q918" t="s">
        <v>285</v>
      </c>
      <c r="R918" t="s">
        <v>2065</v>
      </c>
      <c r="S918">
        <v>0</v>
      </c>
      <c r="T918">
        <v>0</v>
      </c>
      <c r="U918" t="s">
        <v>2299</v>
      </c>
      <c r="V918" t="s">
        <v>2295</v>
      </c>
      <c r="W918" t="s">
        <v>2300</v>
      </c>
      <c r="X918" t="s">
        <v>2288</v>
      </c>
      <c r="Y918" t="s">
        <v>2301</v>
      </c>
      <c r="Z918" t="s">
        <v>2318</v>
      </c>
      <c r="AA918">
        <v>28</v>
      </c>
      <c r="AB918" s="14">
        <v>150</v>
      </c>
      <c r="AC918" t="s">
        <v>2319</v>
      </c>
      <c r="AD918" t="s">
        <v>2320</v>
      </c>
      <c r="AE918" t="s">
        <v>2643</v>
      </c>
      <c r="AF918">
        <v>47</v>
      </c>
      <c r="AG918">
        <v>0</v>
      </c>
      <c r="AH918">
        <v>39</v>
      </c>
      <c r="AI918">
        <v>0</v>
      </c>
      <c r="AJ918">
        <v>1</v>
      </c>
      <c r="AK918">
        <v>0</v>
      </c>
      <c r="AL918">
        <v>1</v>
      </c>
      <c r="AM918" s="14">
        <v>0</v>
      </c>
      <c r="AN918" t="s">
        <v>2644</v>
      </c>
      <c r="AO918" s="12">
        <v>46174</v>
      </c>
      <c r="AP918">
        <v>2026</v>
      </c>
      <c r="AQ918">
        <v>6</v>
      </c>
      <c r="AR918" t="s">
        <v>2653</v>
      </c>
    </row>
    <row r="919" spans="1:44">
      <c r="A919" t="s">
        <v>2240</v>
      </c>
      <c r="B919" s="12">
        <v>46202</v>
      </c>
      <c r="C919" s="12">
        <v>46160</v>
      </c>
      <c r="D919" t="s">
        <v>1505</v>
      </c>
      <c r="E919" t="s">
        <v>281</v>
      </c>
      <c r="F919" t="s">
        <v>256</v>
      </c>
      <c r="G919" t="s">
        <v>796</v>
      </c>
      <c r="H919" t="s">
        <v>115</v>
      </c>
      <c r="I919" t="s">
        <v>299</v>
      </c>
      <c r="J919" s="13">
        <v>0.39583333333333331</v>
      </c>
      <c r="K919" s="13">
        <v>0.39513888888888887</v>
      </c>
      <c r="L919" s="13">
        <v>0.40833333333333333</v>
      </c>
      <c r="M919">
        <v>45</v>
      </c>
      <c r="N919" s="14">
        <v>95</v>
      </c>
      <c r="O919" t="s">
        <v>195</v>
      </c>
      <c r="P919">
        <v>3</v>
      </c>
      <c r="Q919" t="s">
        <v>318</v>
      </c>
      <c r="R919" t="s">
        <v>2065</v>
      </c>
      <c r="S919">
        <v>0</v>
      </c>
      <c r="T919">
        <v>0</v>
      </c>
      <c r="U919" t="s">
        <v>2290</v>
      </c>
      <c r="V919" t="s">
        <v>2291</v>
      </c>
      <c r="W919" t="s">
        <v>2292</v>
      </c>
      <c r="X919" t="s">
        <v>2288</v>
      </c>
      <c r="Y919" t="s">
        <v>2293</v>
      </c>
      <c r="Z919" t="s">
        <v>2312</v>
      </c>
      <c r="AA919">
        <v>21</v>
      </c>
      <c r="AB919" s="14">
        <v>95</v>
      </c>
      <c r="AC919" t="s">
        <v>2313</v>
      </c>
      <c r="AD919" t="s">
        <v>2314</v>
      </c>
      <c r="AE919" t="s">
        <v>2643</v>
      </c>
      <c r="AF919">
        <v>42</v>
      </c>
      <c r="AG919">
        <v>0</v>
      </c>
      <c r="AH919">
        <v>19</v>
      </c>
      <c r="AI919">
        <v>1</v>
      </c>
      <c r="AJ919">
        <v>1</v>
      </c>
      <c r="AK919">
        <v>0</v>
      </c>
      <c r="AL919">
        <v>1</v>
      </c>
      <c r="AM919" s="14">
        <v>0</v>
      </c>
      <c r="AN919" t="s">
        <v>2644</v>
      </c>
      <c r="AO919" s="12">
        <v>46174</v>
      </c>
      <c r="AP919">
        <v>2026</v>
      </c>
      <c r="AQ919">
        <v>6</v>
      </c>
      <c r="AR919" t="s">
        <v>2653</v>
      </c>
    </row>
    <row r="920" spans="1:44">
      <c r="A920" t="s">
        <v>2242</v>
      </c>
      <c r="B920" s="12">
        <v>46184</v>
      </c>
      <c r="C920" s="12">
        <v>46142</v>
      </c>
      <c r="D920" t="s">
        <v>1931</v>
      </c>
      <c r="E920" t="s">
        <v>281</v>
      </c>
      <c r="F920" t="s">
        <v>282</v>
      </c>
      <c r="G920" t="s">
        <v>446</v>
      </c>
      <c r="H920" t="s">
        <v>115</v>
      </c>
      <c r="I920" t="s">
        <v>271</v>
      </c>
      <c r="J920" s="13">
        <v>0.60416666666666663</v>
      </c>
      <c r="K920" s="13">
        <v>0.59791666666666665</v>
      </c>
      <c r="L920" s="13">
        <v>0.62986111111111109</v>
      </c>
      <c r="M920">
        <v>30</v>
      </c>
      <c r="N920" s="14">
        <v>120</v>
      </c>
      <c r="O920" t="s">
        <v>195</v>
      </c>
      <c r="P920">
        <v>4</v>
      </c>
      <c r="Q920" t="s">
        <v>318</v>
      </c>
      <c r="R920" t="s">
        <v>2065</v>
      </c>
      <c r="S920">
        <v>0</v>
      </c>
      <c r="T920">
        <v>0</v>
      </c>
      <c r="U920" t="s">
        <v>2290</v>
      </c>
      <c r="V920" t="s">
        <v>2291</v>
      </c>
      <c r="W920" t="s">
        <v>2292</v>
      </c>
      <c r="X920" t="s">
        <v>2288</v>
      </c>
      <c r="Y920" t="s">
        <v>2293</v>
      </c>
      <c r="Z920" t="s">
        <v>2309</v>
      </c>
      <c r="AA920">
        <v>14</v>
      </c>
      <c r="AB920" s="14">
        <v>120</v>
      </c>
      <c r="AC920" t="s">
        <v>2310</v>
      </c>
      <c r="AD920" t="s">
        <v>2311</v>
      </c>
      <c r="AE920" t="s">
        <v>2643</v>
      </c>
      <c r="AF920">
        <v>42</v>
      </c>
      <c r="AG920">
        <v>0</v>
      </c>
      <c r="AH920">
        <v>46</v>
      </c>
      <c r="AI920">
        <v>0</v>
      </c>
      <c r="AJ920">
        <v>1</v>
      </c>
      <c r="AK920">
        <v>0</v>
      </c>
      <c r="AL920">
        <v>1</v>
      </c>
      <c r="AM920" s="14">
        <v>0</v>
      </c>
      <c r="AN920" t="s">
        <v>2644</v>
      </c>
      <c r="AO920" s="12">
        <v>46174</v>
      </c>
      <c r="AP920">
        <v>2026</v>
      </c>
      <c r="AQ920">
        <v>6</v>
      </c>
      <c r="AR920" t="s">
        <v>2653</v>
      </c>
    </row>
    <row r="921" spans="1:44">
      <c r="A921" t="s">
        <v>2243</v>
      </c>
      <c r="B921" s="12">
        <v>46188</v>
      </c>
      <c r="C921" s="12">
        <v>46159</v>
      </c>
      <c r="D921" t="s">
        <v>704</v>
      </c>
      <c r="E921" t="s">
        <v>255</v>
      </c>
      <c r="F921" t="s">
        <v>409</v>
      </c>
      <c r="G921" t="s">
        <v>648</v>
      </c>
      <c r="H921" t="s">
        <v>466</v>
      </c>
      <c r="I921" t="s">
        <v>316</v>
      </c>
      <c r="J921" s="13">
        <v>0.33333333333333331</v>
      </c>
      <c r="K921" s="13"/>
      <c r="L921" s="13"/>
      <c r="M921">
        <v>0</v>
      </c>
      <c r="N921" s="14">
        <v>150</v>
      </c>
      <c r="O921" t="s">
        <v>195</v>
      </c>
      <c r="Q921" t="s">
        <v>285</v>
      </c>
      <c r="R921" t="s">
        <v>2065</v>
      </c>
      <c r="S921">
        <v>0</v>
      </c>
      <c r="T921">
        <v>0</v>
      </c>
      <c r="U921" t="s">
        <v>2299</v>
      </c>
      <c r="V921" t="s">
        <v>2295</v>
      </c>
      <c r="W921" t="s">
        <v>2300</v>
      </c>
      <c r="X921" t="s">
        <v>2288</v>
      </c>
      <c r="Y921" t="s">
        <v>2301</v>
      </c>
      <c r="Z921" t="s">
        <v>2318</v>
      </c>
      <c r="AA921">
        <v>28</v>
      </c>
      <c r="AB921" s="14">
        <v>150</v>
      </c>
      <c r="AC921" t="s">
        <v>2319</v>
      </c>
      <c r="AD921" t="s">
        <v>2320</v>
      </c>
      <c r="AE921" t="s">
        <v>2643</v>
      </c>
      <c r="AF921">
        <v>29</v>
      </c>
      <c r="AG921">
        <v>0</v>
      </c>
      <c r="AJ921">
        <v>0</v>
      </c>
      <c r="AL921">
        <v>1</v>
      </c>
      <c r="AM921" s="14">
        <v>0</v>
      </c>
      <c r="AN921" t="s">
        <v>2644</v>
      </c>
      <c r="AO921" s="12">
        <v>46174</v>
      </c>
      <c r="AP921">
        <v>2026</v>
      </c>
      <c r="AQ921">
        <v>6</v>
      </c>
      <c r="AR921" t="s">
        <v>2653</v>
      </c>
    </row>
    <row r="922" spans="1:44">
      <c r="A922" t="s">
        <v>2244</v>
      </c>
      <c r="B922" s="12">
        <v>46199</v>
      </c>
      <c r="C922" s="12">
        <v>46149</v>
      </c>
      <c r="D922" t="s">
        <v>296</v>
      </c>
      <c r="E922" t="s">
        <v>268</v>
      </c>
      <c r="F922" t="s">
        <v>409</v>
      </c>
      <c r="G922" t="s">
        <v>552</v>
      </c>
      <c r="H922" t="s">
        <v>115</v>
      </c>
      <c r="I922" t="s">
        <v>258</v>
      </c>
      <c r="J922" s="13">
        <v>0.66666666666666663</v>
      </c>
      <c r="K922" s="13">
        <v>0.66249999999999998</v>
      </c>
      <c r="L922" s="13">
        <v>0.69236111111111109</v>
      </c>
      <c r="M922">
        <v>45</v>
      </c>
      <c r="N922" s="14">
        <v>150</v>
      </c>
      <c r="O922" t="s">
        <v>195</v>
      </c>
      <c r="P922">
        <v>4</v>
      </c>
      <c r="Q922" t="s">
        <v>262</v>
      </c>
      <c r="R922" t="s">
        <v>2065</v>
      </c>
      <c r="S922">
        <v>0</v>
      </c>
      <c r="T922">
        <v>0</v>
      </c>
      <c r="U922" t="s">
        <v>2285</v>
      </c>
      <c r="V922" t="s">
        <v>2286</v>
      </c>
      <c r="W922" t="s">
        <v>2287</v>
      </c>
      <c r="X922" t="s">
        <v>2288</v>
      </c>
      <c r="Y922" t="s">
        <v>2289</v>
      </c>
      <c r="Z922" t="s">
        <v>2318</v>
      </c>
      <c r="AA922">
        <v>28</v>
      </c>
      <c r="AB922" s="14">
        <v>150</v>
      </c>
      <c r="AC922" t="s">
        <v>2319</v>
      </c>
      <c r="AD922" t="s">
        <v>2320</v>
      </c>
      <c r="AE922" t="s">
        <v>2643</v>
      </c>
      <c r="AF922">
        <v>50</v>
      </c>
      <c r="AG922">
        <v>0</v>
      </c>
      <c r="AH922">
        <v>43</v>
      </c>
      <c r="AI922">
        <v>0</v>
      </c>
      <c r="AJ922">
        <v>1</v>
      </c>
      <c r="AK922">
        <v>0</v>
      </c>
      <c r="AL922">
        <v>1</v>
      </c>
      <c r="AM922" s="14">
        <v>0</v>
      </c>
      <c r="AN922" t="s">
        <v>2644</v>
      </c>
      <c r="AO922" s="12">
        <v>46174</v>
      </c>
      <c r="AP922">
        <v>2026</v>
      </c>
      <c r="AQ922">
        <v>6</v>
      </c>
      <c r="AR922" t="s">
        <v>2653</v>
      </c>
    </row>
    <row r="923" spans="1:44">
      <c r="A923" t="s">
        <v>2245</v>
      </c>
      <c r="B923" s="12">
        <v>46178</v>
      </c>
      <c r="C923" s="12">
        <v>46143</v>
      </c>
      <c r="D923" t="s">
        <v>995</v>
      </c>
      <c r="E923" t="s">
        <v>255</v>
      </c>
      <c r="F923" t="s">
        <v>297</v>
      </c>
      <c r="G923" t="s">
        <v>331</v>
      </c>
      <c r="H923" t="s">
        <v>115</v>
      </c>
      <c r="I923" t="s">
        <v>271</v>
      </c>
      <c r="J923" s="13">
        <v>0.47916666666666669</v>
      </c>
      <c r="K923" s="13">
        <v>0.48055555555555557</v>
      </c>
      <c r="L923" s="13">
        <v>0.48541666666666666</v>
      </c>
      <c r="M923">
        <v>20</v>
      </c>
      <c r="N923" s="14">
        <v>65</v>
      </c>
      <c r="O923" t="s">
        <v>195</v>
      </c>
      <c r="Q923" t="s">
        <v>262</v>
      </c>
      <c r="R923" t="s">
        <v>2065</v>
      </c>
      <c r="S923">
        <v>0</v>
      </c>
      <c r="T923">
        <v>0</v>
      </c>
      <c r="U923" t="s">
        <v>2299</v>
      </c>
      <c r="V923" t="s">
        <v>2295</v>
      </c>
      <c r="W923" t="s">
        <v>2300</v>
      </c>
      <c r="X923" t="s">
        <v>2288</v>
      </c>
      <c r="Y923" t="s">
        <v>2301</v>
      </c>
      <c r="Z923" t="s">
        <v>2306</v>
      </c>
      <c r="AA923">
        <v>7</v>
      </c>
      <c r="AB923" s="14">
        <v>65</v>
      </c>
      <c r="AC923" t="s">
        <v>2307</v>
      </c>
      <c r="AD923" t="s">
        <v>2308</v>
      </c>
      <c r="AE923" t="s">
        <v>2643</v>
      </c>
      <c r="AF923">
        <v>35</v>
      </c>
      <c r="AG923">
        <v>0</v>
      </c>
      <c r="AH923">
        <v>7</v>
      </c>
      <c r="AI923">
        <v>1</v>
      </c>
      <c r="AJ923">
        <v>1</v>
      </c>
      <c r="AK923">
        <v>0</v>
      </c>
      <c r="AL923">
        <v>1</v>
      </c>
      <c r="AM923" s="14">
        <v>0</v>
      </c>
      <c r="AN923" t="s">
        <v>2644</v>
      </c>
      <c r="AO923" s="12">
        <v>46174</v>
      </c>
      <c r="AP923">
        <v>2026</v>
      </c>
      <c r="AQ923">
        <v>6</v>
      </c>
      <c r="AR923" t="s">
        <v>2653</v>
      </c>
    </row>
    <row r="924" spans="1:44">
      <c r="A924" t="s">
        <v>2246</v>
      </c>
      <c r="B924" s="12">
        <v>46180</v>
      </c>
      <c r="C924" s="12">
        <v>46165</v>
      </c>
      <c r="D924" t="s">
        <v>2106</v>
      </c>
      <c r="E924" t="s">
        <v>281</v>
      </c>
      <c r="F924" t="s">
        <v>256</v>
      </c>
      <c r="G924" t="s">
        <v>796</v>
      </c>
      <c r="H924" t="s">
        <v>127</v>
      </c>
      <c r="I924" t="s">
        <v>271</v>
      </c>
      <c r="J924" s="13">
        <v>0.5625</v>
      </c>
      <c r="K924" s="13"/>
      <c r="L924" s="13"/>
      <c r="M924">
        <v>0</v>
      </c>
      <c r="N924" s="14">
        <v>95</v>
      </c>
      <c r="O924" t="s">
        <v>195</v>
      </c>
      <c r="Q924" t="s">
        <v>326</v>
      </c>
      <c r="R924" t="s">
        <v>2065</v>
      </c>
      <c r="S924">
        <v>0</v>
      </c>
      <c r="T924">
        <v>0</v>
      </c>
      <c r="U924" t="s">
        <v>2290</v>
      </c>
      <c r="V924" t="s">
        <v>2291</v>
      </c>
      <c r="W924" t="s">
        <v>2292</v>
      </c>
      <c r="X924" t="s">
        <v>2288</v>
      </c>
      <c r="Y924" t="s">
        <v>2293</v>
      </c>
      <c r="Z924" t="s">
        <v>2312</v>
      </c>
      <c r="AA924">
        <v>21</v>
      </c>
      <c r="AB924" s="14">
        <v>95</v>
      </c>
      <c r="AC924" t="s">
        <v>2313</v>
      </c>
      <c r="AD924" t="s">
        <v>2314</v>
      </c>
      <c r="AE924" t="s">
        <v>2643</v>
      </c>
      <c r="AF924">
        <v>15</v>
      </c>
      <c r="AG924">
        <v>1</v>
      </c>
      <c r="AJ924">
        <v>0</v>
      </c>
      <c r="AL924">
        <v>1</v>
      </c>
      <c r="AM924" s="14">
        <v>0</v>
      </c>
      <c r="AN924" t="s">
        <v>2644</v>
      </c>
      <c r="AO924" s="12">
        <v>46174</v>
      </c>
      <c r="AP924">
        <v>2026</v>
      </c>
      <c r="AQ924">
        <v>6</v>
      </c>
      <c r="AR924" t="s">
        <v>2653</v>
      </c>
    </row>
    <row r="925" spans="1:44">
      <c r="A925" t="s">
        <v>2247</v>
      </c>
      <c r="B925" s="12">
        <v>46197</v>
      </c>
      <c r="C925" s="12">
        <v>46181</v>
      </c>
      <c r="D925" t="s">
        <v>495</v>
      </c>
      <c r="E925" t="s">
        <v>339</v>
      </c>
      <c r="F925" t="s">
        <v>297</v>
      </c>
      <c r="G925" t="s">
        <v>780</v>
      </c>
      <c r="H925" t="s">
        <v>115</v>
      </c>
      <c r="I925" t="s">
        <v>258</v>
      </c>
      <c r="J925" s="13">
        <v>0.4375</v>
      </c>
      <c r="K925" s="13">
        <v>0.44027777777777777</v>
      </c>
      <c r="L925" s="13">
        <v>0.46527777777777779</v>
      </c>
      <c r="M925">
        <v>60</v>
      </c>
      <c r="N925" s="14">
        <v>65</v>
      </c>
      <c r="O925" t="s">
        <v>195</v>
      </c>
      <c r="P925">
        <v>5</v>
      </c>
      <c r="Q925" t="s">
        <v>262</v>
      </c>
      <c r="R925" t="s">
        <v>2065</v>
      </c>
      <c r="S925">
        <v>0</v>
      </c>
      <c r="T925">
        <v>0</v>
      </c>
      <c r="U925" t="s">
        <v>2294</v>
      </c>
      <c r="V925" t="s">
        <v>2295</v>
      </c>
      <c r="W925" t="s">
        <v>2296</v>
      </c>
      <c r="X925" t="s">
        <v>2297</v>
      </c>
      <c r="Y925" t="s">
        <v>2298</v>
      </c>
      <c r="Z925" t="s">
        <v>2306</v>
      </c>
      <c r="AA925">
        <v>7</v>
      </c>
      <c r="AB925" s="14">
        <v>65</v>
      </c>
      <c r="AC925" t="s">
        <v>2307</v>
      </c>
      <c r="AD925" t="s">
        <v>2308</v>
      </c>
      <c r="AE925" t="s">
        <v>2643</v>
      </c>
      <c r="AF925">
        <v>16</v>
      </c>
      <c r="AG925">
        <v>0</v>
      </c>
      <c r="AH925">
        <v>36</v>
      </c>
      <c r="AI925">
        <v>0</v>
      </c>
      <c r="AJ925">
        <v>1</v>
      </c>
      <c r="AK925">
        <v>0</v>
      </c>
      <c r="AL925">
        <v>1</v>
      </c>
      <c r="AM925" s="14">
        <v>0</v>
      </c>
      <c r="AN925" t="s">
        <v>2644</v>
      </c>
      <c r="AO925" s="12">
        <v>46174</v>
      </c>
      <c r="AP925">
        <v>2026</v>
      </c>
      <c r="AQ925">
        <v>6</v>
      </c>
      <c r="AR925" t="s">
        <v>2653</v>
      </c>
    </row>
    <row r="926" spans="1:44">
      <c r="A926" t="s">
        <v>2248</v>
      </c>
      <c r="B926" s="12">
        <v>46189</v>
      </c>
      <c r="C926" s="12">
        <v>46138</v>
      </c>
      <c r="D926" t="s">
        <v>1031</v>
      </c>
      <c r="E926" t="s">
        <v>255</v>
      </c>
      <c r="F926" t="s">
        <v>297</v>
      </c>
      <c r="G926" t="s">
        <v>331</v>
      </c>
      <c r="H926" t="s">
        <v>122</v>
      </c>
      <c r="I926" t="s">
        <v>299</v>
      </c>
      <c r="J926" s="13">
        <v>0.35416666666666669</v>
      </c>
      <c r="K926" s="13"/>
      <c r="L926" s="13"/>
      <c r="M926">
        <v>0</v>
      </c>
      <c r="N926" s="14">
        <v>65</v>
      </c>
      <c r="O926" t="s">
        <v>195</v>
      </c>
      <c r="Q926" t="s">
        <v>305</v>
      </c>
      <c r="R926" t="s">
        <v>2065</v>
      </c>
      <c r="S926">
        <v>0</v>
      </c>
      <c r="T926">
        <v>0</v>
      </c>
      <c r="U926" t="s">
        <v>2299</v>
      </c>
      <c r="V926" t="s">
        <v>2295</v>
      </c>
      <c r="W926" t="s">
        <v>2300</v>
      </c>
      <c r="X926" t="s">
        <v>2288</v>
      </c>
      <c r="Y926" t="s">
        <v>2301</v>
      </c>
      <c r="Z926" t="s">
        <v>2306</v>
      </c>
      <c r="AA926">
        <v>7</v>
      </c>
      <c r="AB926" s="14">
        <v>65</v>
      </c>
      <c r="AC926" t="s">
        <v>2307</v>
      </c>
      <c r="AD926" t="s">
        <v>2308</v>
      </c>
      <c r="AE926" t="s">
        <v>2643</v>
      </c>
      <c r="AF926">
        <v>51</v>
      </c>
      <c r="AG926">
        <v>0</v>
      </c>
      <c r="AJ926">
        <v>1</v>
      </c>
      <c r="AK926">
        <v>1</v>
      </c>
      <c r="AL926">
        <v>1</v>
      </c>
      <c r="AM926" s="14">
        <v>0</v>
      </c>
      <c r="AN926" t="s">
        <v>2644</v>
      </c>
      <c r="AO926" s="12">
        <v>46174</v>
      </c>
      <c r="AP926">
        <v>2026</v>
      </c>
      <c r="AQ926">
        <v>6</v>
      </c>
      <c r="AR926" t="s">
        <v>2653</v>
      </c>
    </row>
    <row r="927" spans="1:44">
      <c r="A927" t="s">
        <v>2249</v>
      </c>
      <c r="B927" s="12">
        <v>46193</v>
      </c>
      <c r="C927" s="12">
        <v>46151</v>
      </c>
      <c r="D927" t="s">
        <v>813</v>
      </c>
      <c r="E927" t="s">
        <v>268</v>
      </c>
      <c r="F927" t="s">
        <v>282</v>
      </c>
      <c r="G927" t="s">
        <v>505</v>
      </c>
      <c r="H927" t="s">
        <v>115</v>
      </c>
      <c r="I927" t="s">
        <v>258</v>
      </c>
      <c r="J927" s="13">
        <v>0.5625</v>
      </c>
      <c r="K927" s="13">
        <v>0.56319444444444444</v>
      </c>
      <c r="L927" s="13">
        <v>0.58194444444444449</v>
      </c>
      <c r="M927">
        <v>30</v>
      </c>
      <c r="N927" s="14">
        <v>120</v>
      </c>
      <c r="O927" t="s">
        <v>169</v>
      </c>
      <c r="P927">
        <v>4</v>
      </c>
      <c r="Q927" t="s">
        <v>262</v>
      </c>
      <c r="R927" t="s">
        <v>2065</v>
      </c>
      <c r="S927">
        <v>0</v>
      </c>
      <c r="T927">
        <v>0</v>
      </c>
      <c r="U927" t="s">
        <v>2285</v>
      </c>
      <c r="V927" t="s">
        <v>2286</v>
      </c>
      <c r="W927" t="s">
        <v>2287</v>
      </c>
      <c r="X927" t="s">
        <v>2288</v>
      </c>
      <c r="Y927" t="s">
        <v>2289</v>
      </c>
      <c r="Z927" t="s">
        <v>2309</v>
      </c>
      <c r="AA927">
        <v>14</v>
      </c>
      <c r="AB927" s="14">
        <v>120</v>
      </c>
      <c r="AC927" t="s">
        <v>2310</v>
      </c>
      <c r="AD927" t="s">
        <v>2311</v>
      </c>
      <c r="AE927" t="s">
        <v>2643</v>
      </c>
      <c r="AF927">
        <v>42</v>
      </c>
      <c r="AG927">
        <v>0</v>
      </c>
      <c r="AH927">
        <v>27</v>
      </c>
      <c r="AI927">
        <v>1</v>
      </c>
      <c r="AJ927">
        <v>1</v>
      </c>
      <c r="AK927">
        <v>0</v>
      </c>
      <c r="AL927">
        <v>1</v>
      </c>
      <c r="AM927" s="14">
        <v>0</v>
      </c>
      <c r="AN927" t="s">
        <v>2644</v>
      </c>
      <c r="AO927" s="12">
        <v>46174</v>
      </c>
      <c r="AP927">
        <v>2026</v>
      </c>
      <c r="AQ927">
        <v>6</v>
      </c>
      <c r="AR927" t="s">
        <v>2653</v>
      </c>
    </row>
    <row r="928" spans="1:44">
      <c r="A928" t="s">
        <v>2250</v>
      </c>
      <c r="B928" s="12">
        <v>46192</v>
      </c>
      <c r="C928" s="12">
        <v>46168</v>
      </c>
      <c r="D928" t="s">
        <v>527</v>
      </c>
      <c r="E928" t="s">
        <v>339</v>
      </c>
      <c r="F928" t="s">
        <v>269</v>
      </c>
      <c r="G928" t="s">
        <v>340</v>
      </c>
      <c r="H928" t="s">
        <v>115</v>
      </c>
      <c r="I928" t="s">
        <v>316</v>
      </c>
      <c r="J928" s="13">
        <v>0.52083333333333337</v>
      </c>
      <c r="K928" s="13">
        <v>0.52013888888888893</v>
      </c>
      <c r="L928" s="13">
        <v>0.53611111111111109</v>
      </c>
      <c r="M928">
        <v>30</v>
      </c>
      <c r="N928" s="14">
        <v>80</v>
      </c>
      <c r="O928" t="s">
        <v>195</v>
      </c>
      <c r="P928">
        <v>3</v>
      </c>
      <c r="Q928" t="s">
        <v>262</v>
      </c>
      <c r="R928" t="s">
        <v>2065</v>
      </c>
      <c r="S928">
        <v>0</v>
      </c>
      <c r="T928">
        <v>0</v>
      </c>
      <c r="U928" t="s">
        <v>2294</v>
      </c>
      <c r="V928" t="s">
        <v>2295</v>
      </c>
      <c r="W928" t="s">
        <v>2296</v>
      </c>
      <c r="X928" t="s">
        <v>2297</v>
      </c>
      <c r="Y928" t="s">
        <v>2298</v>
      </c>
      <c r="Z928" t="s">
        <v>2315</v>
      </c>
      <c r="AA928">
        <v>10</v>
      </c>
      <c r="AB928" s="14">
        <v>80</v>
      </c>
      <c r="AC928" t="s">
        <v>2316</v>
      </c>
      <c r="AD928" t="s">
        <v>2317</v>
      </c>
      <c r="AE928" t="s">
        <v>2643</v>
      </c>
      <c r="AF928">
        <v>24</v>
      </c>
      <c r="AG928">
        <v>0</v>
      </c>
      <c r="AH928">
        <v>23</v>
      </c>
      <c r="AI928">
        <v>1</v>
      </c>
      <c r="AJ928">
        <v>1</v>
      </c>
      <c r="AK928">
        <v>0</v>
      </c>
      <c r="AL928">
        <v>1</v>
      </c>
      <c r="AM928" s="14">
        <v>0</v>
      </c>
      <c r="AN928" t="s">
        <v>2644</v>
      </c>
      <c r="AO928" s="12">
        <v>46174</v>
      </c>
      <c r="AP928">
        <v>2026</v>
      </c>
      <c r="AQ928">
        <v>6</v>
      </c>
      <c r="AR928" t="s">
        <v>2653</v>
      </c>
    </row>
    <row r="929" spans="1:44">
      <c r="A929" t="s">
        <v>2251</v>
      </c>
      <c r="B929" s="12">
        <v>46196</v>
      </c>
      <c r="C929" s="12">
        <v>46195</v>
      </c>
      <c r="D929" t="s">
        <v>1418</v>
      </c>
      <c r="E929" t="s">
        <v>255</v>
      </c>
      <c r="F929" t="s">
        <v>409</v>
      </c>
      <c r="G929" t="s">
        <v>648</v>
      </c>
      <c r="H929" t="s">
        <v>115</v>
      </c>
      <c r="I929" t="s">
        <v>299</v>
      </c>
      <c r="J929" s="13">
        <v>0.54166666666666663</v>
      </c>
      <c r="K929" s="13">
        <v>0.53680555555555554</v>
      </c>
      <c r="L929" s="13">
        <v>0.55763888888888891</v>
      </c>
      <c r="M929">
        <v>60</v>
      </c>
      <c r="N929" s="14">
        <v>150</v>
      </c>
      <c r="O929" t="s">
        <v>195</v>
      </c>
      <c r="P929">
        <v>5</v>
      </c>
      <c r="Q929" t="s">
        <v>305</v>
      </c>
      <c r="R929" t="s">
        <v>2065</v>
      </c>
      <c r="S929">
        <v>0</v>
      </c>
      <c r="T929">
        <v>0</v>
      </c>
      <c r="U929" t="s">
        <v>2299</v>
      </c>
      <c r="V929" t="s">
        <v>2295</v>
      </c>
      <c r="W929" t="s">
        <v>2300</v>
      </c>
      <c r="X929" t="s">
        <v>2288</v>
      </c>
      <c r="Y929" t="s">
        <v>2301</v>
      </c>
      <c r="Z929" t="s">
        <v>2318</v>
      </c>
      <c r="AA929">
        <v>28</v>
      </c>
      <c r="AB929" s="14">
        <v>150</v>
      </c>
      <c r="AC929" t="s">
        <v>2319</v>
      </c>
      <c r="AD929" t="s">
        <v>2320</v>
      </c>
      <c r="AE929" t="s">
        <v>2643</v>
      </c>
      <c r="AF929">
        <v>1</v>
      </c>
      <c r="AG929">
        <v>1</v>
      </c>
      <c r="AH929">
        <v>30</v>
      </c>
      <c r="AI929">
        <v>1</v>
      </c>
      <c r="AJ929">
        <v>1</v>
      </c>
      <c r="AK929">
        <v>0</v>
      </c>
      <c r="AL929">
        <v>1</v>
      </c>
      <c r="AM929" s="14">
        <v>0</v>
      </c>
      <c r="AN929" t="s">
        <v>2644</v>
      </c>
      <c r="AO929" s="12">
        <v>46174</v>
      </c>
      <c r="AP929">
        <v>2026</v>
      </c>
      <c r="AQ929">
        <v>6</v>
      </c>
      <c r="AR929" t="s">
        <v>2653</v>
      </c>
    </row>
    <row r="930" spans="1:44">
      <c r="A930" t="s">
        <v>2253</v>
      </c>
      <c r="B930" s="12">
        <v>46190</v>
      </c>
      <c r="C930" s="12">
        <v>46139</v>
      </c>
      <c r="D930" t="s">
        <v>1262</v>
      </c>
      <c r="E930" t="s">
        <v>339</v>
      </c>
      <c r="F930" t="s">
        <v>282</v>
      </c>
      <c r="G930" t="s">
        <v>564</v>
      </c>
      <c r="H930" t="s">
        <v>115</v>
      </c>
      <c r="I930" t="s">
        <v>316</v>
      </c>
      <c r="J930" s="13">
        <v>0.39583333333333331</v>
      </c>
      <c r="K930" s="13">
        <v>0.4</v>
      </c>
      <c r="L930" s="13">
        <v>0.39861111111111114</v>
      </c>
      <c r="M930">
        <v>45</v>
      </c>
      <c r="N930" s="14">
        <v>120</v>
      </c>
      <c r="O930" t="s">
        <v>195</v>
      </c>
      <c r="P930">
        <v>5</v>
      </c>
      <c r="Q930" t="s">
        <v>318</v>
      </c>
      <c r="R930" t="s">
        <v>2065</v>
      </c>
      <c r="S930">
        <v>0</v>
      </c>
      <c r="T930">
        <v>0</v>
      </c>
      <c r="U930" t="s">
        <v>2294</v>
      </c>
      <c r="V930" t="s">
        <v>2295</v>
      </c>
      <c r="W930" t="s">
        <v>2296</v>
      </c>
      <c r="X930" t="s">
        <v>2297</v>
      </c>
      <c r="Y930" t="s">
        <v>2298</v>
      </c>
      <c r="Z930" t="s">
        <v>2309</v>
      </c>
      <c r="AA930">
        <v>14</v>
      </c>
      <c r="AB930" s="14">
        <v>120</v>
      </c>
      <c r="AC930" t="s">
        <v>2310</v>
      </c>
      <c r="AD930" t="s">
        <v>2311</v>
      </c>
      <c r="AE930" t="s">
        <v>2643</v>
      </c>
      <c r="AF930">
        <v>51</v>
      </c>
      <c r="AG930">
        <v>0</v>
      </c>
      <c r="AJ930">
        <v>1</v>
      </c>
      <c r="AK930">
        <v>0</v>
      </c>
      <c r="AL930">
        <v>1</v>
      </c>
      <c r="AM930" s="14">
        <v>0</v>
      </c>
      <c r="AN930" t="s">
        <v>2644</v>
      </c>
      <c r="AO930" s="12">
        <v>46174</v>
      </c>
      <c r="AP930">
        <v>2026</v>
      </c>
      <c r="AQ930">
        <v>6</v>
      </c>
      <c r="AR930" t="s">
        <v>2653</v>
      </c>
    </row>
    <row r="931" spans="1:44">
      <c r="A931" t="s">
        <v>2254</v>
      </c>
      <c r="B931" s="12">
        <v>46200</v>
      </c>
      <c r="C931" s="12">
        <v>46195</v>
      </c>
      <c r="D931" t="s">
        <v>715</v>
      </c>
      <c r="E931" t="s">
        <v>255</v>
      </c>
      <c r="F931" t="s">
        <v>297</v>
      </c>
      <c r="G931" t="s">
        <v>331</v>
      </c>
      <c r="H931" t="s">
        <v>115</v>
      </c>
      <c r="I931" t="s">
        <v>258</v>
      </c>
      <c r="J931" s="13">
        <v>0.39583333333333331</v>
      </c>
      <c r="K931" s="13">
        <v>0.39652777777777776</v>
      </c>
      <c r="L931" s="13">
        <v>0.40555555555555556</v>
      </c>
      <c r="M931">
        <v>30</v>
      </c>
      <c r="N931" s="14">
        <v>65</v>
      </c>
      <c r="O931" t="s">
        <v>195</v>
      </c>
      <c r="P931">
        <v>5</v>
      </c>
      <c r="Q931" t="s">
        <v>326</v>
      </c>
      <c r="R931" t="s">
        <v>2065</v>
      </c>
      <c r="S931">
        <v>0</v>
      </c>
      <c r="T931">
        <v>0</v>
      </c>
      <c r="U931" t="s">
        <v>2299</v>
      </c>
      <c r="V931" t="s">
        <v>2295</v>
      </c>
      <c r="W931" t="s">
        <v>2300</v>
      </c>
      <c r="X931" t="s">
        <v>2288</v>
      </c>
      <c r="Y931" t="s">
        <v>2301</v>
      </c>
      <c r="Z931" t="s">
        <v>2306</v>
      </c>
      <c r="AA931">
        <v>7</v>
      </c>
      <c r="AB931" s="14">
        <v>65</v>
      </c>
      <c r="AC931" t="s">
        <v>2307</v>
      </c>
      <c r="AD931" t="s">
        <v>2308</v>
      </c>
      <c r="AE931" t="s">
        <v>2643</v>
      </c>
      <c r="AF931">
        <v>5</v>
      </c>
      <c r="AG931">
        <v>1</v>
      </c>
      <c r="AH931">
        <v>13</v>
      </c>
      <c r="AI931">
        <v>1</v>
      </c>
      <c r="AJ931">
        <v>1</v>
      </c>
      <c r="AK931">
        <v>0</v>
      </c>
      <c r="AL931">
        <v>1</v>
      </c>
      <c r="AM931" s="14">
        <v>0</v>
      </c>
      <c r="AN931" t="s">
        <v>2644</v>
      </c>
      <c r="AO931" s="12">
        <v>46174</v>
      </c>
      <c r="AP931">
        <v>2026</v>
      </c>
      <c r="AQ931">
        <v>6</v>
      </c>
      <c r="AR931" t="s">
        <v>2653</v>
      </c>
    </row>
    <row r="932" spans="1:44">
      <c r="A932" t="s">
        <v>2255</v>
      </c>
      <c r="B932" s="12">
        <v>46179</v>
      </c>
      <c r="C932" s="12">
        <v>46173</v>
      </c>
      <c r="D932" t="s">
        <v>685</v>
      </c>
      <c r="E932" t="s">
        <v>339</v>
      </c>
      <c r="F932" t="s">
        <v>256</v>
      </c>
      <c r="G932" t="s">
        <v>403</v>
      </c>
      <c r="H932" t="s">
        <v>115</v>
      </c>
      <c r="I932" t="s">
        <v>258</v>
      </c>
      <c r="J932" s="13">
        <v>0.66666666666666663</v>
      </c>
      <c r="K932" s="13">
        <v>0.66249999999999998</v>
      </c>
      <c r="L932" s="13">
        <v>0.67986111111111114</v>
      </c>
      <c r="M932">
        <v>30</v>
      </c>
      <c r="N932" s="14">
        <v>95</v>
      </c>
      <c r="O932" t="s">
        <v>195</v>
      </c>
      <c r="P932">
        <v>3</v>
      </c>
      <c r="Q932" t="s">
        <v>262</v>
      </c>
      <c r="R932" t="s">
        <v>2065</v>
      </c>
      <c r="S932">
        <v>0</v>
      </c>
      <c r="T932">
        <v>0</v>
      </c>
      <c r="U932" t="s">
        <v>2294</v>
      </c>
      <c r="V932" t="s">
        <v>2295</v>
      </c>
      <c r="W932" t="s">
        <v>2296</v>
      </c>
      <c r="X932" t="s">
        <v>2297</v>
      </c>
      <c r="Y932" t="s">
        <v>2298</v>
      </c>
      <c r="Z932" t="s">
        <v>2312</v>
      </c>
      <c r="AA932">
        <v>21</v>
      </c>
      <c r="AB932" s="14">
        <v>95</v>
      </c>
      <c r="AC932" t="s">
        <v>2313</v>
      </c>
      <c r="AD932" t="s">
        <v>2314</v>
      </c>
      <c r="AE932" t="s">
        <v>2643</v>
      </c>
      <c r="AF932">
        <v>6</v>
      </c>
      <c r="AG932">
        <v>1</v>
      </c>
      <c r="AH932">
        <v>25</v>
      </c>
      <c r="AI932">
        <v>1</v>
      </c>
      <c r="AJ932">
        <v>1</v>
      </c>
      <c r="AK932">
        <v>0</v>
      </c>
      <c r="AL932">
        <v>1</v>
      </c>
      <c r="AM932" s="14">
        <v>0</v>
      </c>
      <c r="AN932" t="s">
        <v>2644</v>
      </c>
      <c r="AO932" s="12">
        <v>46174</v>
      </c>
      <c r="AP932">
        <v>2026</v>
      </c>
      <c r="AQ932">
        <v>6</v>
      </c>
      <c r="AR932" t="s">
        <v>2653</v>
      </c>
    </row>
    <row r="933" spans="1:44">
      <c r="A933" t="s">
        <v>2257</v>
      </c>
      <c r="B933" s="12">
        <v>46197</v>
      </c>
      <c r="C933" s="12">
        <v>46195</v>
      </c>
      <c r="D933" t="s">
        <v>1541</v>
      </c>
      <c r="E933" t="s">
        <v>255</v>
      </c>
      <c r="F933" t="s">
        <v>269</v>
      </c>
      <c r="G933" t="s">
        <v>542</v>
      </c>
      <c r="H933" t="s">
        <v>115</v>
      </c>
      <c r="I933" t="s">
        <v>299</v>
      </c>
      <c r="J933" s="13">
        <v>0.47916666666666669</v>
      </c>
      <c r="K933" s="13">
        <v>0.47222222222222221</v>
      </c>
      <c r="L933" s="13">
        <v>0.49722222222222223</v>
      </c>
      <c r="N933" s="14">
        <v>80</v>
      </c>
      <c r="O933" t="s">
        <v>195</v>
      </c>
      <c r="P933">
        <v>5</v>
      </c>
      <c r="Q933" t="s">
        <v>285</v>
      </c>
      <c r="R933" t="s">
        <v>2065</v>
      </c>
      <c r="S933">
        <v>0</v>
      </c>
      <c r="T933">
        <v>0</v>
      </c>
      <c r="U933" t="s">
        <v>2299</v>
      </c>
      <c r="V933" t="s">
        <v>2295</v>
      </c>
      <c r="W933" t="s">
        <v>2300</v>
      </c>
      <c r="X933" t="s">
        <v>2288</v>
      </c>
      <c r="Y933" t="s">
        <v>2301</v>
      </c>
      <c r="Z933" t="s">
        <v>2315</v>
      </c>
      <c r="AA933">
        <v>10</v>
      </c>
      <c r="AB933" s="14">
        <v>80</v>
      </c>
      <c r="AC933" t="s">
        <v>2316</v>
      </c>
      <c r="AD933" t="s">
        <v>2317</v>
      </c>
      <c r="AE933" t="s">
        <v>2643</v>
      </c>
      <c r="AF933">
        <v>2</v>
      </c>
      <c r="AG933">
        <v>1</v>
      </c>
      <c r="AH933">
        <v>36</v>
      </c>
      <c r="AI933">
        <v>0</v>
      </c>
      <c r="AJ933">
        <v>1</v>
      </c>
      <c r="AK933">
        <v>0</v>
      </c>
      <c r="AL933">
        <v>1</v>
      </c>
      <c r="AM933" s="14">
        <v>0</v>
      </c>
      <c r="AN933" t="s">
        <v>2644</v>
      </c>
      <c r="AO933" s="12">
        <v>46174</v>
      </c>
      <c r="AP933">
        <v>2026</v>
      </c>
      <c r="AQ933">
        <v>6</v>
      </c>
      <c r="AR933" t="s">
        <v>2653</v>
      </c>
    </row>
    <row r="934" spans="1:44">
      <c r="A934" t="s">
        <v>2258</v>
      </c>
      <c r="B934" s="12">
        <v>46185</v>
      </c>
      <c r="C934" s="12">
        <v>46157</v>
      </c>
      <c r="D934" t="s">
        <v>1103</v>
      </c>
      <c r="E934" t="s">
        <v>268</v>
      </c>
      <c r="F934" t="s">
        <v>269</v>
      </c>
      <c r="G934" t="s">
        <v>270</v>
      </c>
      <c r="H934" t="s">
        <v>115</v>
      </c>
      <c r="I934" t="s">
        <v>258</v>
      </c>
      <c r="J934" s="13">
        <v>0.58333333333333337</v>
      </c>
      <c r="K934" s="13">
        <v>0.58680555555555558</v>
      </c>
      <c r="L934" s="13">
        <v>0.60138888888888886</v>
      </c>
      <c r="M934">
        <v>20</v>
      </c>
      <c r="N934" s="14">
        <v>80</v>
      </c>
      <c r="O934" t="s">
        <v>195</v>
      </c>
      <c r="P934">
        <v>4</v>
      </c>
      <c r="Q934" t="s">
        <v>285</v>
      </c>
      <c r="R934" t="s">
        <v>2065</v>
      </c>
      <c r="S934">
        <v>0</v>
      </c>
      <c r="T934">
        <v>0</v>
      </c>
      <c r="U934" t="s">
        <v>2285</v>
      </c>
      <c r="V934" t="s">
        <v>2286</v>
      </c>
      <c r="W934" t="s">
        <v>2287</v>
      </c>
      <c r="X934" t="s">
        <v>2288</v>
      </c>
      <c r="Y934" t="s">
        <v>2289</v>
      </c>
      <c r="Z934" t="s">
        <v>2315</v>
      </c>
      <c r="AA934">
        <v>10</v>
      </c>
      <c r="AB934" s="14">
        <v>80</v>
      </c>
      <c r="AC934" t="s">
        <v>2316</v>
      </c>
      <c r="AD934" t="s">
        <v>2317</v>
      </c>
      <c r="AE934" t="s">
        <v>2643</v>
      </c>
      <c r="AF934">
        <v>28</v>
      </c>
      <c r="AG934">
        <v>0</v>
      </c>
      <c r="AH934">
        <v>21</v>
      </c>
      <c r="AI934">
        <v>1</v>
      </c>
      <c r="AJ934">
        <v>1</v>
      </c>
      <c r="AK934">
        <v>0</v>
      </c>
      <c r="AL934">
        <v>1</v>
      </c>
      <c r="AM934" s="14">
        <v>0</v>
      </c>
      <c r="AN934" t="s">
        <v>2644</v>
      </c>
      <c r="AO934" s="12">
        <v>46174</v>
      </c>
      <c r="AP934">
        <v>2026</v>
      </c>
      <c r="AQ934">
        <v>6</v>
      </c>
      <c r="AR934" t="s">
        <v>2653</v>
      </c>
    </row>
    <row r="935" spans="1:44">
      <c r="A935" t="s">
        <v>2259</v>
      </c>
      <c r="B935" s="12">
        <v>46195</v>
      </c>
      <c r="C935" s="12">
        <v>46165</v>
      </c>
      <c r="D935" t="s">
        <v>685</v>
      </c>
      <c r="E935" t="s">
        <v>255</v>
      </c>
      <c r="F935" t="s">
        <v>409</v>
      </c>
      <c r="G935" t="s">
        <v>410</v>
      </c>
      <c r="H935" t="s">
        <v>122</v>
      </c>
      <c r="I935" t="s">
        <v>258</v>
      </c>
      <c r="J935" s="13">
        <v>0.625</v>
      </c>
      <c r="K935" s="13"/>
      <c r="L935" s="13"/>
      <c r="M935">
        <v>0</v>
      </c>
      <c r="N935" s="14">
        <v>150</v>
      </c>
      <c r="O935" t="s">
        <v>195</v>
      </c>
      <c r="Q935" t="s">
        <v>262</v>
      </c>
      <c r="R935" t="s">
        <v>2065</v>
      </c>
      <c r="S935">
        <v>0</v>
      </c>
      <c r="T935">
        <v>0</v>
      </c>
      <c r="U935" t="s">
        <v>2299</v>
      </c>
      <c r="V935" t="s">
        <v>2295</v>
      </c>
      <c r="W935" t="s">
        <v>2300</v>
      </c>
      <c r="X935" t="s">
        <v>2288</v>
      </c>
      <c r="Y935" t="s">
        <v>2301</v>
      </c>
      <c r="Z935" t="s">
        <v>2318</v>
      </c>
      <c r="AA935">
        <v>28</v>
      </c>
      <c r="AB935" s="14">
        <v>150</v>
      </c>
      <c r="AC935" t="s">
        <v>2319</v>
      </c>
      <c r="AD935" t="s">
        <v>2320</v>
      </c>
      <c r="AE935" t="s">
        <v>2643</v>
      </c>
      <c r="AF935">
        <v>30</v>
      </c>
      <c r="AG935">
        <v>0</v>
      </c>
      <c r="AJ935">
        <v>1</v>
      </c>
      <c r="AK935">
        <v>1</v>
      </c>
      <c r="AL935">
        <v>1</v>
      </c>
      <c r="AM935" s="14">
        <v>0</v>
      </c>
      <c r="AN935" t="s">
        <v>2644</v>
      </c>
      <c r="AO935" s="12">
        <v>46174</v>
      </c>
      <c r="AP935">
        <v>2026</v>
      </c>
      <c r="AQ935">
        <v>6</v>
      </c>
      <c r="AR935" t="s">
        <v>2653</v>
      </c>
    </row>
    <row r="936" spans="1:44">
      <c r="A936" t="s">
        <v>2260</v>
      </c>
      <c r="B936" s="12">
        <v>46193</v>
      </c>
      <c r="C936" s="12">
        <v>46192</v>
      </c>
      <c r="D936" t="s">
        <v>615</v>
      </c>
      <c r="E936" t="s">
        <v>281</v>
      </c>
      <c r="F936" t="s">
        <v>269</v>
      </c>
      <c r="G936" t="s">
        <v>322</v>
      </c>
      <c r="H936" t="s">
        <v>115</v>
      </c>
      <c r="I936" t="s">
        <v>271</v>
      </c>
      <c r="J936" s="13">
        <v>0.41666666666666669</v>
      </c>
      <c r="K936" s="13">
        <v>0.42638888888888887</v>
      </c>
      <c r="L936" s="13">
        <v>0.42986111111111114</v>
      </c>
      <c r="M936">
        <v>20</v>
      </c>
      <c r="N936" s="14">
        <v>80</v>
      </c>
      <c r="O936" t="s">
        <v>169</v>
      </c>
      <c r="P936">
        <v>5</v>
      </c>
      <c r="Q936" t="s">
        <v>326</v>
      </c>
      <c r="R936" t="s">
        <v>2065</v>
      </c>
      <c r="S936">
        <v>0</v>
      </c>
      <c r="T936">
        <v>0</v>
      </c>
      <c r="U936" t="s">
        <v>2290</v>
      </c>
      <c r="V936" t="s">
        <v>2291</v>
      </c>
      <c r="W936" t="s">
        <v>2292</v>
      </c>
      <c r="X936" t="s">
        <v>2288</v>
      </c>
      <c r="Y936" t="s">
        <v>2293</v>
      </c>
      <c r="Z936" t="s">
        <v>2315</v>
      </c>
      <c r="AA936">
        <v>10</v>
      </c>
      <c r="AB936" s="14">
        <v>80</v>
      </c>
      <c r="AC936" t="s">
        <v>2316</v>
      </c>
      <c r="AD936" t="s">
        <v>2317</v>
      </c>
      <c r="AE936" t="s">
        <v>2643</v>
      </c>
      <c r="AF936">
        <v>1</v>
      </c>
      <c r="AG936">
        <v>1</v>
      </c>
      <c r="AH936">
        <v>5</v>
      </c>
      <c r="AI936">
        <v>1</v>
      </c>
      <c r="AJ936">
        <v>1</v>
      </c>
      <c r="AK936">
        <v>0</v>
      </c>
      <c r="AL936">
        <v>1</v>
      </c>
      <c r="AM936" s="14">
        <v>0</v>
      </c>
      <c r="AN936" t="s">
        <v>2644</v>
      </c>
      <c r="AO936" s="12">
        <v>46174</v>
      </c>
      <c r="AP936">
        <v>2026</v>
      </c>
      <c r="AQ936">
        <v>6</v>
      </c>
      <c r="AR936" t="s">
        <v>2653</v>
      </c>
    </row>
    <row r="937" spans="1:44">
      <c r="A937" t="s">
        <v>2261</v>
      </c>
      <c r="B937" s="12">
        <v>46203</v>
      </c>
      <c r="C937" s="12">
        <v>46185</v>
      </c>
      <c r="D937" t="s">
        <v>541</v>
      </c>
      <c r="E937" t="s">
        <v>268</v>
      </c>
      <c r="F937" t="s">
        <v>409</v>
      </c>
      <c r="G937" t="s">
        <v>552</v>
      </c>
      <c r="H937" t="s">
        <v>115</v>
      </c>
      <c r="I937" t="s">
        <v>299</v>
      </c>
      <c r="J937" s="13">
        <v>0.5</v>
      </c>
      <c r="K937" s="13">
        <v>0.50624999999999998</v>
      </c>
      <c r="L937" s="13">
        <v>0.52777777777777779</v>
      </c>
      <c r="M937">
        <v>60</v>
      </c>
      <c r="N937" s="14">
        <v>150</v>
      </c>
      <c r="O937" t="s">
        <v>195</v>
      </c>
      <c r="P937">
        <v>5</v>
      </c>
      <c r="Q937" t="s">
        <v>262</v>
      </c>
      <c r="R937" t="s">
        <v>2065</v>
      </c>
      <c r="S937">
        <v>0</v>
      </c>
      <c r="T937">
        <v>0</v>
      </c>
      <c r="U937" t="s">
        <v>2285</v>
      </c>
      <c r="V937" t="s">
        <v>2286</v>
      </c>
      <c r="W937" t="s">
        <v>2287</v>
      </c>
      <c r="X937" t="s">
        <v>2288</v>
      </c>
      <c r="Y937" t="s">
        <v>2289</v>
      </c>
      <c r="Z937" t="s">
        <v>2318</v>
      </c>
      <c r="AA937">
        <v>28</v>
      </c>
      <c r="AB937" s="14">
        <v>150</v>
      </c>
      <c r="AC937" t="s">
        <v>2319</v>
      </c>
      <c r="AD937" t="s">
        <v>2320</v>
      </c>
      <c r="AE937" t="s">
        <v>2643</v>
      </c>
      <c r="AF937">
        <v>18</v>
      </c>
      <c r="AG937">
        <v>1</v>
      </c>
      <c r="AH937">
        <v>31</v>
      </c>
      <c r="AI937">
        <v>0</v>
      </c>
      <c r="AJ937">
        <v>1</v>
      </c>
      <c r="AK937">
        <v>0</v>
      </c>
      <c r="AL937">
        <v>1</v>
      </c>
      <c r="AM937" s="14">
        <v>0</v>
      </c>
      <c r="AN937" t="s">
        <v>2644</v>
      </c>
      <c r="AO937" s="12">
        <v>46174</v>
      </c>
      <c r="AP937">
        <v>2026</v>
      </c>
      <c r="AQ937">
        <v>6</v>
      </c>
      <c r="AR937" t="s">
        <v>2653</v>
      </c>
    </row>
    <row r="938" spans="1:44">
      <c r="A938" t="s">
        <v>2262</v>
      </c>
      <c r="B938" s="12">
        <v>46196</v>
      </c>
      <c r="C938" s="12">
        <v>46190</v>
      </c>
      <c r="D938" t="s">
        <v>2165</v>
      </c>
      <c r="E938" t="s">
        <v>268</v>
      </c>
      <c r="F938" t="s">
        <v>269</v>
      </c>
      <c r="G938" t="s">
        <v>270</v>
      </c>
      <c r="H938" t="s">
        <v>115</v>
      </c>
      <c r="I938" t="s">
        <v>299</v>
      </c>
      <c r="J938" s="13">
        <v>0.375</v>
      </c>
      <c r="K938" s="13">
        <v>0.37916666666666665</v>
      </c>
      <c r="L938" s="13">
        <v>0.39444444444444443</v>
      </c>
      <c r="M938">
        <v>30</v>
      </c>
      <c r="N938" s="14">
        <v>80</v>
      </c>
      <c r="O938" t="s">
        <v>195</v>
      </c>
      <c r="P938">
        <v>5</v>
      </c>
      <c r="Q938" t="s">
        <v>326</v>
      </c>
      <c r="R938" t="s">
        <v>2065</v>
      </c>
      <c r="S938">
        <v>0</v>
      </c>
      <c r="T938">
        <v>0</v>
      </c>
      <c r="U938" t="s">
        <v>2285</v>
      </c>
      <c r="V938" t="s">
        <v>2286</v>
      </c>
      <c r="W938" t="s">
        <v>2287</v>
      </c>
      <c r="X938" t="s">
        <v>2288</v>
      </c>
      <c r="Y938" t="s">
        <v>2289</v>
      </c>
      <c r="Z938" t="s">
        <v>2315</v>
      </c>
      <c r="AA938">
        <v>10</v>
      </c>
      <c r="AB938" s="14">
        <v>80</v>
      </c>
      <c r="AC938" t="s">
        <v>2316</v>
      </c>
      <c r="AD938" t="s">
        <v>2317</v>
      </c>
      <c r="AE938" t="s">
        <v>2643</v>
      </c>
      <c r="AF938">
        <v>6</v>
      </c>
      <c r="AG938">
        <v>1</v>
      </c>
      <c r="AH938">
        <v>22</v>
      </c>
      <c r="AI938">
        <v>1</v>
      </c>
      <c r="AJ938">
        <v>1</v>
      </c>
      <c r="AK938">
        <v>0</v>
      </c>
      <c r="AL938">
        <v>1</v>
      </c>
      <c r="AM938" s="14">
        <v>0</v>
      </c>
      <c r="AN938" t="s">
        <v>2644</v>
      </c>
      <c r="AO938" s="12">
        <v>46174</v>
      </c>
      <c r="AP938">
        <v>2026</v>
      </c>
      <c r="AQ938">
        <v>6</v>
      </c>
      <c r="AR938" t="s">
        <v>2653</v>
      </c>
    </row>
    <row r="939" spans="1:44">
      <c r="A939" t="s">
        <v>2263</v>
      </c>
      <c r="B939" s="12">
        <v>46189</v>
      </c>
      <c r="C939" s="12">
        <v>46153</v>
      </c>
      <c r="D939" t="s">
        <v>1816</v>
      </c>
      <c r="E939" t="s">
        <v>339</v>
      </c>
      <c r="F939" t="s">
        <v>282</v>
      </c>
      <c r="G939" t="s">
        <v>461</v>
      </c>
      <c r="H939" t="s">
        <v>115</v>
      </c>
      <c r="I939" t="s">
        <v>299</v>
      </c>
      <c r="J939" s="13">
        <v>0.625</v>
      </c>
      <c r="K939" s="13">
        <v>0.63472222222222219</v>
      </c>
      <c r="L939" s="13">
        <v>0.62916666666666665</v>
      </c>
      <c r="M939">
        <v>60</v>
      </c>
      <c r="N939" s="14">
        <v>120</v>
      </c>
      <c r="O939" t="s">
        <v>169</v>
      </c>
      <c r="P939">
        <v>3</v>
      </c>
      <c r="Q939" t="s">
        <v>318</v>
      </c>
      <c r="R939" t="s">
        <v>2065</v>
      </c>
      <c r="S939">
        <v>0</v>
      </c>
      <c r="T939">
        <v>0</v>
      </c>
      <c r="U939" t="s">
        <v>2294</v>
      </c>
      <c r="V939" t="s">
        <v>2295</v>
      </c>
      <c r="W939" t="s">
        <v>2296</v>
      </c>
      <c r="X939" t="s">
        <v>2297</v>
      </c>
      <c r="Y939" t="s">
        <v>2298</v>
      </c>
      <c r="Z939" t="s">
        <v>2309</v>
      </c>
      <c r="AA939">
        <v>14</v>
      </c>
      <c r="AB939" s="14">
        <v>120</v>
      </c>
      <c r="AC939" t="s">
        <v>2310</v>
      </c>
      <c r="AD939" t="s">
        <v>2311</v>
      </c>
      <c r="AE939" t="s">
        <v>2643</v>
      </c>
      <c r="AF939">
        <v>36</v>
      </c>
      <c r="AG939">
        <v>0</v>
      </c>
      <c r="AJ939">
        <v>1</v>
      </c>
      <c r="AK939">
        <v>0</v>
      </c>
      <c r="AL939">
        <v>1</v>
      </c>
      <c r="AM939" s="14">
        <v>0</v>
      </c>
      <c r="AN939" t="s">
        <v>2644</v>
      </c>
      <c r="AO939" s="12">
        <v>46174</v>
      </c>
      <c r="AP939">
        <v>2026</v>
      </c>
      <c r="AQ939">
        <v>6</v>
      </c>
      <c r="AR939" t="s">
        <v>2653</v>
      </c>
    </row>
    <row r="940" spans="1:44">
      <c r="A940" t="s">
        <v>2264</v>
      </c>
      <c r="B940" s="12">
        <v>46175</v>
      </c>
      <c r="C940" s="12">
        <v>46147</v>
      </c>
      <c r="D940" t="s">
        <v>1110</v>
      </c>
      <c r="E940" t="s">
        <v>268</v>
      </c>
      <c r="F940" t="s">
        <v>409</v>
      </c>
      <c r="G940" t="s">
        <v>587</v>
      </c>
      <c r="H940" t="s">
        <v>115</v>
      </c>
      <c r="I940" t="s">
        <v>271</v>
      </c>
      <c r="J940" s="13">
        <v>0.47916666666666669</v>
      </c>
      <c r="K940" s="13">
        <v>0.47569444444444442</v>
      </c>
      <c r="L940" s="13">
        <v>0.49027777777777776</v>
      </c>
      <c r="M940">
        <v>30</v>
      </c>
      <c r="N940" s="14">
        <v>150</v>
      </c>
      <c r="O940" t="s">
        <v>169</v>
      </c>
      <c r="P940">
        <v>4</v>
      </c>
      <c r="Q940" t="s">
        <v>326</v>
      </c>
      <c r="R940" t="s">
        <v>2065</v>
      </c>
      <c r="S940">
        <v>0</v>
      </c>
      <c r="T940">
        <v>0</v>
      </c>
      <c r="U940" t="s">
        <v>2285</v>
      </c>
      <c r="V940" t="s">
        <v>2286</v>
      </c>
      <c r="W940" t="s">
        <v>2287</v>
      </c>
      <c r="X940" t="s">
        <v>2288</v>
      </c>
      <c r="Y940" t="s">
        <v>2289</v>
      </c>
      <c r="Z940" t="s">
        <v>2318</v>
      </c>
      <c r="AA940">
        <v>28</v>
      </c>
      <c r="AB940" s="14">
        <v>150</v>
      </c>
      <c r="AC940" t="s">
        <v>2319</v>
      </c>
      <c r="AD940" t="s">
        <v>2320</v>
      </c>
      <c r="AE940" t="s">
        <v>2643</v>
      </c>
      <c r="AF940">
        <v>28</v>
      </c>
      <c r="AG940">
        <v>1</v>
      </c>
      <c r="AH940">
        <v>21</v>
      </c>
      <c r="AI940">
        <v>1</v>
      </c>
      <c r="AJ940">
        <v>1</v>
      </c>
      <c r="AK940">
        <v>0</v>
      </c>
      <c r="AL940">
        <v>1</v>
      </c>
      <c r="AM940" s="14">
        <v>0</v>
      </c>
      <c r="AN940" t="s">
        <v>2644</v>
      </c>
      <c r="AO940" s="12">
        <v>46174</v>
      </c>
      <c r="AP940">
        <v>2026</v>
      </c>
      <c r="AQ940">
        <v>6</v>
      </c>
      <c r="AR940" t="s">
        <v>2653</v>
      </c>
    </row>
    <row r="941" spans="1:44">
      <c r="A941" t="s">
        <v>2265</v>
      </c>
      <c r="B941" s="12">
        <v>46176</v>
      </c>
      <c r="C941" s="12">
        <v>46167</v>
      </c>
      <c r="D941" t="s">
        <v>254</v>
      </c>
      <c r="E941" t="s">
        <v>339</v>
      </c>
      <c r="F941" t="s">
        <v>269</v>
      </c>
      <c r="G941" t="s">
        <v>340</v>
      </c>
      <c r="H941" t="s">
        <v>127</v>
      </c>
      <c r="I941" t="s">
        <v>258</v>
      </c>
      <c r="J941" s="13">
        <v>0.64583333333333337</v>
      </c>
      <c r="K941" s="13"/>
      <c r="L941" s="13"/>
      <c r="M941">
        <v>0</v>
      </c>
      <c r="N941" s="14">
        <v>80</v>
      </c>
      <c r="O941" t="s">
        <v>195</v>
      </c>
      <c r="Q941" t="s">
        <v>318</v>
      </c>
      <c r="R941" t="s">
        <v>2065</v>
      </c>
      <c r="S941">
        <v>0</v>
      </c>
      <c r="T941">
        <v>0</v>
      </c>
      <c r="U941" t="s">
        <v>2294</v>
      </c>
      <c r="V941" t="s">
        <v>2295</v>
      </c>
      <c r="W941" t="s">
        <v>2296</v>
      </c>
      <c r="X941" t="s">
        <v>2297</v>
      </c>
      <c r="Y941" t="s">
        <v>2298</v>
      </c>
      <c r="Z941" t="s">
        <v>2315</v>
      </c>
      <c r="AA941">
        <v>10</v>
      </c>
      <c r="AB941" s="14">
        <v>80</v>
      </c>
      <c r="AC941" t="s">
        <v>2316</v>
      </c>
      <c r="AD941" t="s">
        <v>2317</v>
      </c>
      <c r="AE941" t="s">
        <v>2643</v>
      </c>
      <c r="AF941">
        <v>9</v>
      </c>
      <c r="AG941">
        <v>1</v>
      </c>
      <c r="AJ941">
        <v>0</v>
      </c>
      <c r="AL941">
        <v>1</v>
      </c>
      <c r="AM941" s="14">
        <v>0</v>
      </c>
      <c r="AN941" t="s">
        <v>2644</v>
      </c>
      <c r="AO941" s="12">
        <v>46174</v>
      </c>
      <c r="AP941">
        <v>2026</v>
      </c>
      <c r="AQ941">
        <v>6</v>
      </c>
      <c r="AR941" t="s">
        <v>2653</v>
      </c>
    </row>
    <row r="942" spans="1:44">
      <c r="A942" t="s">
        <v>2266</v>
      </c>
      <c r="B942" s="12">
        <v>46187</v>
      </c>
      <c r="C942" s="12">
        <v>46138</v>
      </c>
      <c r="D942" t="s">
        <v>546</v>
      </c>
      <c r="E942" t="s">
        <v>268</v>
      </c>
      <c r="F942" t="s">
        <v>282</v>
      </c>
      <c r="G942" t="s">
        <v>505</v>
      </c>
      <c r="H942" t="s">
        <v>127</v>
      </c>
      <c r="I942" t="s">
        <v>258</v>
      </c>
      <c r="J942" s="13">
        <v>0.52083333333333337</v>
      </c>
      <c r="K942" s="13"/>
      <c r="L942" s="13"/>
      <c r="M942">
        <v>0</v>
      </c>
      <c r="N942" s="14">
        <v>120</v>
      </c>
      <c r="O942" t="s">
        <v>195</v>
      </c>
      <c r="Q942" t="s">
        <v>262</v>
      </c>
      <c r="R942" t="s">
        <v>2065</v>
      </c>
      <c r="S942">
        <v>0</v>
      </c>
      <c r="T942">
        <v>0</v>
      </c>
      <c r="U942" t="s">
        <v>2285</v>
      </c>
      <c r="V942" t="s">
        <v>2286</v>
      </c>
      <c r="W942" t="s">
        <v>2287</v>
      </c>
      <c r="X942" t="s">
        <v>2288</v>
      </c>
      <c r="Y942" t="s">
        <v>2289</v>
      </c>
      <c r="Z942" t="s">
        <v>2309</v>
      </c>
      <c r="AA942">
        <v>14</v>
      </c>
      <c r="AB942" s="14">
        <v>120</v>
      </c>
      <c r="AC942" t="s">
        <v>2310</v>
      </c>
      <c r="AD942" t="s">
        <v>2311</v>
      </c>
      <c r="AE942" t="s">
        <v>2643</v>
      </c>
      <c r="AF942">
        <v>49</v>
      </c>
      <c r="AG942">
        <v>0</v>
      </c>
      <c r="AJ942">
        <v>0</v>
      </c>
      <c r="AL942">
        <v>1</v>
      </c>
      <c r="AM942" s="14">
        <v>0</v>
      </c>
      <c r="AN942" t="s">
        <v>2644</v>
      </c>
      <c r="AO942" s="12">
        <v>46174</v>
      </c>
      <c r="AP942">
        <v>2026</v>
      </c>
      <c r="AQ942">
        <v>6</v>
      </c>
      <c r="AR942" t="s">
        <v>2653</v>
      </c>
    </row>
    <row r="943" spans="1:44">
      <c r="A943" t="s">
        <v>2267</v>
      </c>
      <c r="B943" s="12">
        <v>46196</v>
      </c>
      <c r="C943" s="12">
        <v>46190</v>
      </c>
      <c r="D943" t="s">
        <v>1525</v>
      </c>
      <c r="E943" t="s">
        <v>339</v>
      </c>
      <c r="F943" t="s">
        <v>282</v>
      </c>
      <c r="G943" t="s">
        <v>461</v>
      </c>
      <c r="H943" t="s">
        <v>122</v>
      </c>
      <c r="I943" t="s">
        <v>258</v>
      </c>
      <c r="J943" s="13">
        <v>0.54166666666666663</v>
      </c>
      <c r="K943" s="13"/>
      <c r="L943" s="13"/>
      <c r="M943">
        <v>0</v>
      </c>
      <c r="N943" s="14">
        <v>120</v>
      </c>
      <c r="O943" t="s">
        <v>169</v>
      </c>
      <c r="Q943" t="s">
        <v>305</v>
      </c>
      <c r="R943" t="s">
        <v>2065</v>
      </c>
      <c r="S943">
        <v>0</v>
      </c>
      <c r="T943">
        <v>0</v>
      </c>
      <c r="U943" t="s">
        <v>2294</v>
      </c>
      <c r="V943" t="s">
        <v>2295</v>
      </c>
      <c r="W943" t="s">
        <v>2296</v>
      </c>
      <c r="X943" t="s">
        <v>2297</v>
      </c>
      <c r="Y943" t="s">
        <v>2298</v>
      </c>
      <c r="Z943" t="s">
        <v>2309</v>
      </c>
      <c r="AA943">
        <v>14</v>
      </c>
      <c r="AB943" s="14">
        <v>120</v>
      </c>
      <c r="AC943" t="s">
        <v>2310</v>
      </c>
      <c r="AD943" t="s">
        <v>2311</v>
      </c>
      <c r="AE943" t="s">
        <v>2643</v>
      </c>
      <c r="AF943">
        <v>6</v>
      </c>
      <c r="AG943">
        <v>1</v>
      </c>
      <c r="AJ943">
        <v>1</v>
      </c>
      <c r="AK943">
        <v>1</v>
      </c>
      <c r="AL943">
        <v>1</v>
      </c>
      <c r="AM943" s="14">
        <v>0</v>
      </c>
      <c r="AN943" t="s">
        <v>2644</v>
      </c>
      <c r="AO943" s="12">
        <v>46174</v>
      </c>
      <c r="AP943">
        <v>2026</v>
      </c>
      <c r="AQ943">
        <v>6</v>
      </c>
      <c r="AR943" t="s">
        <v>2653</v>
      </c>
    </row>
    <row r="944" spans="1:44">
      <c r="A944" t="s">
        <v>2268</v>
      </c>
      <c r="B944" s="12">
        <v>46174</v>
      </c>
      <c r="C944" s="12">
        <v>46134</v>
      </c>
      <c r="D944" t="s">
        <v>2165</v>
      </c>
      <c r="E944" t="s">
        <v>281</v>
      </c>
      <c r="F944" t="s">
        <v>282</v>
      </c>
      <c r="G944" t="s">
        <v>446</v>
      </c>
      <c r="H944" t="s">
        <v>115</v>
      </c>
      <c r="I944" t="s">
        <v>258</v>
      </c>
      <c r="J944" s="13">
        <v>0.47916666666666669</v>
      </c>
      <c r="K944" s="13">
        <v>0.48888888888888887</v>
      </c>
      <c r="L944" s="13">
        <v>0.50555555555555554</v>
      </c>
      <c r="M944">
        <v>60</v>
      </c>
      <c r="O944" t="s">
        <v>195</v>
      </c>
      <c r="P944">
        <v>5</v>
      </c>
      <c r="Q944" t="s">
        <v>318</v>
      </c>
      <c r="R944" t="s">
        <v>2065</v>
      </c>
      <c r="S944">
        <v>0</v>
      </c>
      <c r="T944">
        <v>0</v>
      </c>
      <c r="U944" t="s">
        <v>2290</v>
      </c>
      <c r="V944" t="s">
        <v>2291</v>
      </c>
      <c r="W944" t="s">
        <v>2292</v>
      </c>
      <c r="X944" t="s">
        <v>2288</v>
      </c>
      <c r="Y944" t="s">
        <v>2293</v>
      </c>
      <c r="Z944" t="s">
        <v>2309</v>
      </c>
      <c r="AA944">
        <v>14</v>
      </c>
      <c r="AB944" s="14">
        <v>120</v>
      </c>
      <c r="AC944" t="s">
        <v>2310</v>
      </c>
      <c r="AD944" t="s">
        <v>2311</v>
      </c>
      <c r="AE944" t="s">
        <v>2643</v>
      </c>
      <c r="AF944">
        <v>40</v>
      </c>
      <c r="AG944">
        <v>0</v>
      </c>
      <c r="AH944">
        <v>24</v>
      </c>
      <c r="AI944">
        <v>1</v>
      </c>
      <c r="AJ944">
        <v>1</v>
      </c>
      <c r="AK944">
        <v>0</v>
      </c>
      <c r="AL944">
        <v>0</v>
      </c>
      <c r="AN944" t="s">
        <v>2648</v>
      </c>
      <c r="AO944" s="12">
        <v>46174</v>
      </c>
      <c r="AP944">
        <v>2026</v>
      </c>
      <c r="AQ944">
        <v>6</v>
      </c>
      <c r="AR944" t="s">
        <v>2653</v>
      </c>
    </row>
    <row r="945" spans="1:44">
      <c r="A945" t="s">
        <v>2269</v>
      </c>
      <c r="B945" s="12">
        <v>46197</v>
      </c>
      <c r="C945" s="12">
        <v>46168</v>
      </c>
      <c r="D945" t="s">
        <v>677</v>
      </c>
      <c r="E945" t="s">
        <v>255</v>
      </c>
      <c r="F945" t="s">
        <v>256</v>
      </c>
      <c r="G945" t="s">
        <v>398</v>
      </c>
      <c r="H945" t="s">
        <v>122</v>
      </c>
      <c r="I945" t="s">
        <v>271</v>
      </c>
      <c r="J945" s="13">
        <v>0.45833333333333331</v>
      </c>
      <c r="K945" s="13"/>
      <c r="L945" s="13"/>
      <c r="M945">
        <v>0</v>
      </c>
      <c r="N945" s="14">
        <v>95</v>
      </c>
      <c r="O945" t="s">
        <v>195</v>
      </c>
      <c r="Q945" t="s">
        <v>326</v>
      </c>
      <c r="R945" t="s">
        <v>2065</v>
      </c>
      <c r="S945">
        <v>0</v>
      </c>
      <c r="T945">
        <v>0</v>
      </c>
      <c r="U945" t="s">
        <v>2299</v>
      </c>
      <c r="V945" t="s">
        <v>2295</v>
      </c>
      <c r="W945" t="s">
        <v>2300</v>
      </c>
      <c r="X945" t="s">
        <v>2288</v>
      </c>
      <c r="Y945" t="s">
        <v>2301</v>
      </c>
      <c r="Z945" t="s">
        <v>2312</v>
      </c>
      <c r="AA945">
        <v>21</v>
      </c>
      <c r="AB945" s="14">
        <v>95</v>
      </c>
      <c r="AC945" t="s">
        <v>2313</v>
      </c>
      <c r="AD945" t="s">
        <v>2314</v>
      </c>
      <c r="AE945" t="s">
        <v>2643</v>
      </c>
      <c r="AF945">
        <v>29</v>
      </c>
      <c r="AG945">
        <v>0</v>
      </c>
      <c r="AJ945">
        <v>1</v>
      </c>
      <c r="AK945">
        <v>1</v>
      </c>
      <c r="AL945">
        <v>1</v>
      </c>
      <c r="AM945" s="14">
        <v>0</v>
      </c>
      <c r="AN945" t="s">
        <v>2644</v>
      </c>
      <c r="AO945" s="12">
        <v>46174</v>
      </c>
      <c r="AP945">
        <v>2026</v>
      </c>
      <c r="AQ945">
        <v>6</v>
      </c>
      <c r="AR945" t="s">
        <v>2653</v>
      </c>
    </row>
    <row r="946" spans="1:44">
      <c r="A946" t="s">
        <v>2270</v>
      </c>
      <c r="B946" s="12">
        <v>46200</v>
      </c>
      <c r="C946" s="12">
        <v>46166</v>
      </c>
      <c r="D946" t="s">
        <v>2044</v>
      </c>
      <c r="E946" t="s">
        <v>255</v>
      </c>
      <c r="F946" t="s">
        <v>256</v>
      </c>
      <c r="G946" t="s">
        <v>398</v>
      </c>
      <c r="H946" t="s">
        <v>115</v>
      </c>
      <c r="I946" t="s">
        <v>299</v>
      </c>
      <c r="J946" s="13">
        <v>0.375</v>
      </c>
      <c r="K946" s="13">
        <v>0.37638888888888888</v>
      </c>
      <c r="L946" s="13">
        <v>0.39513888888888887</v>
      </c>
      <c r="M946">
        <v>30</v>
      </c>
      <c r="N946" s="14">
        <v>95</v>
      </c>
      <c r="O946" t="s">
        <v>195</v>
      </c>
      <c r="P946">
        <v>2</v>
      </c>
      <c r="Q946" t="s">
        <v>326</v>
      </c>
      <c r="R946" t="s">
        <v>2065</v>
      </c>
      <c r="S946">
        <v>0</v>
      </c>
      <c r="T946">
        <v>0</v>
      </c>
      <c r="U946" t="s">
        <v>2299</v>
      </c>
      <c r="V946" t="s">
        <v>2295</v>
      </c>
      <c r="W946" t="s">
        <v>2300</v>
      </c>
      <c r="X946" t="s">
        <v>2288</v>
      </c>
      <c r="Y946" t="s">
        <v>2301</v>
      </c>
      <c r="Z946" t="s">
        <v>2312</v>
      </c>
      <c r="AA946">
        <v>21</v>
      </c>
      <c r="AB946" s="14">
        <v>95</v>
      </c>
      <c r="AC946" t="s">
        <v>2313</v>
      </c>
      <c r="AD946" t="s">
        <v>2314</v>
      </c>
      <c r="AE946" t="s">
        <v>2643</v>
      </c>
      <c r="AF946">
        <v>34</v>
      </c>
      <c r="AG946">
        <v>0</v>
      </c>
      <c r="AH946">
        <v>27</v>
      </c>
      <c r="AI946">
        <v>1</v>
      </c>
      <c r="AJ946">
        <v>1</v>
      </c>
      <c r="AK946">
        <v>0</v>
      </c>
      <c r="AL946">
        <v>1</v>
      </c>
      <c r="AM946" s="14">
        <v>0</v>
      </c>
      <c r="AN946" t="s">
        <v>2644</v>
      </c>
      <c r="AO946" s="12">
        <v>46174</v>
      </c>
      <c r="AP946">
        <v>2026</v>
      </c>
      <c r="AQ946">
        <v>6</v>
      </c>
      <c r="AR946" t="s">
        <v>2653</v>
      </c>
    </row>
    <row r="947" spans="1:44">
      <c r="A947" t="s">
        <v>2271</v>
      </c>
      <c r="B947" s="12">
        <v>46176</v>
      </c>
      <c r="C947" s="12">
        <v>46175</v>
      </c>
      <c r="D947" t="s">
        <v>1209</v>
      </c>
      <c r="E947" t="s">
        <v>268</v>
      </c>
      <c r="F947" t="s">
        <v>256</v>
      </c>
      <c r="G947" t="s">
        <v>419</v>
      </c>
      <c r="H947" t="s">
        <v>115</v>
      </c>
      <c r="I947" t="s">
        <v>316</v>
      </c>
      <c r="J947" s="13">
        <v>0.33333333333333331</v>
      </c>
      <c r="K947" s="13">
        <v>0.33750000000000002</v>
      </c>
      <c r="L947" s="13">
        <v>0.34097222222222223</v>
      </c>
      <c r="M947">
        <v>30</v>
      </c>
      <c r="N947" s="14">
        <v>95</v>
      </c>
      <c r="O947" t="s">
        <v>195</v>
      </c>
      <c r="P947">
        <v>4</v>
      </c>
      <c r="Q947" t="s">
        <v>318</v>
      </c>
      <c r="R947" t="s">
        <v>2065</v>
      </c>
      <c r="S947">
        <v>0</v>
      </c>
      <c r="T947">
        <v>0</v>
      </c>
      <c r="U947" t="s">
        <v>2285</v>
      </c>
      <c r="V947" t="s">
        <v>2286</v>
      </c>
      <c r="W947" t="s">
        <v>2287</v>
      </c>
      <c r="X947" t="s">
        <v>2288</v>
      </c>
      <c r="Y947" t="s">
        <v>2289</v>
      </c>
      <c r="Z947" t="s">
        <v>2312</v>
      </c>
      <c r="AA947">
        <v>21</v>
      </c>
      <c r="AB947" s="14">
        <v>95</v>
      </c>
      <c r="AC947" t="s">
        <v>2313</v>
      </c>
      <c r="AD947" t="s">
        <v>2314</v>
      </c>
      <c r="AE947" t="s">
        <v>2643</v>
      </c>
      <c r="AF947">
        <v>1</v>
      </c>
      <c r="AG947">
        <v>1</v>
      </c>
      <c r="AH947">
        <v>5</v>
      </c>
      <c r="AI947">
        <v>1</v>
      </c>
      <c r="AJ947">
        <v>1</v>
      </c>
      <c r="AK947">
        <v>0</v>
      </c>
      <c r="AL947">
        <v>1</v>
      </c>
      <c r="AM947" s="14">
        <v>0</v>
      </c>
      <c r="AN947" t="s">
        <v>2644</v>
      </c>
      <c r="AO947" s="12">
        <v>46174</v>
      </c>
      <c r="AP947">
        <v>2026</v>
      </c>
      <c r="AQ947">
        <v>6</v>
      </c>
      <c r="AR947" t="s">
        <v>2653</v>
      </c>
    </row>
    <row r="948" spans="1:44">
      <c r="A948" t="s">
        <v>2272</v>
      </c>
      <c r="B948" s="12">
        <v>46197</v>
      </c>
      <c r="C948" s="12">
        <v>46176</v>
      </c>
      <c r="D948" t="s">
        <v>1077</v>
      </c>
      <c r="E948" t="s">
        <v>268</v>
      </c>
      <c r="F948" t="s">
        <v>269</v>
      </c>
      <c r="G948" t="s">
        <v>270</v>
      </c>
      <c r="H948" t="s">
        <v>127</v>
      </c>
      <c r="I948" t="s">
        <v>258</v>
      </c>
      <c r="J948" s="13">
        <v>0.64583333333333337</v>
      </c>
      <c r="K948" s="13"/>
      <c r="L948" s="13"/>
      <c r="M948">
        <v>0</v>
      </c>
      <c r="N948" s="14">
        <v>80</v>
      </c>
      <c r="O948" t="s">
        <v>195</v>
      </c>
      <c r="Q948" t="s">
        <v>326</v>
      </c>
      <c r="R948" t="s">
        <v>2065</v>
      </c>
      <c r="S948">
        <v>0</v>
      </c>
      <c r="T948">
        <v>0</v>
      </c>
      <c r="U948" t="s">
        <v>2285</v>
      </c>
      <c r="V948" t="s">
        <v>2286</v>
      </c>
      <c r="W948" t="s">
        <v>2287</v>
      </c>
      <c r="X948" t="s">
        <v>2288</v>
      </c>
      <c r="Y948" t="s">
        <v>2289</v>
      </c>
      <c r="Z948" t="s">
        <v>2315</v>
      </c>
      <c r="AA948">
        <v>10</v>
      </c>
      <c r="AB948" s="14">
        <v>80</v>
      </c>
      <c r="AC948" t="s">
        <v>2316</v>
      </c>
      <c r="AD948" t="s">
        <v>2317</v>
      </c>
      <c r="AE948" t="s">
        <v>2643</v>
      </c>
      <c r="AF948">
        <v>21</v>
      </c>
      <c r="AG948">
        <v>0</v>
      </c>
      <c r="AJ948">
        <v>0</v>
      </c>
      <c r="AL948">
        <v>1</v>
      </c>
      <c r="AM948" s="14">
        <v>0</v>
      </c>
      <c r="AN948" t="s">
        <v>2644</v>
      </c>
      <c r="AO948" s="12">
        <v>46174</v>
      </c>
      <c r="AP948">
        <v>2026</v>
      </c>
      <c r="AQ948">
        <v>6</v>
      </c>
      <c r="AR948" t="s">
        <v>2653</v>
      </c>
    </row>
    <row r="949" spans="1:44">
      <c r="A949" t="s">
        <v>2273</v>
      </c>
      <c r="B949" s="12">
        <v>46199</v>
      </c>
      <c r="C949" s="12">
        <v>46161</v>
      </c>
      <c r="D949" t="s">
        <v>1508</v>
      </c>
      <c r="E949" t="s">
        <v>268</v>
      </c>
      <c r="F949" t="s">
        <v>297</v>
      </c>
      <c r="G949" t="s">
        <v>628</v>
      </c>
      <c r="H949" t="s">
        <v>115</v>
      </c>
      <c r="I949" t="s">
        <v>258</v>
      </c>
      <c r="J949" s="13">
        <v>0.52083333333333337</v>
      </c>
      <c r="K949" s="13">
        <v>0.51597222222222228</v>
      </c>
      <c r="L949" s="13">
        <v>0.5395833333333333</v>
      </c>
      <c r="M949">
        <v>30</v>
      </c>
      <c r="N949" s="14">
        <v>65</v>
      </c>
      <c r="O949" t="s">
        <v>195</v>
      </c>
      <c r="P949">
        <v>2</v>
      </c>
      <c r="Q949" t="s">
        <v>305</v>
      </c>
      <c r="R949" t="s">
        <v>2065</v>
      </c>
      <c r="S949">
        <v>0</v>
      </c>
      <c r="T949">
        <v>0</v>
      </c>
      <c r="U949" t="s">
        <v>2285</v>
      </c>
      <c r="V949" t="s">
        <v>2286</v>
      </c>
      <c r="W949" t="s">
        <v>2287</v>
      </c>
      <c r="X949" t="s">
        <v>2288</v>
      </c>
      <c r="Y949" t="s">
        <v>2289</v>
      </c>
      <c r="Z949" t="s">
        <v>2306</v>
      </c>
      <c r="AA949">
        <v>7</v>
      </c>
      <c r="AB949" s="14">
        <v>65</v>
      </c>
      <c r="AC949" t="s">
        <v>2307</v>
      </c>
      <c r="AD949" t="s">
        <v>2308</v>
      </c>
      <c r="AE949" t="s">
        <v>2643</v>
      </c>
      <c r="AF949">
        <v>38</v>
      </c>
      <c r="AG949">
        <v>0</v>
      </c>
      <c r="AH949">
        <v>34</v>
      </c>
      <c r="AI949">
        <v>0</v>
      </c>
      <c r="AJ949">
        <v>1</v>
      </c>
      <c r="AK949">
        <v>0</v>
      </c>
      <c r="AL949">
        <v>1</v>
      </c>
      <c r="AM949" s="14">
        <v>0</v>
      </c>
      <c r="AN949" t="s">
        <v>2644</v>
      </c>
      <c r="AO949" s="12">
        <v>46174</v>
      </c>
      <c r="AP949">
        <v>2026</v>
      </c>
      <c r="AQ949">
        <v>6</v>
      </c>
      <c r="AR949" t="s">
        <v>2653</v>
      </c>
    </row>
    <row r="950" spans="1:44">
      <c r="A950" t="s">
        <v>2274</v>
      </c>
      <c r="B950" s="12">
        <v>46200</v>
      </c>
      <c r="C950" s="12">
        <v>46157</v>
      </c>
      <c r="D950" t="s">
        <v>1239</v>
      </c>
      <c r="E950" t="s">
        <v>339</v>
      </c>
      <c r="F950" t="s">
        <v>269</v>
      </c>
      <c r="G950" t="s">
        <v>528</v>
      </c>
      <c r="H950" t="s">
        <v>127</v>
      </c>
      <c r="I950" t="s">
        <v>271</v>
      </c>
      <c r="J950" s="13">
        <v>0.5625</v>
      </c>
      <c r="K950" s="13"/>
      <c r="L950" s="13"/>
      <c r="M950">
        <v>0</v>
      </c>
      <c r="N950" s="14">
        <v>80</v>
      </c>
      <c r="O950" t="s">
        <v>195</v>
      </c>
      <c r="Q950" t="s">
        <v>326</v>
      </c>
      <c r="R950" t="s">
        <v>2065</v>
      </c>
      <c r="S950">
        <v>0</v>
      </c>
      <c r="T950">
        <v>0</v>
      </c>
      <c r="U950" t="s">
        <v>2294</v>
      </c>
      <c r="V950" t="s">
        <v>2295</v>
      </c>
      <c r="W950" t="s">
        <v>2296</v>
      </c>
      <c r="X950" t="s">
        <v>2297</v>
      </c>
      <c r="Y950" t="s">
        <v>2298</v>
      </c>
      <c r="Z950" t="s">
        <v>2315</v>
      </c>
      <c r="AA950">
        <v>10</v>
      </c>
      <c r="AB950" s="14">
        <v>80</v>
      </c>
      <c r="AC950" t="s">
        <v>2316</v>
      </c>
      <c r="AD950" t="s">
        <v>2317</v>
      </c>
      <c r="AE950" t="s">
        <v>2643</v>
      </c>
      <c r="AF950">
        <v>43</v>
      </c>
      <c r="AG950">
        <v>0</v>
      </c>
      <c r="AJ950">
        <v>0</v>
      </c>
      <c r="AL950">
        <v>1</v>
      </c>
      <c r="AM950" s="14">
        <v>0</v>
      </c>
      <c r="AN950" t="s">
        <v>2644</v>
      </c>
      <c r="AO950" s="12">
        <v>46174</v>
      </c>
      <c r="AP950">
        <v>2026</v>
      </c>
      <c r="AQ950">
        <v>6</v>
      </c>
      <c r="AR950" t="s">
        <v>2653</v>
      </c>
    </row>
    <row r="951" spans="1:44">
      <c r="A951" t="s">
        <v>2275</v>
      </c>
      <c r="B951" s="12">
        <v>46180</v>
      </c>
      <c r="C951" s="12">
        <v>46139</v>
      </c>
      <c r="D951" t="s">
        <v>468</v>
      </c>
      <c r="E951" t="s">
        <v>255</v>
      </c>
      <c r="F951" t="s">
        <v>269</v>
      </c>
      <c r="G951" t="s">
        <v>391</v>
      </c>
      <c r="H951" t="s">
        <v>115</v>
      </c>
      <c r="I951" t="s">
        <v>299</v>
      </c>
      <c r="J951" s="13">
        <v>0.45833333333333331</v>
      </c>
      <c r="K951" s="13">
        <v>0.46736111111111112</v>
      </c>
      <c r="L951" s="13">
        <v>0.46597222222222223</v>
      </c>
      <c r="M951">
        <v>45</v>
      </c>
      <c r="N951" s="14">
        <v>80</v>
      </c>
      <c r="O951" t="s">
        <v>195</v>
      </c>
      <c r="P951">
        <v>5</v>
      </c>
      <c r="Q951" t="s">
        <v>326</v>
      </c>
      <c r="R951" t="s">
        <v>2065</v>
      </c>
      <c r="S951">
        <v>0</v>
      </c>
      <c r="T951">
        <v>0</v>
      </c>
      <c r="U951" t="s">
        <v>2299</v>
      </c>
      <c r="V951" t="s">
        <v>2295</v>
      </c>
      <c r="W951" t="s">
        <v>2300</v>
      </c>
      <c r="X951" t="s">
        <v>2288</v>
      </c>
      <c r="Y951" t="s">
        <v>2301</v>
      </c>
      <c r="Z951" t="s">
        <v>2315</v>
      </c>
      <c r="AA951">
        <v>10</v>
      </c>
      <c r="AB951" s="14">
        <v>80</v>
      </c>
      <c r="AC951" t="s">
        <v>2316</v>
      </c>
      <c r="AD951" t="s">
        <v>2317</v>
      </c>
      <c r="AE951" t="s">
        <v>2643</v>
      </c>
      <c r="AF951">
        <v>41</v>
      </c>
      <c r="AG951">
        <v>0</v>
      </c>
      <c r="AJ951">
        <v>1</v>
      </c>
      <c r="AK951">
        <v>0</v>
      </c>
      <c r="AL951">
        <v>1</v>
      </c>
      <c r="AM951" s="14">
        <v>0</v>
      </c>
      <c r="AN951" t="s">
        <v>2644</v>
      </c>
      <c r="AO951" s="12">
        <v>46174</v>
      </c>
      <c r="AP951">
        <v>2026</v>
      </c>
      <c r="AQ951">
        <v>6</v>
      </c>
      <c r="AR951" t="s">
        <v>2653</v>
      </c>
    </row>
    <row r="952" spans="1:44">
      <c r="A952" t="s">
        <v>2276</v>
      </c>
      <c r="B952" s="12">
        <v>46198</v>
      </c>
      <c r="C952" s="12">
        <v>46176</v>
      </c>
      <c r="D952" t="s">
        <v>1022</v>
      </c>
      <c r="E952" t="s">
        <v>339</v>
      </c>
      <c r="F952" t="s">
        <v>297</v>
      </c>
      <c r="G952" t="s">
        <v>780</v>
      </c>
      <c r="H952" t="s">
        <v>122</v>
      </c>
      <c r="I952" t="s">
        <v>316</v>
      </c>
      <c r="J952" s="13">
        <v>0.47916666666666669</v>
      </c>
      <c r="K952" s="13"/>
      <c r="L952" s="13"/>
      <c r="M952">
        <v>0</v>
      </c>
      <c r="N952" s="14">
        <v>65</v>
      </c>
      <c r="O952" t="s">
        <v>169</v>
      </c>
      <c r="Q952" t="s">
        <v>262</v>
      </c>
      <c r="R952" t="s">
        <v>2065</v>
      </c>
      <c r="S952">
        <v>0</v>
      </c>
      <c r="T952">
        <v>0</v>
      </c>
      <c r="U952" t="s">
        <v>2294</v>
      </c>
      <c r="V952" t="s">
        <v>2295</v>
      </c>
      <c r="W952" t="s">
        <v>2296</v>
      </c>
      <c r="X952" t="s">
        <v>2297</v>
      </c>
      <c r="Y952" t="s">
        <v>2298</v>
      </c>
      <c r="Z952" t="s">
        <v>2306</v>
      </c>
      <c r="AA952">
        <v>7</v>
      </c>
      <c r="AB952" s="14">
        <v>65</v>
      </c>
      <c r="AC952" t="s">
        <v>2307</v>
      </c>
      <c r="AD952" t="s">
        <v>2308</v>
      </c>
      <c r="AE952" t="s">
        <v>2643</v>
      </c>
      <c r="AF952">
        <v>22</v>
      </c>
      <c r="AG952">
        <v>0</v>
      </c>
      <c r="AJ952">
        <v>1</v>
      </c>
      <c r="AK952">
        <v>1</v>
      </c>
      <c r="AL952">
        <v>1</v>
      </c>
      <c r="AM952" s="14">
        <v>0</v>
      </c>
      <c r="AN952" t="s">
        <v>2644</v>
      </c>
      <c r="AO952" s="12">
        <v>46174</v>
      </c>
      <c r="AP952">
        <v>2026</v>
      </c>
      <c r="AQ952">
        <v>6</v>
      </c>
      <c r="AR952" t="s">
        <v>2653</v>
      </c>
    </row>
    <row r="953" spans="1:44">
      <c r="A953" t="s">
        <v>2277</v>
      </c>
      <c r="B953" s="12">
        <v>46191</v>
      </c>
      <c r="C953" s="12">
        <v>46139</v>
      </c>
      <c r="D953" t="s">
        <v>563</v>
      </c>
      <c r="E953" t="s">
        <v>268</v>
      </c>
      <c r="G953" t="s">
        <v>505</v>
      </c>
      <c r="H953" t="s">
        <v>127</v>
      </c>
      <c r="I953" t="s">
        <v>316</v>
      </c>
      <c r="J953" s="13">
        <v>0.35416666666666669</v>
      </c>
      <c r="K953" s="13"/>
      <c r="L953" s="13"/>
      <c r="M953">
        <v>0</v>
      </c>
      <c r="N953" s="14">
        <v>120</v>
      </c>
      <c r="O953" t="s">
        <v>195</v>
      </c>
      <c r="Q953" t="s">
        <v>305</v>
      </c>
      <c r="R953" t="s">
        <v>2065</v>
      </c>
      <c r="S953">
        <v>0</v>
      </c>
      <c r="T953">
        <v>1</v>
      </c>
      <c r="U953" t="s">
        <v>2285</v>
      </c>
      <c r="V953" t="s">
        <v>2286</v>
      </c>
      <c r="W953" t="s">
        <v>2287</v>
      </c>
      <c r="X953" t="s">
        <v>2288</v>
      </c>
      <c r="Y953" t="s">
        <v>2289</v>
      </c>
      <c r="AE953" t="s">
        <v>2646</v>
      </c>
      <c r="AF953">
        <v>52</v>
      </c>
      <c r="AJ953">
        <v>0</v>
      </c>
      <c r="AL953">
        <v>1</v>
      </c>
      <c r="AN953" t="s">
        <v>2647</v>
      </c>
      <c r="AO953" s="12">
        <v>46174</v>
      </c>
      <c r="AP953">
        <v>2026</v>
      </c>
      <c r="AQ953">
        <v>6</v>
      </c>
      <c r="AR953" t="s">
        <v>2653</v>
      </c>
    </row>
    <row r="954" spans="1:44">
      <c r="A954" t="s">
        <v>2278</v>
      </c>
      <c r="B954" s="12">
        <v>46185</v>
      </c>
      <c r="C954" s="12">
        <v>46184</v>
      </c>
      <c r="D954" t="s">
        <v>839</v>
      </c>
      <c r="E954" t="s">
        <v>339</v>
      </c>
      <c r="F954" t="s">
        <v>297</v>
      </c>
      <c r="G954" t="s">
        <v>780</v>
      </c>
      <c r="H954" t="s">
        <v>115</v>
      </c>
      <c r="I954" t="s">
        <v>258</v>
      </c>
      <c r="J954" s="13">
        <v>0.39583333333333331</v>
      </c>
      <c r="K954" s="13">
        <v>0.40347222222222223</v>
      </c>
      <c r="L954" s="13">
        <v>0.40347222222222223</v>
      </c>
      <c r="M954">
        <v>30</v>
      </c>
      <c r="N954" s="14">
        <v>65</v>
      </c>
      <c r="O954" t="s">
        <v>195</v>
      </c>
      <c r="P954">
        <v>2</v>
      </c>
      <c r="Q954" t="s">
        <v>305</v>
      </c>
      <c r="R954" t="s">
        <v>2065</v>
      </c>
      <c r="S954">
        <v>0</v>
      </c>
      <c r="T954">
        <v>0</v>
      </c>
      <c r="U954" t="s">
        <v>2294</v>
      </c>
      <c r="V954" t="s">
        <v>2295</v>
      </c>
      <c r="W954" t="s">
        <v>2296</v>
      </c>
      <c r="X954" t="s">
        <v>2297</v>
      </c>
      <c r="Y954" t="s">
        <v>2298</v>
      </c>
      <c r="Z954" t="s">
        <v>2306</v>
      </c>
      <c r="AA954">
        <v>7</v>
      </c>
      <c r="AB954" s="14">
        <v>65</v>
      </c>
      <c r="AC954" t="s">
        <v>2307</v>
      </c>
      <c r="AD954" t="s">
        <v>2308</v>
      </c>
      <c r="AE954" t="s">
        <v>2643</v>
      </c>
      <c r="AF954">
        <v>1</v>
      </c>
      <c r="AG954">
        <v>1</v>
      </c>
      <c r="AH954">
        <v>0</v>
      </c>
      <c r="AI954">
        <v>1</v>
      </c>
      <c r="AJ954">
        <v>1</v>
      </c>
      <c r="AK954">
        <v>0</v>
      </c>
      <c r="AL954">
        <v>1</v>
      </c>
      <c r="AM954" s="14">
        <v>0</v>
      </c>
      <c r="AN954" t="s">
        <v>2644</v>
      </c>
      <c r="AO954" s="12">
        <v>46174</v>
      </c>
      <c r="AP954">
        <v>2026</v>
      </c>
      <c r="AQ954">
        <v>6</v>
      </c>
      <c r="AR954" t="s">
        <v>2653</v>
      </c>
    </row>
    <row r="955" spans="1:44">
      <c r="A955" t="s">
        <v>2279</v>
      </c>
      <c r="B955" s="12">
        <v>46175</v>
      </c>
      <c r="C955" s="12">
        <v>46124</v>
      </c>
      <c r="D955" t="s">
        <v>397</v>
      </c>
      <c r="E955" t="s">
        <v>339</v>
      </c>
      <c r="F955" t="s">
        <v>297</v>
      </c>
      <c r="G955" t="s">
        <v>569</v>
      </c>
      <c r="H955" t="s">
        <v>127</v>
      </c>
      <c r="I955" t="s">
        <v>271</v>
      </c>
      <c r="J955" s="13">
        <v>0.33333333333333331</v>
      </c>
      <c r="K955" s="13"/>
      <c r="L955" s="13"/>
      <c r="M955">
        <v>0</v>
      </c>
      <c r="N955" s="14">
        <v>65</v>
      </c>
      <c r="O955" t="s">
        <v>169</v>
      </c>
      <c r="Q955" t="s">
        <v>326</v>
      </c>
      <c r="R955" t="s">
        <v>2065</v>
      </c>
      <c r="S955">
        <v>0</v>
      </c>
      <c r="T955">
        <v>0</v>
      </c>
      <c r="U955" t="s">
        <v>2294</v>
      </c>
      <c r="V955" t="s">
        <v>2295</v>
      </c>
      <c r="W955" t="s">
        <v>2296</v>
      </c>
      <c r="X955" t="s">
        <v>2297</v>
      </c>
      <c r="Y955" t="s">
        <v>2298</v>
      </c>
      <c r="Z955" t="s">
        <v>2306</v>
      </c>
      <c r="AA955">
        <v>7</v>
      </c>
      <c r="AB955" s="14">
        <v>65</v>
      </c>
      <c r="AC955" t="s">
        <v>2307</v>
      </c>
      <c r="AD955" t="s">
        <v>2308</v>
      </c>
      <c r="AE955" t="s">
        <v>2643</v>
      </c>
      <c r="AF955">
        <v>51</v>
      </c>
      <c r="AG955">
        <v>0</v>
      </c>
      <c r="AJ955">
        <v>0</v>
      </c>
      <c r="AL955">
        <v>1</v>
      </c>
      <c r="AM955" s="14">
        <v>0</v>
      </c>
      <c r="AN955" t="s">
        <v>2644</v>
      </c>
      <c r="AO955" s="12">
        <v>46174</v>
      </c>
      <c r="AP955">
        <v>2026</v>
      </c>
      <c r="AQ955">
        <v>6</v>
      </c>
      <c r="AR955" t="s">
        <v>2653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13"/>
  <sheetViews>
    <sheetView showGridLines="0" topLeftCell="B1" workbookViewId="0">
      <selection activeCell="E6" sqref="E6"/>
    </sheetView>
  </sheetViews>
  <sheetFormatPr defaultRowHeight="14"/>
  <cols>
    <col min="1" max="1" width="24" customWidth="1"/>
    <col min="2" max="2" width="56" customWidth="1"/>
    <col min="3" max="3" width="32" customWidth="1"/>
    <col min="4" max="4" width="40" customWidth="1"/>
    <col min="5" max="5" width="20" customWidth="1"/>
    <col min="6" max="7" width="47" customWidth="1"/>
  </cols>
  <sheetData>
    <row r="1" spans="1:7">
      <c r="A1" s="49" t="s">
        <v>97</v>
      </c>
      <c r="B1" s="49"/>
      <c r="C1" s="49"/>
      <c r="D1" s="49"/>
      <c r="E1" s="49"/>
      <c r="F1" s="49"/>
      <c r="G1" s="49"/>
    </row>
    <row r="2" spans="1:7">
      <c r="A2" s="49"/>
      <c r="B2" s="49"/>
      <c r="C2" s="49"/>
      <c r="D2" s="49"/>
      <c r="E2" s="49"/>
      <c r="F2" s="49"/>
      <c r="G2" s="49"/>
    </row>
    <row r="3" spans="1:7">
      <c r="A3" s="50" t="s">
        <v>98</v>
      </c>
      <c r="B3" s="50"/>
      <c r="C3" s="50"/>
      <c r="D3" s="50"/>
      <c r="E3" s="50"/>
      <c r="F3" s="50"/>
      <c r="G3" s="50"/>
    </row>
    <row r="4" spans="1:7" ht="14.5">
      <c r="A4" s="2"/>
      <c r="B4" s="2"/>
      <c r="C4" s="2"/>
      <c r="D4" s="2"/>
      <c r="E4" s="2"/>
      <c r="F4" s="2"/>
      <c r="G4" s="2"/>
    </row>
    <row r="5" spans="1:7" ht="14.5">
      <c r="A5" s="1" t="s">
        <v>99</v>
      </c>
      <c r="B5" s="1" t="s">
        <v>100</v>
      </c>
      <c r="C5" s="1" t="s">
        <v>101</v>
      </c>
      <c r="D5" s="1" t="s">
        <v>102</v>
      </c>
      <c r="E5" s="1" t="s">
        <v>103</v>
      </c>
      <c r="F5" s="1" t="s">
        <v>104</v>
      </c>
      <c r="G5" s="1" t="s">
        <v>105</v>
      </c>
    </row>
    <row r="6" spans="1:7" ht="29">
      <c r="A6" s="4" t="s">
        <v>106</v>
      </c>
      <c r="B6" s="4" t="s">
        <v>107</v>
      </c>
      <c r="C6" s="4" t="s">
        <v>108</v>
      </c>
      <c r="D6" s="4" t="s">
        <v>109</v>
      </c>
      <c r="E6" s="4" t="s">
        <v>110</v>
      </c>
      <c r="F6" s="4" t="s">
        <v>111</v>
      </c>
      <c r="G6" s="4" t="s">
        <v>112</v>
      </c>
    </row>
    <row r="7" spans="1:7" ht="29">
      <c r="A7" s="4" t="s">
        <v>113</v>
      </c>
      <c r="B7" s="4" t="s">
        <v>114</v>
      </c>
      <c r="C7" s="4" t="s">
        <v>115</v>
      </c>
      <c r="D7" s="4" t="s">
        <v>116</v>
      </c>
      <c r="E7" s="56">
        <v>0</v>
      </c>
      <c r="F7" s="4" t="s">
        <v>118</v>
      </c>
      <c r="G7" s="4" t="s">
        <v>119</v>
      </c>
    </row>
    <row r="8" spans="1:7" ht="29">
      <c r="A8" s="4" t="s">
        <v>120</v>
      </c>
      <c r="B8" s="4" t="s">
        <v>121</v>
      </c>
      <c r="C8" s="4" t="s">
        <v>122</v>
      </c>
      <c r="D8" s="4" t="s">
        <v>116</v>
      </c>
      <c r="E8" s="56">
        <v>0</v>
      </c>
      <c r="F8" s="4" t="s">
        <v>123</v>
      </c>
      <c r="G8" s="4" t="s">
        <v>124</v>
      </c>
    </row>
    <row r="9" spans="1:7" ht="29">
      <c r="A9" s="4" t="s">
        <v>125</v>
      </c>
      <c r="B9" s="4" t="s">
        <v>126</v>
      </c>
      <c r="C9" s="4" t="s">
        <v>127</v>
      </c>
      <c r="D9" s="4" t="s">
        <v>128</v>
      </c>
      <c r="E9" s="56">
        <v>0</v>
      </c>
      <c r="F9" s="4" t="s">
        <v>129</v>
      </c>
      <c r="G9" s="4" t="s">
        <v>130</v>
      </c>
    </row>
    <row r="10" spans="1:7" ht="29">
      <c r="A10" s="4" t="s">
        <v>131</v>
      </c>
      <c r="B10" s="4" t="s">
        <v>132</v>
      </c>
      <c r="C10" s="4" t="s">
        <v>133</v>
      </c>
      <c r="D10" s="4" t="s">
        <v>134</v>
      </c>
      <c r="E10" s="4" t="s">
        <v>135</v>
      </c>
      <c r="F10" s="4" t="s">
        <v>136</v>
      </c>
      <c r="G10" s="4" t="s">
        <v>137</v>
      </c>
    </row>
    <row r="11" spans="1:7" ht="29">
      <c r="A11" s="4" t="s">
        <v>138</v>
      </c>
      <c r="B11" s="4" t="s">
        <v>139</v>
      </c>
      <c r="C11" s="4" t="s">
        <v>140</v>
      </c>
      <c r="D11" s="4" t="s">
        <v>141</v>
      </c>
      <c r="E11" s="4" t="s">
        <v>117</v>
      </c>
      <c r="F11" s="4" t="s">
        <v>142</v>
      </c>
      <c r="G11" s="4" t="s">
        <v>143</v>
      </c>
    </row>
    <row r="12" spans="1:7" ht="29">
      <c r="A12" s="4" t="s">
        <v>144</v>
      </c>
      <c r="B12" s="4" t="s">
        <v>145</v>
      </c>
      <c r="C12" s="4" t="s">
        <v>146</v>
      </c>
      <c r="D12" s="4" t="s">
        <v>109</v>
      </c>
      <c r="E12" s="4" t="s">
        <v>147</v>
      </c>
      <c r="F12" s="4" t="s">
        <v>148</v>
      </c>
      <c r="G12" s="4" t="s">
        <v>149</v>
      </c>
    </row>
    <row r="13" spans="1:7" ht="14.5">
      <c r="A13" s="4" t="s">
        <v>150</v>
      </c>
      <c r="B13" s="4" t="s">
        <v>151</v>
      </c>
      <c r="C13" s="4" t="s">
        <v>152</v>
      </c>
      <c r="D13" s="4" t="s">
        <v>153</v>
      </c>
      <c r="E13" s="4" t="s">
        <v>154</v>
      </c>
      <c r="F13" s="4" t="s">
        <v>155</v>
      </c>
      <c r="G13" s="4" t="s">
        <v>156</v>
      </c>
    </row>
  </sheetData>
  <mergeCells count="2">
    <mergeCell ref="A1:G2"/>
    <mergeCell ref="A3:G3"/>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29"/>
  <sheetViews>
    <sheetView showGridLines="0" zoomScaleNormal="100" workbookViewId="0">
      <selection sqref="A1:F2"/>
    </sheetView>
  </sheetViews>
  <sheetFormatPr defaultRowHeight="14"/>
  <cols>
    <col min="1" max="2" width="28" customWidth="1"/>
    <col min="3" max="3" width="20" customWidth="1"/>
    <col min="4" max="4" width="52" customWidth="1"/>
    <col min="5" max="5" width="15" customWidth="1"/>
    <col min="6" max="6" width="52" customWidth="1"/>
  </cols>
  <sheetData>
    <row r="1" spans="1:6">
      <c r="A1" s="49" t="s">
        <v>157</v>
      </c>
      <c r="B1" s="49"/>
      <c r="C1" s="49"/>
      <c r="D1" s="49"/>
      <c r="E1" s="49"/>
      <c r="F1" s="49"/>
    </row>
    <row r="2" spans="1:6">
      <c r="A2" s="49"/>
      <c r="B2" s="49"/>
      <c r="C2" s="49"/>
      <c r="D2" s="49"/>
      <c r="E2" s="49"/>
      <c r="F2" s="49"/>
    </row>
    <row r="3" spans="1:6">
      <c r="A3" s="50" t="s">
        <v>158</v>
      </c>
      <c r="B3" s="50"/>
      <c r="C3" s="50"/>
      <c r="D3" s="50"/>
      <c r="E3" s="50"/>
      <c r="F3" s="50"/>
    </row>
    <row r="4" spans="1:6" ht="14.5">
      <c r="A4" s="2"/>
      <c r="B4" s="2"/>
      <c r="C4" s="2"/>
      <c r="D4" s="2"/>
      <c r="E4" s="2"/>
      <c r="F4" s="2"/>
    </row>
    <row r="5" spans="1:6" ht="14.5">
      <c r="A5" s="1" t="s">
        <v>159</v>
      </c>
      <c r="B5" s="1" t="s">
        <v>160</v>
      </c>
      <c r="C5" s="1" t="s">
        <v>161</v>
      </c>
      <c r="D5" s="1" t="s">
        <v>162</v>
      </c>
      <c r="E5" s="1" t="s">
        <v>163</v>
      </c>
      <c r="F5" s="1" t="s">
        <v>164</v>
      </c>
    </row>
    <row r="6" spans="1:6" ht="14.5">
      <c r="A6" s="4" t="s">
        <v>165</v>
      </c>
      <c r="B6" s="4" t="s">
        <v>166</v>
      </c>
      <c r="C6" s="4" t="s">
        <v>167</v>
      </c>
      <c r="D6" s="4" t="s">
        <v>168</v>
      </c>
      <c r="E6" s="4" t="s">
        <v>169</v>
      </c>
      <c r="F6" s="4" t="s">
        <v>170</v>
      </c>
    </row>
    <row r="7" spans="1:6" ht="14.5">
      <c r="A7" s="4" t="s">
        <v>165</v>
      </c>
      <c r="B7" s="4" t="s">
        <v>171</v>
      </c>
      <c r="C7" s="4" t="s">
        <v>172</v>
      </c>
      <c r="D7" s="4" t="s">
        <v>173</v>
      </c>
      <c r="E7" s="4" t="s">
        <v>169</v>
      </c>
      <c r="F7" s="4" t="s">
        <v>174</v>
      </c>
    </row>
    <row r="8" spans="1:6" ht="14.5">
      <c r="A8" s="4" t="s">
        <v>165</v>
      </c>
      <c r="B8" s="4" t="s">
        <v>175</v>
      </c>
      <c r="C8" s="4" t="s">
        <v>172</v>
      </c>
      <c r="D8" s="4" t="s">
        <v>176</v>
      </c>
      <c r="E8" s="4" t="s">
        <v>169</v>
      </c>
      <c r="F8" s="4" t="s">
        <v>177</v>
      </c>
    </row>
    <row r="9" spans="1:6" ht="14.5">
      <c r="A9" s="4" t="s">
        <v>165</v>
      </c>
      <c r="B9" s="4" t="s">
        <v>178</v>
      </c>
      <c r="C9" s="4" t="s">
        <v>167</v>
      </c>
      <c r="D9" s="4" t="s">
        <v>179</v>
      </c>
      <c r="E9" s="4" t="s">
        <v>169</v>
      </c>
      <c r="F9" s="4" t="s">
        <v>180</v>
      </c>
    </row>
    <row r="10" spans="1:6" ht="14.5">
      <c r="A10" s="4" t="s">
        <v>165</v>
      </c>
      <c r="B10" s="4" t="s">
        <v>181</v>
      </c>
      <c r="C10" s="4" t="s">
        <v>167</v>
      </c>
      <c r="D10" s="4" t="s">
        <v>182</v>
      </c>
      <c r="E10" s="4" t="s">
        <v>169</v>
      </c>
      <c r="F10" s="4" t="s">
        <v>183</v>
      </c>
    </row>
    <row r="11" spans="1:6" ht="14.5">
      <c r="A11" s="4" t="s">
        <v>165</v>
      </c>
      <c r="B11" s="4" t="s">
        <v>184</v>
      </c>
      <c r="C11" s="4" t="s">
        <v>167</v>
      </c>
      <c r="D11" s="4" t="s">
        <v>185</v>
      </c>
      <c r="E11" s="4" t="s">
        <v>169</v>
      </c>
      <c r="F11" s="4" t="s">
        <v>186</v>
      </c>
    </row>
    <row r="12" spans="1:6" ht="14.5">
      <c r="A12" s="4" t="s">
        <v>165</v>
      </c>
      <c r="B12" s="4" t="s">
        <v>187</v>
      </c>
      <c r="C12" s="4" t="s">
        <v>167</v>
      </c>
      <c r="D12" s="4" t="s">
        <v>188</v>
      </c>
      <c r="E12" s="4" t="s">
        <v>169</v>
      </c>
      <c r="F12" s="4" t="s">
        <v>189</v>
      </c>
    </row>
    <row r="13" spans="1:6" ht="14.5">
      <c r="A13" s="4" t="s">
        <v>165</v>
      </c>
      <c r="B13" s="4" t="s">
        <v>190</v>
      </c>
      <c r="C13" s="4" t="s">
        <v>167</v>
      </c>
      <c r="D13" s="4" t="s">
        <v>191</v>
      </c>
      <c r="E13" s="4" t="s">
        <v>169</v>
      </c>
      <c r="F13" s="4" t="s">
        <v>192</v>
      </c>
    </row>
    <row r="14" spans="1:6" ht="14.5">
      <c r="A14" s="4" t="s">
        <v>165</v>
      </c>
      <c r="B14" s="4" t="s">
        <v>193</v>
      </c>
      <c r="C14" s="4" t="s">
        <v>167</v>
      </c>
      <c r="D14" s="4" t="s">
        <v>194</v>
      </c>
      <c r="E14" s="4" t="s">
        <v>195</v>
      </c>
      <c r="F14" s="4" t="s">
        <v>196</v>
      </c>
    </row>
    <row r="15" spans="1:6" ht="14.5">
      <c r="A15" s="4" t="s">
        <v>165</v>
      </c>
      <c r="B15" s="4" t="s">
        <v>197</v>
      </c>
      <c r="C15" s="4" t="s">
        <v>198</v>
      </c>
      <c r="D15" s="4" t="s">
        <v>199</v>
      </c>
      <c r="E15" s="4" t="s">
        <v>169</v>
      </c>
      <c r="F15" s="4" t="s">
        <v>200</v>
      </c>
    </row>
    <row r="16" spans="1:6" ht="14.5">
      <c r="A16" s="4" t="s">
        <v>165</v>
      </c>
      <c r="B16" s="4" t="s">
        <v>201</v>
      </c>
      <c r="C16" s="4" t="s">
        <v>198</v>
      </c>
      <c r="D16" s="4" t="s">
        <v>202</v>
      </c>
      <c r="E16" s="4" t="s">
        <v>203</v>
      </c>
      <c r="F16" s="4" t="s">
        <v>204</v>
      </c>
    </row>
    <row r="17" spans="1:6" ht="14.5">
      <c r="A17" s="4" t="s">
        <v>165</v>
      </c>
      <c r="B17" s="4" t="s">
        <v>205</v>
      </c>
      <c r="C17" s="4" t="s">
        <v>198</v>
      </c>
      <c r="D17" s="4" t="s">
        <v>206</v>
      </c>
      <c r="E17" s="4" t="s">
        <v>203</v>
      </c>
      <c r="F17" s="4" t="s">
        <v>204</v>
      </c>
    </row>
    <row r="18" spans="1:6" ht="14.5">
      <c r="A18" s="4" t="s">
        <v>165</v>
      </c>
      <c r="B18" s="4" t="s">
        <v>207</v>
      </c>
      <c r="C18" s="4" t="s">
        <v>208</v>
      </c>
      <c r="D18" s="4" t="s">
        <v>209</v>
      </c>
      <c r="E18" s="4" t="s">
        <v>203</v>
      </c>
      <c r="F18" s="4" t="s">
        <v>210</v>
      </c>
    </row>
    <row r="19" spans="1:6" ht="14.5">
      <c r="A19" s="4" t="s">
        <v>165</v>
      </c>
      <c r="B19" s="4" t="s">
        <v>211</v>
      </c>
      <c r="C19" s="4" t="s">
        <v>212</v>
      </c>
      <c r="D19" s="4" t="s">
        <v>213</v>
      </c>
      <c r="E19" s="4" t="s">
        <v>195</v>
      </c>
      <c r="F19" s="4" t="s">
        <v>214</v>
      </c>
    </row>
    <row r="20" spans="1:6" ht="14.5">
      <c r="A20" s="4" t="s">
        <v>165</v>
      </c>
      <c r="B20" s="4" t="s">
        <v>215</v>
      </c>
      <c r="C20" s="4" t="s">
        <v>216</v>
      </c>
      <c r="D20" s="4" t="s">
        <v>217</v>
      </c>
      <c r="E20" s="4" t="s">
        <v>195</v>
      </c>
      <c r="F20" s="4" t="s">
        <v>218</v>
      </c>
    </row>
    <row r="21" spans="1:6" ht="14.5">
      <c r="A21" s="4" t="s">
        <v>165</v>
      </c>
      <c r="B21" s="4" t="s">
        <v>219</v>
      </c>
      <c r="C21" s="4" t="s">
        <v>208</v>
      </c>
      <c r="D21" s="4" t="s">
        <v>220</v>
      </c>
      <c r="E21" s="4" t="s">
        <v>195</v>
      </c>
      <c r="F21" s="4" t="s">
        <v>221</v>
      </c>
    </row>
    <row r="22" spans="1:6" ht="14.5">
      <c r="A22" s="4" t="s">
        <v>165</v>
      </c>
      <c r="B22" s="4" t="s">
        <v>222</v>
      </c>
      <c r="C22" s="4" t="s">
        <v>167</v>
      </c>
      <c r="D22" s="4" t="s">
        <v>223</v>
      </c>
      <c r="E22" s="4" t="s">
        <v>195</v>
      </c>
      <c r="F22" s="4" t="s">
        <v>224</v>
      </c>
    </row>
    <row r="23" spans="1:6" ht="14.5">
      <c r="A23" s="4" t="s">
        <v>165</v>
      </c>
      <c r="B23" s="4" t="s">
        <v>225</v>
      </c>
      <c r="C23" s="4" t="s">
        <v>167</v>
      </c>
      <c r="D23" s="4" t="s">
        <v>226</v>
      </c>
      <c r="E23" s="4" t="s">
        <v>169</v>
      </c>
      <c r="F23" s="4" t="s">
        <v>227</v>
      </c>
    </row>
    <row r="24" spans="1:6" ht="14.5">
      <c r="A24" s="4" t="s">
        <v>228</v>
      </c>
      <c r="B24" s="4" t="s">
        <v>181</v>
      </c>
      <c r="C24" s="4" t="s">
        <v>167</v>
      </c>
      <c r="D24" s="4" t="s">
        <v>229</v>
      </c>
      <c r="E24" s="4" t="s">
        <v>169</v>
      </c>
      <c r="F24" s="4" t="s">
        <v>230</v>
      </c>
    </row>
    <row r="25" spans="1:6" ht="14.5">
      <c r="A25" s="4" t="s">
        <v>228</v>
      </c>
      <c r="B25" s="4" t="s">
        <v>231</v>
      </c>
      <c r="C25" s="4" t="s">
        <v>167</v>
      </c>
      <c r="D25" s="4" t="s">
        <v>232</v>
      </c>
      <c r="E25" s="4" t="s">
        <v>169</v>
      </c>
      <c r="F25" s="4" t="s">
        <v>233</v>
      </c>
    </row>
    <row r="26" spans="1:6" ht="14.5">
      <c r="A26" s="4" t="s">
        <v>228</v>
      </c>
      <c r="B26" s="4" t="s">
        <v>234</v>
      </c>
      <c r="C26" s="4" t="s">
        <v>167</v>
      </c>
      <c r="D26" s="4" t="s">
        <v>235</v>
      </c>
      <c r="E26" s="4" t="s">
        <v>169</v>
      </c>
      <c r="F26" s="4" t="s">
        <v>236</v>
      </c>
    </row>
    <row r="27" spans="1:6" ht="14.5">
      <c r="A27" s="4" t="s">
        <v>237</v>
      </c>
      <c r="B27" s="4" t="s">
        <v>238</v>
      </c>
      <c r="C27" s="4" t="s">
        <v>208</v>
      </c>
      <c r="D27" s="4" t="s">
        <v>239</v>
      </c>
      <c r="E27" s="4" t="s">
        <v>169</v>
      </c>
      <c r="F27" s="4" t="s">
        <v>240</v>
      </c>
    </row>
    <row r="28" spans="1:6" ht="14.5">
      <c r="A28" s="4" t="s">
        <v>237</v>
      </c>
      <c r="B28" s="4" t="s">
        <v>241</v>
      </c>
      <c r="C28" s="4" t="s">
        <v>242</v>
      </c>
      <c r="D28" s="4" t="s">
        <v>243</v>
      </c>
      <c r="E28" s="4" t="s">
        <v>169</v>
      </c>
      <c r="F28" s="4" t="s">
        <v>244</v>
      </c>
    </row>
    <row r="29" spans="1:6" ht="14.5">
      <c r="A29" s="4" t="s">
        <v>245</v>
      </c>
      <c r="B29" s="4" t="s">
        <v>246</v>
      </c>
      <c r="C29" s="4" t="s">
        <v>208</v>
      </c>
      <c r="D29" s="4" t="s">
        <v>247</v>
      </c>
      <c r="E29" s="4" t="s">
        <v>195</v>
      </c>
      <c r="F29" s="4" t="s">
        <v>248</v>
      </c>
    </row>
  </sheetData>
  <mergeCells count="2">
    <mergeCell ref="A1:F2"/>
    <mergeCell ref="A3:F3"/>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5"/>
  <sheetViews>
    <sheetView showGridLines="0" tabSelected="1" workbookViewId="0">
      <selection activeCell="I12" sqref="I12"/>
    </sheetView>
  </sheetViews>
  <sheetFormatPr defaultRowHeight="14"/>
  <cols>
    <col min="1" max="1" width="13" customWidth="1"/>
    <col min="2" max="2" width="24" customWidth="1"/>
    <col min="3" max="3" width="64" customWidth="1"/>
    <col min="4" max="4" width="42" customWidth="1"/>
    <col min="5" max="5" width="30" customWidth="1"/>
    <col min="6" max="6" width="16" customWidth="1"/>
  </cols>
  <sheetData>
    <row r="1" spans="1:6">
      <c r="A1" s="49" t="s">
        <v>39</v>
      </c>
      <c r="B1" s="49"/>
      <c r="C1" s="49"/>
      <c r="D1" s="49"/>
      <c r="E1" s="49"/>
      <c r="F1" s="49"/>
    </row>
    <row r="2" spans="1:6">
      <c r="A2" s="49"/>
      <c r="B2" s="49"/>
      <c r="C2" s="49"/>
      <c r="D2" s="49"/>
      <c r="E2" s="49"/>
      <c r="F2" s="49"/>
    </row>
    <row r="3" spans="1:6">
      <c r="A3" s="50" t="s">
        <v>40</v>
      </c>
      <c r="B3" s="50"/>
      <c r="C3" s="50"/>
      <c r="D3" s="50"/>
      <c r="E3" s="50"/>
      <c r="F3" s="50"/>
    </row>
    <row r="4" spans="1:6" ht="14.5">
      <c r="A4" s="2"/>
      <c r="B4" s="2"/>
      <c r="C4" s="2"/>
      <c r="D4" s="2"/>
      <c r="E4" s="2"/>
      <c r="F4" s="2"/>
    </row>
    <row r="5" spans="1:6" ht="14.5">
      <c r="A5" s="1" t="s">
        <v>41</v>
      </c>
      <c r="B5" s="1" t="s">
        <v>42</v>
      </c>
      <c r="C5" s="1" t="s">
        <v>43</v>
      </c>
      <c r="D5" s="1" t="s">
        <v>44</v>
      </c>
      <c r="E5" s="1" t="s">
        <v>45</v>
      </c>
      <c r="F5" s="1" t="s">
        <v>46</v>
      </c>
    </row>
    <row r="6" spans="1:6" ht="29">
      <c r="A6" s="4" t="s">
        <v>47</v>
      </c>
      <c r="B6" s="4" t="s">
        <v>48</v>
      </c>
      <c r="C6" s="4" t="s">
        <v>49</v>
      </c>
      <c r="D6" s="4" t="s">
        <v>50</v>
      </c>
      <c r="E6" s="4" t="s">
        <v>51</v>
      </c>
      <c r="F6" s="6" t="s">
        <v>2677</v>
      </c>
    </row>
    <row r="7" spans="1:6" ht="29">
      <c r="A7" s="4" t="s">
        <v>52</v>
      </c>
      <c r="B7" s="4" t="s">
        <v>53</v>
      </c>
      <c r="C7" s="4" t="s">
        <v>54</v>
      </c>
      <c r="D7" s="4" t="s">
        <v>55</v>
      </c>
      <c r="E7" s="4" t="s">
        <v>56</v>
      </c>
      <c r="F7" s="6" t="s">
        <v>2677</v>
      </c>
    </row>
    <row r="8" spans="1:6" ht="29">
      <c r="A8" s="4" t="s">
        <v>57</v>
      </c>
      <c r="B8" s="4" t="s">
        <v>58</v>
      </c>
      <c r="C8" s="4" t="s">
        <v>59</v>
      </c>
      <c r="D8" s="4" t="s">
        <v>60</v>
      </c>
      <c r="E8" s="4" t="s">
        <v>61</v>
      </c>
      <c r="F8" s="6" t="s">
        <v>2677</v>
      </c>
    </row>
    <row r="9" spans="1:6" ht="43.5">
      <c r="A9" s="4" t="s">
        <v>62</v>
      </c>
      <c r="B9" s="4" t="s">
        <v>63</v>
      </c>
      <c r="C9" s="4" t="s">
        <v>64</v>
      </c>
      <c r="D9" s="4" t="s">
        <v>65</v>
      </c>
      <c r="E9" s="4" t="s">
        <v>66</v>
      </c>
      <c r="F9" s="6" t="s">
        <v>2677</v>
      </c>
    </row>
    <row r="10" spans="1:6" ht="29">
      <c r="A10" s="4" t="s">
        <v>67</v>
      </c>
      <c r="B10" s="4" t="s">
        <v>68</v>
      </c>
      <c r="C10" s="4" t="s">
        <v>69</v>
      </c>
      <c r="D10" s="4" t="s">
        <v>70</v>
      </c>
      <c r="E10" s="4" t="s">
        <v>71</v>
      </c>
      <c r="F10" s="6" t="s">
        <v>2677</v>
      </c>
    </row>
    <row r="11" spans="1:6" ht="29">
      <c r="A11" s="4" t="s">
        <v>72</v>
      </c>
      <c r="B11" s="4" t="s">
        <v>73</v>
      </c>
      <c r="C11" s="4" t="s">
        <v>74</v>
      </c>
      <c r="D11" s="4" t="s">
        <v>75</v>
      </c>
      <c r="E11" s="4" t="s">
        <v>76</v>
      </c>
      <c r="F11" s="6" t="s">
        <v>2677</v>
      </c>
    </row>
    <row r="12" spans="1:6" ht="29">
      <c r="A12" s="4" t="s">
        <v>77</v>
      </c>
      <c r="B12" s="4" t="s">
        <v>78</v>
      </c>
      <c r="C12" s="4" t="s">
        <v>79</v>
      </c>
      <c r="D12" s="4" t="s">
        <v>80</v>
      </c>
      <c r="E12" s="4" t="s">
        <v>81</v>
      </c>
      <c r="F12" s="6" t="s">
        <v>2677</v>
      </c>
    </row>
    <row r="13" spans="1:6" ht="43.5">
      <c r="A13" s="4" t="s">
        <v>82</v>
      </c>
      <c r="B13" s="4" t="s">
        <v>83</v>
      </c>
      <c r="C13" s="4" t="s">
        <v>84</v>
      </c>
      <c r="D13" s="4" t="s">
        <v>85</v>
      </c>
      <c r="E13" s="4" t="s">
        <v>86</v>
      </c>
      <c r="F13" s="6" t="s">
        <v>2677</v>
      </c>
    </row>
    <row r="14" spans="1:6" ht="29">
      <c r="A14" s="4" t="s">
        <v>87</v>
      </c>
      <c r="B14" s="4" t="s">
        <v>88</v>
      </c>
      <c r="C14" s="4" t="s">
        <v>89</v>
      </c>
      <c r="D14" s="4" t="s">
        <v>90</v>
      </c>
      <c r="E14" s="4" t="s">
        <v>91</v>
      </c>
      <c r="F14" s="6" t="s">
        <v>2677</v>
      </c>
    </row>
    <row r="15" spans="1:6" ht="29">
      <c r="A15" s="4" t="s">
        <v>92</v>
      </c>
      <c r="B15" s="4" t="s">
        <v>93</v>
      </c>
      <c r="C15" s="4" t="s">
        <v>94</v>
      </c>
      <c r="D15" s="4" t="s">
        <v>95</v>
      </c>
      <c r="E15" s="4" t="s">
        <v>96</v>
      </c>
      <c r="F15" s="6" t="s">
        <v>2677</v>
      </c>
    </row>
  </sheetData>
  <mergeCells count="2">
    <mergeCell ref="A1:F2"/>
    <mergeCell ref="A3:F3"/>
  </mergeCells>
  <conditionalFormatting sqref="F6:F15">
    <cfRule type="containsText" dxfId="1" priority="1" operator="containsText" text="Complete"/>
    <cfRule type="containsText" dxfId="0" priority="2" operator="containsText" text="In Progress"/>
  </conditionalFormatting>
  <dataValidations count="1">
    <dataValidation type="list" sqref="F6:F15" xr:uid="{00000000-0002-0000-0100-000000000000}">
      <formula1>"Not Started,In Progress,Complete"</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R168"/>
  <sheetViews>
    <sheetView showGridLines="0" workbookViewId="0">
      <selection activeCell="A6" sqref="A6"/>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49" t="s">
        <v>249</v>
      </c>
      <c r="B1" s="49"/>
      <c r="C1" s="49"/>
      <c r="D1" s="49"/>
      <c r="E1" s="49"/>
      <c r="F1" s="49"/>
      <c r="G1" s="49"/>
      <c r="H1" s="49"/>
      <c r="I1" s="49"/>
      <c r="J1" s="49"/>
      <c r="K1" s="49"/>
      <c r="L1" s="49"/>
      <c r="M1" s="49"/>
      <c r="N1" s="49"/>
      <c r="O1" s="49"/>
      <c r="P1" s="49"/>
      <c r="Q1" s="49"/>
      <c r="R1" s="49"/>
    </row>
    <row r="2" spans="1:18">
      <c r="A2" s="49"/>
      <c r="B2" s="49"/>
      <c r="C2" s="49"/>
      <c r="D2" s="49"/>
      <c r="E2" s="49"/>
      <c r="F2" s="49"/>
      <c r="G2" s="49"/>
      <c r="H2" s="49"/>
      <c r="I2" s="49"/>
      <c r="J2" s="49"/>
      <c r="K2" s="49"/>
      <c r="L2" s="49"/>
      <c r="M2" s="49"/>
      <c r="N2" s="49"/>
      <c r="O2" s="49"/>
      <c r="P2" s="49"/>
      <c r="Q2" s="49"/>
      <c r="R2" s="49"/>
    </row>
    <row r="3" spans="1:18">
      <c r="A3" s="50" t="s">
        <v>250</v>
      </c>
      <c r="B3" s="50"/>
      <c r="C3" s="50"/>
      <c r="D3" s="50"/>
      <c r="E3" s="50"/>
      <c r="F3" s="50"/>
      <c r="G3" s="50"/>
      <c r="H3" s="50"/>
      <c r="I3" s="50"/>
      <c r="J3" s="50"/>
      <c r="K3" s="50"/>
      <c r="L3" s="50"/>
      <c r="M3" s="50"/>
      <c r="N3" s="50"/>
      <c r="O3" s="50"/>
      <c r="P3" s="50"/>
      <c r="Q3" s="50"/>
      <c r="R3" s="50"/>
    </row>
    <row r="4" spans="1:18" ht="14.5">
      <c r="A4" s="2"/>
      <c r="B4" s="2"/>
      <c r="C4" s="2"/>
      <c r="D4" s="2"/>
      <c r="E4" s="2"/>
      <c r="F4" s="2"/>
      <c r="G4" s="2"/>
      <c r="H4" s="2"/>
      <c r="I4" s="2"/>
      <c r="J4" s="2"/>
      <c r="K4" s="2"/>
      <c r="L4" s="2"/>
      <c r="M4" s="2"/>
      <c r="N4" s="2"/>
      <c r="O4" s="2"/>
      <c r="P4" s="2"/>
      <c r="Q4" s="2"/>
      <c r="R4" s="2"/>
    </row>
    <row r="5" spans="1:18" ht="29">
      <c r="A5" s="1" t="s">
        <v>166</v>
      </c>
      <c r="B5" s="1" t="s">
        <v>171</v>
      </c>
      <c r="C5" s="1" t="s">
        <v>175</v>
      </c>
      <c r="D5" s="1" t="s">
        <v>178</v>
      </c>
      <c r="E5" s="1" t="s">
        <v>181</v>
      </c>
      <c r="F5" s="1" t="s">
        <v>184</v>
      </c>
      <c r="G5" s="1" t="s">
        <v>187</v>
      </c>
      <c r="H5" s="1" t="s">
        <v>190</v>
      </c>
      <c r="I5" s="1" t="s">
        <v>193</v>
      </c>
      <c r="J5" s="1" t="s">
        <v>197</v>
      </c>
      <c r="K5" s="1" t="s">
        <v>201</v>
      </c>
      <c r="L5" s="1" t="s">
        <v>205</v>
      </c>
      <c r="M5" s="1" t="s">
        <v>207</v>
      </c>
      <c r="N5" s="1" t="s">
        <v>211</v>
      </c>
      <c r="O5" s="1" t="s">
        <v>215</v>
      </c>
      <c r="P5" s="1" t="s">
        <v>219</v>
      </c>
      <c r="Q5" s="1" t="s">
        <v>222</v>
      </c>
      <c r="R5" s="1" t="s">
        <v>225</v>
      </c>
    </row>
    <row r="6" spans="1:18">
      <c r="A6" s="7" t="s">
        <v>251</v>
      </c>
      <c r="B6" s="7" t="s">
        <v>252</v>
      </c>
      <c r="C6" s="7" t="s">
        <v>253</v>
      </c>
      <c r="D6" s="7" t="s">
        <v>254</v>
      </c>
      <c r="E6" s="7" t="s">
        <v>255</v>
      </c>
      <c r="F6" s="7" t="s">
        <v>256</v>
      </c>
      <c r="G6" s="7" t="s">
        <v>257</v>
      </c>
      <c r="H6" s="7" t="s">
        <v>127</v>
      </c>
      <c r="I6" s="7" t="s">
        <v>258</v>
      </c>
      <c r="J6" s="7" t="s">
        <v>259</v>
      </c>
      <c r="K6" s="7"/>
      <c r="L6" s="7"/>
      <c r="M6" s="7" t="s">
        <v>260</v>
      </c>
      <c r="N6" s="7" t="s">
        <v>261</v>
      </c>
      <c r="O6" s="7" t="s">
        <v>169</v>
      </c>
      <c r="P6" s="7"/>
      <c r="Q6" s="7" t="s">
        <v>262</v>
      </c>
      <c r="R6" s="7" t="s">
        <v>263</v>
      </c>
    </row>
    <row r="7" spans="1:18">
      <c r="A7" s="7" t="s">
        <v>264</v>
      </c>
      <c r="B7" s="7" t="s">
        <v>265</v>
      </c>
      <c r="C7" s="7" t="s">
        <v>266</v>
      </c>
      <c r="D7" s="7" t="s">
        <v>267</v>
      </c>
      <c r="E7" s="7" t="s">
        <v>268</v>
      </c>
      <c r="F7" s="7" t="s">
        <v>269</v>
      </c>
      <c r="G7" s="7" t="s">
        <v>270</v>
      </c>
      <c r="H7" s="7" t="s">
        <v>115</v>
      </c>
      <c r="I7" s="7" t="s">
        <v>271</v>
      </c>
      <c r="J7" s="7" t="s">
        <v>272</v>
      </c>
      <c r="K7" s="7" t="s">
        <v>273</v>
      </c>
      <c r="L7" s="7" t="s">
        <v>274</v>
      </c>
      <c r="M7" s="7" t="s">
        <v>275</v>
      </c>
      <c r="N7" s="7" t="s">
        <v>276</v>
      </c>
      <c r="O7" s="7" t="s">
        <v>169</v>
      </c>
      <c r="P7" s="7" t="s">
        <v>17</v>
      </c>
      <c r="Q7" s="7" t="s">
        <v>262</v>
      </c>
      <c r="R7" s="7" t="s">
        <v>263</v>
      </c>
    </row>
    <row r="8" spans="1:18">
      <c r="A8" s="7" t="s">
        <v>277</v>
      </c>
      <c r="B8" s="7" t="s">
        <v>278</v>
      </c>
      <c r="C8" s="7" t="s">
        <v>279</v>
      </c>
      <c r="D8" s="7" t="s">
        <v>280</v>
      </c>
      <c r="E8" s="7" t="s">
        <v>281</v>
      </c>
      <c r="F8" s="7" t="s">
        <v>282</v>
      </c>
      <c r="G8" s="7" t="s">
        <v>283</v>
      </c>
      <c r="H8" s="7" t="s">
        <v>127</v>
      </c>
      <c r="I8" s="7" t="s">
        <v>271</v>
      </c>
      <c r="J8" s="7" t="s">
        <v>272</v>
      </c>
      <c r="K8" s="7"/>
      <c r="L8" s="7"/>
      <c r="M8" s="7" t="s">
        <v>260</v>
      </c>
      <c r="N8" s="7" t="s">
        <v>284</v>
      </c>
      <c r="O8" s="7" t="s">
        <v>195</v>
      </c>
      <c r="P8" s="7"/>
      <c r="Q8" s="7" t="s">
        <v>285</v>
      </c>
      <c r="R8" s="7" t="s">
        <v>263</v>
      </c>
    </row>
    <row r="9" spans="1:18">
      <c r="A9" s="7" t="s">
        <v>286</v>
      </c>
      <c r="B9" s="7" t="s">
        <v>287</v>
      </c>
      <c r="C9" s="7" t="s">
        <v>288</v>
      </c>
      <c r="D9" s="7" t="s">
        <v>289</v>
      </c>
      <c r="E9" s="7" t="s">
        <v>255</v>
      </c>
      <c r="F9" s="7" t="s">
        <v>282</v>
      </c>
      <c r="G9" s="7" t="s">
        <v>290</v>
      </c>
      <c r="H9" s="7" t="s">
        <v>115</v>
      </c>
      <c r="I9" s="7" t="s">
        <v>258</v>
      </c>
      <c r="J9" s="7" t="s">
        <v>259</v>
      </c>
      <c r="K9" s="7" t="s">
        <v>291</v>
      </c>
      <c r="L9" s="7" t="s">
        <v>292</v>
      </c>
      <c r="M9" s="7" t="s">
        <v>293</v>
      </c>
      <c r="N9" s="7" t="s">
        <v>284</v>
      </c>
      <c r="O9" s="7" t="s">
        <v>169</v>
      </c>
      <c r="P9" s="7" t="s">
        <v>17</v>
      </c>
      <c r="Q9" s="7" t="s">
        <v>262</v>
      </c>
      <c r="R9" s="7" t="s">
        <v>263</v>
      </c>
    </row>
    <row r="10" spans="1:18">
      <c r="A10" s="7" t="s">
        <v>294</v>
      </c>
      <c r="B10" s="7" t="s">
        <v>265</v>
      </c>
      <c r="C10" s="7" t="s">
        <v>295</v>
      </c>
      <c r="D10" s="7" t="s">
        <v>296</v>
      </c>
      <c r="E10" s="7" t="s">
        <v>281</v>
      </c>
      <c r="F10" s="7" t="s">
        <v>297</v>
      </c>
      <c r="G10" s="7" t="s">
        <v>298</v>
      </c>
      <c r="H10" s="7" t="s">
        <v>115</v>
      </c>
      <c r="I10" s="7" t="s">
        <v>299</v>
      </c>
      <c r="J10" s="7" t="s">
        <v>300</v>
      </c>
      <c r="K10" s="7" t="s">
        <v>301</v>
      </c>
      <c r="L10" s="7" t="s">
        <v>302</v>
      </c>
      <c r="M10" s="7" t="s">
        <v>303</v>
      </c>
      <c r="N10" s="7" t="s">
        <v>304</v>
      </c>
      <c r="O10" s="7" t="s">
        <v>195</v>
      </c>
      <c r="P10" s="7" t="s">
        <v>14</v>
      </c>
      <c r="Q10" s="7" t="s">
        <v>305</v>
      </c>
      <c r="R10" s="7" t="s">
        <v>263</v>
      </c>
    </row>
    <row r="11" spans="1:18">
      <c r="A11" s="7" t="s">
        <v>306</v>
      </c>
      <c r="B11" s="7" t="s">
        <v>307</v>
      </c>
      <c r="C11" s="7" t="s">
        <v>308</v>
      </c>
      <c r="D11" s="7" t="s">
        <v>309</v>
      </c>
      <c r="E11" s="7" t="s">
        <v>281</v>
      </c>
      <c r="F11" s="7" t="s">
        <v>297</v>
      </c>
      <c r="G11" s="7" t="s">
        <v>298</v>
      </c>
      <c r="H11" s="7" t="s">
        <v>115</v>
      </c>
      <c r="I11" s="7" t="s">
        <v>299</v>
      </c>
      <c r="J11" s="7" t="s">
        <v>259</v>
      </c>
      <c r="K11" s="7" t="s">
        <v>310</v>
      </c>
      <c r="L11" s="7" t="s">
        <v>311</v>
      </c>
      <c r="M11" s="7" t="s">
        <v>303</v>
      </c>
      <c r="N11" s="7" t="s">
        <v>304</v>
      </c>
      <c r="O11" s="7" t="s">
        <v>169</v>
      </c>
      <c r="P11" s="7" t="s">
        <v>17</v>
      </c>
      <c r="Q11" s="7" t="s">
        <v>285</v>
      </c>
      <c r="R11" s="7" t="s">
        <v>263</v>
      </c>
    </row>
    <row r="12" spans="1:18">
      <c r="A12" s="7" t="s">
        <v>312</v>
      </c>
      <c r="B12" s="7" t="s">
        <v>313</v>
      </c>
      <c r="C12" s="7" t="s">
        <v>314</v>
      </c>
      <c r="D12" s="7" t="s">
        <v>315</v>
      </c>
      <c r="E12" s="7" t="s">
        <v>255</v>
      </c>
      <c r="F12" s="7" t="s">
        <v>256</v>
      </c>
      <c r="G12" s="7" t="s">
        <v>257</v>
      </c>
      <c r="H12" s="7" t="s">
        <v>115</v>
      </c>
      <c r="I12" s="7" t="s">
        <v>316</v>
      </c>
      <c r="J12" s="7" t="s">
        <v>259</v>
      </c>
      <c r="K12" s="7" t="s">
        <v>317</v>
      </c>
      <c r="L12" s="7" t="s">
        <v>259</v>
      </c>
      <c r="M12" s="7" t="s">
        <v>293</v>
      </c>
      <c r="N12" s="7" t="s">
        <v>261</v>
      </c>
      <c r="O12" s="7" t="s">
        <v>169</v>
      </c>
      <c r="P12" s="7" t="s">
        <v>14</v>
      </c>
      <c r="Q12" s="7" t="s">
        <v>318</v>
      </c>
      <c r="R12" s="7" t="s">
        <v>263</v>
      </c>
    </row>
    <row r="13" spans="1:18">
      <c r="A13" s="7" t="s">
        <v>319</v>
      </c>
      <c r="B13" s="7" t="s">
        <v>279</v>
      </c>
      <c r="C13" s="7" t="s">
        <v>320</v>
      </c>
      <c r="D13" s="7" t="s">
        <v>321</v>
      </c>
      <c r="E13" s="7" t="s">
        <v>281</v>
      </c>
      <c r="F13" s="7" t="s">
        <v>269</v>
      </c>
      <c r="G13" s="7" t="s">
        <v>322</v>
      </c>
      <c r="H13" s="7" t="s">
        <v>115</v>
      </c>
      <c r="I13" s="7" t="s">
        <v>258</v>
      </c>
      <c r="J13" s="7" t="s">
        <v>323</v>
      </c>
      <c r="K13" s="7" t="s">
        <v>324</v>
      </c>
      <c r="L13" s="7" t="s">
        <v>325</v>
      </c>
      <c r="M13" s="7" t="s">
        <v>303</v>
      </c>
      <c r="N13" s="7" t="s">
        <v>276</v>
      </c>
      <c r="O13" s="7" t="s">
        <v>195</v>
      </c>
      <c r="P13" s="7" t="s">
        <v>14</v>
      </c>
      <c r="Q13" s="7" t="s">
        <v>326</v>
      </c>
      <c r="R13" s="7" t="s">
        <v>263</v>
      </c>
    </row>
    <row r="14" spans="1:18">
      <c r="A14" s="7" t="s">
        <v>327</v>
      </c>
      <c r="B14" s="7" t="s">
        <v>328</v>
      </c>
      <c r="C14" s="7" t="s">
        <v>329</v>
      </c>
      <c r="D14" s="7" t="s">
        <v>330</v>
      </c>
      <c r="E14" s="7" t="s">
        <v>255</v>
      </c>
      <c r="F14" s="7" t="s">
        <v>297</v>
      </c>
      <c r="G14" s="7" t="s">
        <v>331</v>
      </c>
      <c r="H14" s="7" t="s">
        <v>115</v>
      </c>
      <c r="I14" s="7" t="s">
        <v>316</v>
      </c>
      <c r="J14" s="7" t="s">
        <v>332</v>
      </c>
      <c r="K14" s="7" t="s">
        <v>333</v>
      </c>
      <c r="L14" s="7" t="s">
        <v>334</v>
      </c>
      <c r="M14" s="7" t="s">
        <v>335</v>
      </c>
      <c r="N14" s="7" t="s">
        <v>304</v>
      </c>
      <c r="O14" s="7" t="s">
        <v>195</v>
      </c>
      <c r="P14" s="7" t="s">
        <v>17</v>
      </c>
      <c r="Q14" s="7" t="s">
        <v>305</v>
      </c>
      <c r="R14" s="7" t="s">
        <v>263</v>
      </c>
    </row>
    <row r="15" spans="1:18">
      <c r="A15" s="7" t="s">
        <v>336</v>
      </c>
      <c r="B15" s="7" t="s">
        <v>337</v>
      </c>
      <c r="C15" s="7" t="s">
        <v>287</v>
      </c>
      <c r="D15" s="7" t="s">
        <v>338</v>
      </c>
      <c r="E15" s="7" t="s">
        <v>339</v>
      </c>
      <c r="F15" s="7" t="s">
        <v>269</v>
      </c>
      <c r="G15" s="7" t="s">
        <v>340</v>
      </c>
      <c r="H15" s="7" t="s">
        <v>122</v>
      </c>
      <c r="I15" s="7" t="s">
        <v>271</v>
      </c>
      <c r="J15" s="7" t="s">
        <v>341</v>
      </c>
      <c r="K15" s="7"/>
      <c r="L15" s="7"/>
      <c r="M15" s="7" t="s">
        <v>260</v>
      </c>
      <c r="N15" s="7" t="s">
        <v>276</v>
      </c>
      <c r="O15" s="7" t="s">
        <v>169</v>
      </c>
      <c r="P15" s="7"/>
      <c r="Q15" s="7" t="s">
        <v>305</v>
      </c>
      <c r="R15" s="7" t="s">
        <v>263</v>
      </c>
    </row>
    <row r="16" spans="1:18">
      <c r="A16" s="7" t="s">
        <v>342</v>
      </c>
      <c r="B16" s="7" t="s">
        <v>266</v>
      </c>
      <c r="C16" s="7" t="s">
        <v>343</v>
      </c>
      <c r="D16" s="7" t="s">
        <v>344</v>
      </c>
      <c r="E16" s="7" t="s">
        <v>339</v>
      </c>
      <c r="F16" s="7" t="s">
        <v>256</v>
      </c>
      <c r="G16" s="7" t="s">
        <v>345</v>
      </c>
      <c r="H16" s="7" t="s">
        <v>115</v>
      </c>
      <c r="I16" s="7" t="s">
        <v>299</v>
      </c>
      <c r="J16" s="7" t="s">
        <v>346</v>
      </c>
      <c r="K16" s="7" t="s">
        <v>346</v>
      </c>
      <c r="L16" s="7" t="s">
        <v>347</v>
      </c>
      <c r="M16" s="7" t="s">
        <v>303</v>
      </c>
      <c r="N16" s="7" t="s">
        <v>261</v>
      </c>
      <c r="O16" s="7" t="s">
        <v>195</v>
      </c>
      <c r="P16" s="7" t="s">
        <v>14</v>
      </c>
      <c r="Q16" s="7" t="s">
        <v>326</v>
      </c>
      <c r="R16" s="7" t="s">
        <v>263</v>
      </c>
    </row>
    <row r="17" spans="1:18">
      <c r="A17" s="7" t="s">
        <v>348</v>
      </c>
      <c r="B17" s="7" t="s">
        <v>265</v>
      </c>
      <c r="C17" s="7" t="s">
        <v>349</v>
      </c>
      <c r="D17" s="7" t="s">
        <v>350</v>
      </c>
      <c r="E17" s="7" t="s">
        <v>281</v>
      </c>
      <c r="F17" s="7" t="s">
        <v>282</v>
      </c>
      <c r="G17" s="7" t="s">
        <v>283</v>
      </c>
      <c r="H17" s="7" t="s">
        <v>115</v>
      </c>
      <c r="I17" s="7" t="s">
        <v>316</v>
      </c>
      <c r="J17" s="7" t="s">
        <v>351</v>
      </c>
      <c r="K17" s="7" t="s">
        <v>352</v>
      </c>
      <c r="L17" s="7" t="s">
        <v>353</v>
      </c>
      <c r="M17" s="7" t="s">
        <v>303</v>
      </c>
      <c r="N17" s="7" t="s">
        <v>284</v>
      </c>
      <c r="O17" s="7" t="s">
        <v>195</v>
      </c>
      <c r="P17" s="7" t="s">
        <v>17</v>
      </c>
      <c r="Q17" s="7" t="s">
        <v>318</v>
      </c>
      <c r="R17" s="7" t="s">
        <v>263</v>
      </c>
    </row>
    <row r="18" spans="1:18">
      <c r="A18" s="7" t="s">
        <v>354</v>
      </c>
      <c r="B18" s="7" t="s">
        <v>355</v>
      </c>
      <c r="C18" s="7" t="s">
        <v>356</v>
      </c>
      <c r="D18" s="7" t="s">
        <v>357</v>
      </c>
      <c r="E18" s="7" t="s">
        <v>255</v>
      </c>
      <c r="F18" s="7" t="s">
        <v>297</v>
      </c>
      <c r="G18" s="7" t="s">
        <v>331</v>
      </c>
      <c r="H18" s="7" t="s">
        <v>115</v>
      </c>
      <c r="I18" s="7" t="s">
        <v>271</v>
      </c>
      <c r="J18" s="7" t="s">
        <v>358</v>
      </c>
      <c r="K18" s="7" t="s">
        <v>359</v>
      </c>
      <c r="L18" s="7" t="s">
        <v>360</v>
      </c>
      <c r="M18" s="7" t="s">
        <v>293</v>
      </c>
      <c r="N18" s="7" t="s">
        <v>304</v>
      </c>
      <c r="O18" s="7" t="s">
        <v>169</v>
      </c>
      <c r="P18" s="7" t="s">
        <v>14</v>
      </c>
      <c r="Q18" s="7" t="s">
        <v>262</v>
      </c>
      <c r="R18" s="7" t="s">
        <v>263</v>
      </c>
    </row>
    <row r="19" spans="1:18">
      <c r="A19" s="7" t="s">
        <v>361</v>
      </c>
      <c r="B19" s="7" t="s">
        <v>320</v>
      </c>
      <c r="C19" s="7" t="s">
        <v>328</v>
      </c>
      <c r="D19" s="7" t="s">
        <v>362</v>
      </c>
      <c r="E19" s="7" t="s">
        <v>281</v>
      </c>
      <c r="F19" s="7" t="s">
        <v>269</v>
      </c>
      <c r="G19" s="7" t="s">
        <v>363</v>
      </c>
      <c r="H19" s="7" t="s">
        <v>115</v>
      </c>
      <c r="I19" s="7" t="s">
        <v>271</v>
      </c>
      <c r="J19" s="7" t="s">
        <v>341</v>
      </c>
      <c r="K19" s="7" t="s">
        <v>364</v>
      </c>
      <c r="L19" s="7" t="s">
        <v>365</v>
      </c>
      <c r="M19" s="7" t="s">
        <v>303</v>
      </c>
      <c r="N19" s="7" t="s">
        <v>276</v>
      </c>
      <c r="O19" s="7" t="s">
        <v>195</v>
      </c>
      <c r="P19" s="7" t="s">
        <v>8</v>
      </c>
      <c r="Q19" s="7" t="s">
        <v>326</v>
      </c>
      <c r="R19" s="7" t="s">
        <v>263</v>
      </c>
    </row>
    <row r="20" spans="1:18">
      <c r="A20" s="7" t="s">
        <v>366</v>
      </c>
      <c r="B20" s="7" t="s">
        <v>279</v>
      </c>
      <c r="C20" s="7" t="s">
        <v>265</v>
      </c>
      <c r="D20" s="7" t="s">
        <v>367</v>
      </c>
      <c r="E20" s="7" t="s">
        <v>281</v>
      </c>
      <c r="F20" s="7" t="s">
        <v>297</v>
      </c>
      <c r="G20" s="7" t="s">
        <v>368</v>
      </c>
      <c r="H20" s="7" t="s">
        <v>115</v>
      </c>
      <c r="I20" s="7" t="s">
        <v>271</v>
      </c>
      <c r="J20" s="7" t="s">
        <v>332</v>
      </c>
      <c r="K20" s="7" t="s">
        <v>369</v>
      </c>
      <c r="L20" s="7" t="s">
        <v>370</v>
      </c>
      <c r="M20" s="7" t="s">
        <v>275</v>
      </c>
      <c r="N20" s="7" t="s">
        <v>304</v>
      </c>
      <c r="O20" s="7" t="s">
        <v>195</v>
      </c>
      <c r="P20" s="7" t="s">
        <v>17</v>
      </c>
      <c r="Q20" s="7" t="s">
        <v>326</v>
      </c>
      <c r="R20" s="7" t="s">
        <v>263</v>
      </c>
    </row>
    <row r="21" spans="1:18">
      <c r="A21" s="7" t="s">
        <v>371</v>
      </c>
      <c r="B21" s="7" t="s">
        <v>328</v>
      </c>
      <c r="C21" s="7" t="s">
        <v>343</v>
      </c>
      <c r="D21" s="7" t="s">
        <v>372</v>
      </c>
      <c r="E21" s="7" t="s">
        <v>255</v>
      </c>
      <c r="F21" s="7" t="s">
        <v>256</v>
      </c>
      <c r="G21" s="7" t="s">
        <v>257</v>
      </c>
      <c r="H21" s="7" t="s">
        <v>115</v>
      </c>
      <c r="I21" s="7" t="s">
        <v>258</v>
      </c>
      <c r="J21" s="7" t="s">
        <v>332</v>
      </c>
      <c r="K21" s="7" t="s">
        <v>373</v>
      </c>
      <c r="L21" s="7" t="s">
        <v>374</v>
      </c>
      <c r="M21" s="7" t="s">
        <v>303</v>
      </c>
      <c r="N21" s="7" t="s">
        <v>261</v>
      </c>
      <c r="O21" s="7" t="s">
        <v>195</v>
      </c>
      <c r="P21" s="7" t="s">
        <v>8</v>
      </c>
      <c r="Q21" s="7" t="s">
        <v>285</v>
      </c>
      <c r="R21" s="7" t="s">
        <v>263</v>
      </c>
    </row>
    <row r="22" spans="1:18">
      <c r="A22" s="7" t="s">
        <v>375</v>
      </c>
      <c r="B22" s="7" t="s">
        <v>252</v>
      </c>
      <c r="C22" s="7" t="s">
        <v>376</v>
      </c>
      <c r="D22" s="7" t="s">
        <v>377</v>
      </c>
      <c r="E22" s="7" t="s">
        <v>281</v>
      </c>
      <c r="F22" s="7" t="s">
        <v>297</v>
      </c>
      <c r="G22" s="7" t="s">
        <v>368</v>
      </c>
      <c r="H22" s="7" t="s">
        <v>115</v>
      </c>
      <c r="I22" s="7" t="s">
        <v>271</v>
      </c>
      <c r="J22" s="7" t="s">
        <v>358</v>
      </c>
      <c r="K22" s="7" t="s">
        <v>358</v>
      </c>
      <c r="L22" s="7" t="s">
        <v>378</v>
      </c>
      <c r="M22" s="7" t="s">
        <v>335</v>
      </c>
      <c r="N22" s="7" t="s">
        <v>304</v>
      </c>
      <c r="O22" s="7" t="s">
        <v>169</v>
      </c>
      <c r="P22" s="7" t="s">
        <v>17</v>
      </c>
      <c r="Q22" s="7" t="s">
        <v>305</v>
      </c>
      <c r="R22" s="7" t="s">
        <v>263</v>
      </c>
    </row>
    <row r="23" spans="1:18">
      <c r="A23" s="7" t="s">
        <v>379</v>
      </c>
      <c r="B23" s="7" t="s">
        <v>337</v>
      </c>
      <c r="C23" s="7" t="s">
        <v>380</v>
      </c>
      <c r="D23" s="7" t="s">
        <v>381</v>
      </c>
      <c r="E23" s="7" t="s">
        <v>268</v>
      </c>
      <c r="F23" s="7" t="s">
        <v>269</v>
      </c>
      <c r="G23" s="7" t="s">
        <v>270</v>
      </c>
      <c r="H23" s="7" t="s">
        <v>115</v>
      </c>
      <c r="I23" s="7" t="s">
        <v>299</v>
      </c>
      <c r="J23" s="7" t="s">
        <v>259</v>
      </c>
      <c r="K23" s="7" t="s">
        <v>382</v>
      </c>
      <c r="L23" s="7" t="s">
        <v>383</v>
      </c>
      <c r="M23" s="7" t="s">
        <v>335</v>
      </c>
      <c r="N23" s="7" t="s">
        <v>276</v>
      </c>
      <c r="O23" s="7" t="s">
        <v>169</v>
      </c>
      <c r="P23" s="7" t="s">
        <v>17</v>
      </c>
      <c r="Q23" s="7" t="s">
        <v>326</v>
      </c>
      <c r="R23" s="7" t="s">
        <v>263</v>
      </c>
    </row>
    <row r="24" spans="1:18">
      <c r="A24" s="7" t="s">
        <v>384</v>
      </c>
      <c r="B24" s="7" t="s">
        <v>356</v>
      </c>
      <c r="C24" s="7" t="s">
        <v>385</v>
      </c>
      <c r="D24" s="7" t="s">
        <v>386</v>
      </c>
      <c r="E24" s="7" t="s">
        <v>281</v>
      </c>
      <c r="F24" s="7" t="s">
        <v>282</v>
      </c>
      <c r="G24" s="7" t="s">
        <v>283</v>
      </c>
      <c r="H24" s="7" t="s">
        <v>122</v>
      </c>
      <c r="I24" s="7" t="s">
        <v>271</v>
      </c>
      <c r="J24" s="7" t="s">
        <v>259</v>
      </c>
      <c r="K24" s="7"/>
      <c r="L24" s="7"/>
      <c r="M24" s="7" t="s">
        <v>260</v>
      </c>
      <c r="N24" s="7" t="s">
        <v>284</v>
      </c>
      <c r="O24" s="7" t="s">
        <v>195</v>
      </c>
      <c r="P24" s="7"/>
      <c r="Q24" s="7" t="s">
        <v>305</v>
      </c>
      <c r="R24" s="7" t="s">
        <v>263</v>
      </c>
    </row>
    <row r="25" spans="1:18">
      <c r="A25" s="7" t="s">
        <v>387</v>
      </c>
      <c r="B25" s="7" t="s">
        <v>388</v>
      </c>
      <c r="C25" s="7" t="s">
        <v>389</v>
      </c>
      <c r="D25" s="7" t="s">
        <v>390</v>
      </c>
      <c r="E25" s="7" t="s">
        <v>255</v>
      </c>
      <c r="F25" s="7" t="s">
        <v>269</v>
      </c>
      <c r="G25" s="7" t="s">
        <v>391</v>
      </c>
      <c r="H25" s="7" t="s">
        <v>115</v>
      </c>
      <c r="I25" s="7" t="s">
        <v>271</v>
      </c>
      <c r="J25" s="7" t="s">
        <v>392</v>
      </c>
      <c r="K25" s="7" t="s">
        <v>393</v>
      </c>
      <c r="L25" s="7" t="s">
        <v>394</v>
      </c>
      <c r="M25" s="7" t="s">
        <v>303</v>
      </c>
      <c r="N25" s="7" t="s">
        <v>276</v>
      </c>
      <c r="O25" s="7" t="s">
        <v>195</v>
      </c>
      <c r="P25" s="7" t="s">
        <v>17</v>
      </c>
      <c r="Q25" s="7" t="s">
        <v>318</v>
      </c>
      <c r="R25" s="7" t="s">
        <v>263</v>
      </c>
    </row>
    <row r="26" spans="1:18">
      <c r="A26" s="7" t="s">
        <v>395</v>
      </c>
      <c r="B26" s="7" t="s">
        <v>396</v>
      </c>
      <c r="C26" s="7" t="s">
        <v>266</v>
      </c>
      <c r="D26" s="7" t="s">
        <v>397</v>
      </c>
      <c r="E26" s="7" t="s">
        <v>255</v>
      </c>
      <c r="F26" s="7" t="s">
        <v>256</v>
      </c>
      <c r="G26" s="7" t="s">
        <v>398</v>
      </c>
      <c r="H26" s="7" t="s">
        <v>127</v>
      </c>
      <c r="I26" s="7" t="s">
        <v>316</v>
      </c>
      <c r="J26" s="7" t="s">
        <v>399</v>
      </c>
      <c r="K26" s="7"/>
      <c r="L26" s="7"/>
      <c r="M26" s="7" t="s">
        <v>260</v>
      </c>
      <c r="N26" s="7" t="s">
        <v>261</v>
      </c>
      <c r="O26" s="7" t="s">
        <v>195</v>
      </c>
      <c r="P26" s="7"/>
      <c r="Q26" s="7" t="s">
        <v>262</v>
      </c>
      <c r="R26" s="7" t="s">
        <v>263</v>
      </c>
    </row>
    <row r="27" spans="1:18">
      <c r="A27" s="7" t="s">
        <v>400</v>
      </c>
      <c r="B27" s="7" t="s">
        <v>265</v>
      </c>
      <c r="C27" s="7" t="s">
        <v>401</v>
      </c>
      <c r="D27" s="7" t="s">
        <v>402</v>
      </c>
      <c r="E27" s="7" t="s">
        <v>339</v>
      </c>
      <c r="F27" s="7" t="s">
        <v>256</v>
      </c>
      <c r="G27" s="7" t="s">
        <v>403</v>
      </c>
      <c r="H27" s="7" t="s">
        <v>127</v>
      </c>
      <c r="I27" s="7" t="s">
        <v>299</v>
      </c>
      <c r="J27" s="7" t="s">
        <v>404</v>
      </c>
      <c r="K27" s="7"/>
      <c r="L27" s="7"/>
      <c r="M27" s="7" t="s">
        <v>260</v>
      </c>
      <c r="N27" s="7" t="s">
        <v>261</v>
      </c>
      <c r="O27" s="7" t="s">
        <v>169</v>
      </c>
      <c r="P27" s="7"/>
      <c r="Q27" s="7" t="s">
        <v>262</v>
      </c>
      <c r="R27" s="7" t="s">
        <v>263</v>
      </c>
    </row>
    <row r="28" spans="1:18">
      <c r="A28" s="7" t="s">
        <v>405</v>
      </c>
      <c r="B28" s="7" t="s">
        <v>406</v>
      </c>
      <c r="C28" s="7" t="s">
        <v>407</v>
      </c>
      <c r="D28" s="7" t="s">
        <v>408</v>
      </c>
      <c r="E28" s="7" t="s">
        <v>255</v>
      </c>
      <c r="F28" s="7" t="s">
        <v>409</v>
      </c>
      <c r="G28" s="7" t="s">
        <v>410</v>
      </c>
      <c r="H28" s="7" t="s">
        <v>122</v>
      </c>
      <c r="I28" s="7" t="s">
        <v>316</v>
      </c>
      <c r="J28" s="7" t="s">
        <v>411</v>
      </c>
      <c r="K28" s="7"/>
      <c r="L28" s="7"/>
      <c r="M28" s="7" t="s">
        <v>260</v>
      </c>
      <c r="N28" s="7" t="s">
        <v>412</v>
      </c>
      <c r="O28" s="7" t="s">
        <v>195</v>
      </c>
      <c r="P28" s="7"/>
      <c r="Q28" s="7" t="s">
        <v>305</v>
      </c>
      <c r="R28" s="7" t="s">
        <v>263</v>
      </c>
    </row>
    <row r="29" spans="1:18">
      <c r="A29" s="7" t="s">
        <v>413</v>
      </c>
      <c r="B29" s="7" t="s">
        <v>407</v>
      </c>
      <c r="C29" s="7" t="s">
        <v>328</v>
      </c>
      <c r="D29" s="7" t="s">
        <v>414</v>
      </c>
      <c r="E29" s="7" t="s">
        <v>281</v>
      </c>
      <c r="F29" s="7" t="s">
        <v>269</v>
      </c>
      <c r="G29" s="7" t="s">
        <v>322</v>
      </c>
      <c r="H29" s="7" t="s">
        <v>115</v>
      </c>
      <c r="I29" s="7" t="s">
        <v>316</v>
      </c>
      <c r="J29" s="7" t="s">
        <v>392</v>
      </c>
      <c r="K29" s="7" t="s">
        <v>415</v>
      </c>
      <c r="L29" s="7" t="s">
        <v>392</v>
      </c>
      <c r="M29" s="7" t="s">
        <v>293</v>
      </c>
      <c r="N29" s="7" t="s">
        <v>276</v>
      </c>
      <c r="O29" s="7" t="s">
        <v>195</v>
      </c>
      <c r="P29" s="7" t="s">
        <v>8</v>
      </c>
      <c r="Q29" s="7" t="s">
        <v>285</v>
      </c>
      <c r="R29" s="7" t="s">
        <v>263</v>
      </c>
    </row>
    <row r="30" spans="1:18">
      <c r="A30" s="7" t="s">
        <v>416</v>
      </c>
      <c r="B30" s="7" t="s">
        <v>355</v>
      </c>
      <c r="C30" s="7" t="s">
        <v>417</v>
      </c>
      <c r="D30" s="7" t="s">
        <v>418</v>
      </c>
      <c r="E30" s="7" t="s">
        <v>268</v>
      </c>
      <c r="F30" s="7" t="s">
        <v>256</v>
      </c>
      <c r="G30" s="7" t="s">
        <v>419</v>
      </c>
      <c r="H30" s="7" t="s">
        <v>115</v>
      </c>
      <c r="I30" s="7" t="s">
        <v>316</v>
      </c>
      <c r="J30" s="7" t="s">
        <v>351</v>
      </c>
      <c r="K30" s="7" t="s">
        <v>420</v>
      </c>
      <c r="L30" s="7" t="s">
        <v>351</v>
      </c>
      <c r="M30" s="7" t="s">
        <v>303</v>
      </c>
      <c r="N30" s="7" t="s">
        <v>261</v>
      </c>
      <c r="O30" s="7" t="s">
        <v>195</v>
      </c>
      <c r="P30" s="7" t="s">
        <v>17</v>
      </c>
      <c r="Q30" s="7" t="s">
        <v>285</v>
      </c>
      <c r="R30" s="7" t="s">
        <v>263</v>
      </c>
    </row>
    <row r="31" spans="1:18">
      <c r="A31" s="7" t="s">
        <v>421</v>
      </c>
      <c r="B31" s="7" t="s">
        <v>417</v>
      </c>
      <c r="C31" s="7" t="s">
        <v>422</v>
      </c>
      <c r="D31" s="7" t="s">
        <v>423</v>
      </c>
      <c r="E31" s="7" t="s">
        <v>255</v>
      </c>
      <c r="F31" s="7" t="s">
        <v>282</v>
      </c>
      <c r="G31" s="7" t="s">
        <v>424</v>
      </c>
      <c r="H31" s="7" t="s">
        <v>115</v>
      </c>
      <c r="I31" s="7" t="s">
        <v>271</v>
      </c>
      <c r="J31" s="7" t="s">
        <v>272</v>
      </c>
      <c r="K31" s="7" t="s">
        <v>425</v>
      </c>
      <c r="L31" s="7" t="s">
        <v>426</v>
      </c>
      <c r="M31" s="7" t="s">
        <v>303</v>
      </c>
      <c r="N31" s="7" t="s">
        <v>284</v>
      </c>
      <c r="O31" s="7" t="s">
        <v>169</v>
      </c>
      <c r="P31" s="7" t="s">
        <v>17</v>
      </c>
      <c r="Q31" s="7" t="s">
        <v>326</v>
      </c>
      <c r="R31" s="7" t="s">
        <v>263</v>
      </c>
    </row>
    <row r="32" spans="1:18">
      <c r="A32" s="7" t="s">
        <v>427</v>
      </c>
      <c r="B32" s="7" t="s">
        <v>356</v>
      </c>
      <c r="C32" s="7" t="s">
        <v>307</v>
      </c>
      <c r="D32" s="7" t="s">
        <v>428</v>
      </c>
      <c r="E32" s="7" t="s">
        <v>281</v>
      </c>
      <c r="F32" s="7" t="s">
        <v>256</v>
      </c>
      <c r="G32" s="7" t="s">
        <v>429</v>
      </c>
      <c r="H32" s="7" t="s">
        <v>115</v>
      </c>
      <c r="I32" s="7" t="s">
        <v>258</v>
      </c>
      <c r="J32" s="7" t="s">
        <v>358</v>
      </c>
      <c r="K32" s="7" t="s">
        <v>430</v>
      </c>
      <c r="L32" s="7" t="s">
        <v>431</v>
      </c>
      <c r="M32" s="7" t="s">
        <v>303</v>
      </c>
      <c r="N32" s="7" t="s">
        <v>261</v>
      </c>
      <c r="O32" s="7" t="s">
        <v>195</v>
      </c>
      <c r="P32" s="7" t="s">
        <v>11</v>
      </c>
      <c r="Q32" s="7" t="s">
        <v>318</v>
      </c>
      <c r="R32" s="7" t="s">
        <v>263</v>
      </c>
    </row>
    <row r="33" spans="1:18">
      <c r="A33" s="7" t="s">
        <v>432</v>
      </c>
      <c r="B33" s="7" t="s">
        <v>314</v>
      </c>
      <c r="C33" s="7" t="s">
        <v>433</v>
      </c>
      <c r="D33" s="7" t="s">
        <v>434</v>
      </c>
      <c r="E33" s="7" t="s">
        <v>268</v>
      </c>
      <c r="F33" s="7" t="s">
        <v>269</v>
      </c>
      <c r="G33" s="7" t="s">
        <v>435</v>
      </c>
      <c r="H33" s="7" t="s">
        <v>115</v>
      </c>
      <c r="I33" s="7" t="s">
        <v>271</v>
      </c>
      <c r="J33" s="7" t="s">
        <v>259</v>
      </c>
      <c r="K33" s="7" t="s">
        <v>436</v>
      </c>
      <c r="L33" s="7" t="s">
        <v>437</v>
      </c>
      <c r="M33" s="7" t="s">
        <v>293</v>
      </c>
      <c r="N33" s="7" t="s">
        <v>276</v>
      </c>
      <c r="O33" s="7" t="s">
        <v>195</v>
      </c>
      <c r="P33" s="7" t="s">
        <v>14</v>
      </c>
      <c r="Q33" s="7" t="s">
        <v>305</v>
      </c>
      <c r="R33" s="7" t="s">
        <v>263</v>
      </c>
    </row>
    <row r="34" spans="1:18">
      <c r="A34" s="7" t="s">
        <v>438</v>
      </c>
      <c r="B34" s="7" t="s">
        <v>439</v>
      </c>
      <c r="C34" s="7" t="s">
        <v>440</v>
      </c>
      <c r="D34" s="7" t="s">
        <v>441</v>
      </c>
      <c r="E34" s="7" t="s">
        <v>339</v>
      </c>
      <c r="F34" s="7" t="s">
        <v>256</v>
      </c>
      <c r="G34" s="7" t="s">
        <v>345</v>
      </c>
      <c r="H34" s="7" t="s">
        <v>115</v>
      </c>
      <c r="I34" s="7" t="s">
        <v>258</v>
      </c>
      <c r="J34" s="7" t="s">
        <v>411</v>
      </c>
      <c r="K34" s="7" t="s">
        <v>442</v>
      </c>
      <c r="L34" s="7" t="s">
        <v>443</v>
      </c>
      <c r="M34" s="7" t="s">
        <v>275</v>
      </c>
      <c r="N34" s="7" t="s">
        <v>261</v>
      </c>
      <c r="O34" s="7" t="s">
        <v>195</v>
      </c>
      <c r="P34" s="7" t="s">
        <v>14</v>
      </c>
      <c r="Q34" s="7" t="s">
        <v>285</v>
      </c>
      <c r="R34" s="7" t="s">
        <v>263</v>
      </c>
    </row>
    <row r="35" spans="1:18">
      <c r="A35" s="7" t="s">
        <v>444</v>
      </c>
      <c r="B35" s="7" t="s">
        <v>406</v>
      </c>
      <c r="C35" s="7" t="s">
        <v>407</v>
      </c>
      <c r="D35" s="7" t="s">
        <v>445</v>
      </c>
      <c r="E35" s="7" t="s">
        <v>281</v>
      </c>
      <c r="F35" s="7" t="s">
        <v>282</v>
      </c>
      <c r="G35" s="7" t="s">
        <v>446</v>
      </c>
      <c r="H35" s="7" t="s">
        <v>127</v>
      </c>
      <c r="I35" s="7" t="s">
        <v>258</v>
      </c>
      <c r="J35" s="7" t="s">
        <v>447</v>
      </c>
      <c r="K35" s="7"/>
      <c r="L35" s="7"/>
      <c r="M35" s="7" t="s">
        <v>260</v>
      </c>
      <c r="N35" s="7" t="s">
        <v>284</v>
      </c>
      <c r="O35" s="7" t="s">
        <v>169</v>
      </c>
      <c r="P35" s="7"/>
      <c r="Q35" s="7" t="s">
        <v>285</v>
      </c>
      <c r="R35" s="7" t="s">
        <v>263</v>
      </c>
    </row>
    <row r="36" spans="1:18">
      <c r="A36" s="7" t="s">
        <v>448</v>
      </c>
      <c r="B36" s="7" t="s">
        <v>320</v>
      </c>
      <c r="C36" s="7" t="s">
        <v>449</v>
      </c>
      <c r="D36" s="7" t="s">
        <v>450</v>
      </c>
      <c r="E36" s="7" t="s">
        <v>281</v>
      </c>
      <c r="F36" s="7" t="s">
        <v>282</v>
      </c>
      <c r="G36" s="7" t="s">
        <v>283</v>
      </c>
      <c r="H36" s="7" t="s">
        <v>451</v>
      </c>
      <c r="I36" s="7" t="s">
        <v>271</v>
      </c>
      <c r="J36" s="7" t="s">
        <v>332</v>
      </c>
      <c r="K36" s="7" t="s">
        <v>452</v>
      </c>
      <c r="L36" s="7" t="s">
        <v>259</v>
      </c>
      <c r="M36" s="7" t="s">
        <v>293</v>
      </c>
      <c r="N36" s="7" t="s">
        <v>284</v>
      </c>
      <c r="O36" s="7" t="s">
        <v>169</v>
      </c>
      <c r="P36" s="7" t="s">
        <v>17</v>
      </c>
      <c r="Q36" s="7" t="s">
        <v>326</v>
      </c>
      <c r="R36" s="7" t="s">
        <v>263</v>
      </c>
    </row>
    <row r="37" spans="1:18">
      <c r="A37" s="7" t="s">
        <v>453</v>
      </c>
      <c r="B37" s="7" t="s">
        <v>439</v>
      </c>
      <c r="C37" s="7" t="s">
        <v>388</v>
      </c>
      <c r="D37" s="7" t="s">
        <v>454</v>
      </c>
      <c r="E37" s="7" t="s">
        <v>255</v>
      </c>
      <c r="F37" s="7" t="s">
        <v>282</v>
      </c>
      <c r="G37" s="7" t="s">
        <v>424</v>
      </c>
      <c r="H37" s="7" t="s">
        <v>115</v>
      </c>
      <c r="I37" s="7" t="s">
        <v>299</v>
      </c>
      <c r="J37" s="7" t="s">
        <v>392</v>
      </c>
      <c r="K37" s="7" t="s">
        <v>455</v>
      </c>
      <c r="L37" s="7" t="s">
        <v>456</v>
      </c>
      <c r="M37" s="7" t="s">
        <v>335</v>
      </c>
      <c r="N37" s="7" t="s">
        <v>284</v>
      </c>
      <c r="O37" s="7" t="s">
        <v>195</v>
      </c>
      <c r="P37" s="7" t="s">
        <v>17</v>
      </c>
      <c r="Q37" s="7" t="s">
        <v>285</v>
      </c>
      <c r="R37" s="7" t="s">
        <v>263</v>
      </c>
    </row>
    <row r="38" spans="1:18">
      <c r="A38" s="7" t="s">
        <v>457</v>
      </c>
      <c r="B38" s="7" t="s">
        <v>458</v>
      </c>
      <c r="C38" s="7" t="s">
        <v>459</v>
      </c>
      <c r="D38" s="7" t="s">
        <v>460</v>
      </c>
      <c r="E38" s="7" t="s">
        <v>339</v>
      </c>
      <c r="F38" s="7" t="s">
        <v>282</v>
      </c>
      <c r="G38" s="7" t="s">
        <v>461</v>
      </c>
      <c r="H38" s="7" t="s">
        <v>115</v>
      </c>
      <c r="I38" s="7" t="s">
        <v>316</v>
      </c>
      <c r="J38" s="7" t="s">
        <v>323</v>
      </c>
      <c r="K38" s="7" t="s">
        <v>325</v>
      </c>
      <c r="L38" s="7" t="s">
        <v>462</v>
      </c>
      <c r="M38" s="7" t="s">
        <v>335</v>
      </c>
      <c r="N38" s="7" t="s">
        <v>284</v>
      </c>
      <c r="O38" s="7" t="s">
        <v>195</v>
      </c>
      <c r="P38" s="7" t="s">
        <v>8</v>
      </c>
      <c r="Q38" s="7" t="s">
        <v>326</v>
      </c>
      <c r="R38" s="7" t="s">
        <v>263</v>
      </c>
    </row>
    <row r="39" spans="1:18">
      <c r="A39" s="7" t="s">
        <v>463</v>
      </c>
      <c r="B39" s="7" t="s">
        <v>356</v>
      </c>
      <c r="C39" s="7" t="s">
        <v>464</v>
      </c>
      <c r="D39" s="7" t="s">
        <v>465</v>
      </c>
      <c r="E39" s="7" t="s">
        <v>339</v>
      </c>
      <c r="F39" s="7" t="s">
        <v>282</v>
      </c>
      <c r="G39" s="7" t="s">
        <v>461</v>
      </c>
      <c r="H39" s="7" t="s">
        <v>466</v>
      </c>
      <c r="I39" s="7" t="s">
        <v>299</v>
      </c>
      <c r="J39" s="7" t="s">
        <v>404</v>
      </c>
      <c r="K39" s="7"/>
      <c r="L39" s="7"/>
      <c r="M39" s="7" t="s">
        <v>260</v>
      </c>
      <c r="N39" s="7" t="s">
        <v>284</v>
      </c>
      <c r="O39" s="7" t="s">
        <v>195</v>
      </c>
      <c r="P39" s="7"/>
      <c r="Q39" s="7" t="s">
        <v>262</v>
      </c>
      <c r="R39" s="7" t="s">
        <v>263</v>
      </c>
    </row>
    <row r="40" spans="1:18">
      <c r="A40" s="7" t="s">
        <v>467</v>
      </c>
      <c r="B40" s="7" t="s">
        <v>355</v>
      </c>
      <c r="C40" s="7" t="s">
        <v>265</v>
      </c>
      <c r="D40" s="7" t="s">
        <v>468</v>
      </c>
      <c r="E40" s="7" t="s">
        <v>339</v>
      </c>
      <c r="F40" s="7" t="s">
        <v>269</v>
      </c>
      <c r="G40" s="7" t="s">
        <v>340</v>
      </c>
      <c r="H40" s="7" t="s">
        <v>115</v>
      </c>
      <c r="I40" s="7" t="s">
        <v>258</v>
      </c>
      <c r="J40" s="7" t="s">
        <v>469</v>
      </c>
      <c r="K40" s="7" t="s">
        <v>470</v>
      </c>
      <c r="L40" s="7" t="s">
        <v>471</v>
      </c>
      <c r="M40" s="7" t="s">
        <v>303</v>
      </c>
      <c r="N40" s="7" t="s">
        <v>276</v>
      </c>
      <c r="O40" s="7" t="s">
        <v>195</v>
      </c>
      <c r="P40" s="7" t="s">
        <v>14</v>
      </c>
      <c r="Q40" s="7" t="s">
        <v>262</v>
      </c>
      <c r="R40" s="7" t="s">
        <v>263</v>
      </c>
    </row>
    <row r="41" spans="1:18">
      <c r="A41" s="7" t="s">
        <v>472</v>
      </c>
      <c r="B41" s="7" t="s">
        <v>473</v>
      </c>
      <c r="C41" s="7" t="s">
        <v>474</v>
      </c>
      <c r="D41" s="7" t="s">
        <v>475</v>
      </c>
      <c r="E41" s="7" t="s">
        <v>339</v>
      </c>
      <c r="F41" s="7" t="s">
        <v>409</v>
      </c>
      <c r="G41" s="7" t="s">
        <v>476</v>
      </c>
      <c r="H41" s="7" t="s">
        <v>115</v>
      </c>
      <c r="I41" s="7" t="s">
        <v>299</v>
      </c>
      <c r="J41" s="7" t="s">
        <v>346</v>
      </c>
      <c r="K41" s="7" t="s">
        <v>477</v>
      </c>
      <c r="L41" s="7" t="s">
        <v>478</v>
      </c>
      <c r="M41" s="7" t="s">
        <v>293</v>
      </c>
      <c r="N41" s="7" t="s">
        <v>412</v>
      </c>
      <c r="O41" s="7" t="s">
        <v>195</v>
      </c>
      <c r="P41" s="7" t="s">
        <v>17</v>
      </c>
      <c r="Q41" s="7" t="s">
        <v>326</v>
      </c>
      <c r="R41" s="7" t="s">
        <v>263</v>
      </c>
    </row>
    <row r="42" spans="1:18">
      <c r="A42" s="7" t="s">
        <v>479</v>
      </c>
      <c r="B42" s="7" t="s">
        <v>388</v>
      </c>
      <c r="C42" s="7" t="s">
        <v>288</v>
      </c>
      <c r="D42" s="7" t="s">
        <v>480</v>
      </c>
      <c r="E42" s="7" t="s">
        <v>339</v>
      </c>
      <c r="F42" s="7" t="s">
        <v>256</v>
      </c>
      <c r="G42" s="7" t="s">
        <v>403</v>
      </c>
      <c r="H42" s="7" t="s">
        <v>115</v>
      </c>
      <c r="I42" s="7" t="s">
        <v>316</v>
      </c>
      <c r="J42" s="7" t="s">
        <v>300</v>
      </c>
      <c r="K42" s="7" t="s">
        <v>481</v>
      </c>
      <c r="L42" s="7" t="s">
        <v>482</v>
      </c>
      <c r="M42" s="7" t="s">
        <v>293</v>
      </c>
      <c r="N42" s="7" t="s">
        <v>261</v>
      </c>
      <c r="O42" s="7" t="s">
        <v>483</v>
      </c>
      <c r="P42" s="7" t="s">
        <v>8</v>
      </c>
      <c r="Q42" s="7" t="s">
        <v>326</v>
      </c>
      <c r="R42" s="7" t="s">
        <v>263</v>
      </c>
    </row>
    <row r="43" spans="1:18">
      <c r="A43" s="7" t="s">
        <v>484</v>
      </c>
      <c r="B43" s="7" t="s">
        <v>407</v>
      </c>
      <c r="C43" s="7" t="s">
        <v>485</v>
      </c>
      <c r="D43" s="7" t="s">
        <v>486</v>
      </c>
      <c r="E43" s="7" t="s">
        <v>281</v>
      </c>
      <c r="F43" s="7" t="s">
        <v>282</v>
      </c>
      <c r="G43" s="7" t="s">
        <v>446</v>
      </c>
      <c r="H43" s="7" t="s">
        <v>115</v>
      </c>
      <c r="I43" s="7" t="s">
        <v>299</v>
      </c>
      <c r="J43" s="7" t="s">
        <v>259</v>
      </c>
      <c r="K43" s="7" t="s">
        <v>487</v>
      </c>
      <c r="L43" s="7" t="s">
        <v>488</v>
      </c>
      <c r="M43" s="7" t="s">
        <v>293</v>
      </c>
      <c r="N43" s="7" t="s">
        <v>284</v>
      </c>
      <c r="O43" s="7" t="s">
        <v>195</v>
      </c>
      <c r="P43" s="7" t="s">
        <v>14</v>
      </c>
      <c r="Q43" s="7" t="s">
        <v>305</v>
      </c>
      <c r="R43" s="7" t="s">
        <v>263</v>
      </c>
    </row>
    <row r="44" spans="1:18">
      <c r="A44" s="7" t="s">
        <v>489</v>
      </c>
      <c r="B44" s="7" t="s">
        <v>313</v>
      </c>
      <c r="C44" s="7" t="s">
        <v>490</v>
      </c>
      <c r="D44" s="7" t="s">
        <v>408</v>
      </c>
      <c r="E44" s="7" t="s">
        <v>339</v>
      </c>
      <c r="F44" s="7" t="s">
        <v>282</v>
      </c>
      <c r="G44" s="7" t="s">
        <v>461</v>
      </c>
      <c r="H44" s="7" t="s">
        <v>115</v>
      </c>
      <c r="I44" s="7" t="s">
        <v>316</v>
      </c>
      <c r="J44" s="7" t="s">
        <v>323</v>
      </c>
      <c r="K44" s="7" t="s">
        <v>324</v>
      </c>
      <c r="L44" s="7" t="s">
        <v>491</v>
      </c>
      <c r="M44" s="7" t="s">
        <v>303</v>
      </c>
      <c r="N44" s="7" t="s">
        <v>284</v>
      </c>
      <c r="O44" s="7" t="s">
        <v>195</v>
      </c>
      <c r="P44" s="7" t="s">
        <v>14</v>
      </c>
      <c r="Q44" s="7" t="s">
        <v>318</v>
      </c>
      <c r="R44" s="7" t="s">
        <v>263</v>
      </c>
    </row>
    <row r="45" spans="1:18">
      <c r="A45" s="7" t="s">
        <v>492</v>
      </c>
      <c r="B45" s="7" t="s">
        <v>493</v>
      </c>
      <c r="C45" s="7" t="s">
        <v>494</v>
      </c>
      <c r="D45" s="7" t="s">
        <v>495</v>
      </c>
      <c r="E45" s="7" t="s">
        <v>281</v>
      </c>
      <c r="F45" s="7" t="s">
        <v>409</v>
      </c>
      <c r="G45" s="7" t="s">
        <v>496</v>
      </c>
      <c r="H45" s="7" t="s">
        <v>115</v>
      </c>
      <c r="I45" s="7" t="s">
        <v>258</v>
      </c>
      <c r="J45" s="7" t="s">
        <v>358</v>
      </c>
      <c r="K45" s="7" t="s">
        <v>497</v>
      </c>
      <c r="L45" s="7" t="s">
        <v>498</v>
      </c>
      <c r="M45" s="7" t="s">
        <v>303</v>
      </c>
      <c r="N45" s="7" t="s">
        <v>412</v>
      </c>
      <c r="O45" s="7" t="s">
        <v>195</v>
      </c>
      <c r="P45" s="7" t="s">
        <v>14</v>
      </c>
      <c r="Q45" s="7" t="s">
        <v>262</v>
      </c>
      <c r="R45" s="7" t="s">
        <v>263</v>
      </c>
    </row>
    <row r="46" spans="1:18">
      <c r="A46" s="7" t="s">
        <v>499</v>
      </c>
      <c r="B46" s="7" t="s">
        <v>266</v>
      </c>
      <c r="C46" s="7" t="s">
        <v>474</v>
      </c>
      <c r="D46" s="7" t="s">
        <v>500</v>
      </c>
      <c r="E46" s="7" t="s">
        <v>339</v>
      </c>
      <c r="F46" s="7" t="s">
        <v>409</v>
      </c>
      <c r="G46" s="7" t="s">
        <v>501</v>
      </c>
      <c r="H46" s="7" t="s">
        <v>122</v>
      </c>
      <c r="I46" s="7" t="s">
        <v>299</v>
      </c>
      <c r="J46" s="7" t="s">
        <v>332</v>
      </c>
      <c r="K46" s="7"/>
      <c r="L46" s="7"/>
      <c r="M46" s="7" t="s">
        <v>260</v>
      </c>
      <c r="N46" s="7" t="s">
        <v>412</v>
      </c>
      <c r="O46" s="7" t="s">
        <v>195</v>
      </c>
      <c r="P46" s="7"/>
      <c r="Q46" s="7" t="s">
        <v>326</v>
      </c>
      <c r="R46" s="7" t="s">
        <v>263</v>
      </c>
    </row>
    <row r="47" spans="1:18">
      <c r="A47" s="7" t="s">
        <v>502</v>
      </c>
      <c r="B47" s="7" t="s">
        <v>406</v>
      </c>
      <c r="C47" s="7" t="s">
        <v>503</v>
      </c>
      <c r="D47" s="7" t="s">
        <v>504</v>
      </c>
      <c r="E47" s="7" t="s">
        <v>268</v>
      </c>
      <c r="F47" s="7" t="s">
        <v>282</v>
      </c>
      <c r="G47" s="7" t="s">
        <v>505</v>
      </c>
      <c r="H47" s="7" t="s">
        <v>115</v>
      </c>
      <c r="I47" s="7" t="s">
        <v>299</v>
      </c>
      <c r="J47" s="7" t="s">
        <v>259</v>
      </c>
      <c r="K47" s="7" t="s">
        <v>437</v>
      </c>
      <c r="L47" s="7" t="s">
        <v>382</v>
      </c>
      <c r="M47" s="7" t="s">
        <v>275</v>
      </c>
      <c r="N47" s="7" t="s">
        <v>284</v>
      </c>
      <c r="O47" s="7" t="s">
        <v>195</v>
      </c>
      <c r="P47" s="7" t="s">
        <v>14</v>
      </c>
      <c r="Q47" s="7" t="s">
        <v>326</v>
      </c>
      <c r="R47" s="7" t="s">
        <v>263</v>
      </c>
    </row>
    <row r="48" spans="1:18">
      <c r="A48" s="7" t="s">
        <v>506</v>
      </c>
      <c r="B48" s="7" t="s">
        <v>406</v>
      </c>
      <c r="C48" s="7" t="s">
        <v>507</v>
      </c>
      <c r="D48" s="7" t="s">
        <v>508</v>
      </c>
      <c r="E48" s="7" t="s">
        <v>281</v>
      </c>
      <c r="F48" s="7" t="s">
        <v>256</v>
      </c>
      <c r="G48" s="7" t="s">
        <v>429</v>
      </c>
      <c r="H48" s="7" t="s">
        <v>122</v>
      </c>
      <c r="I48" s="7" t="s">
        <v>258</v>
      </c>
      <c r="J48" s="7" t="s">
        <v>272</v>
      </c>
      <c r="K48" s="7"/>
      <c r="L48" s="7"/>
      <c r="M48" s="7" t="s">
        <v>260</v>
      </c>
      <c r="N48" s="7" t="s">
        <v>261</v>
      </c>
      <c r="O48" s="7" t="s">
        <v>195</v>
      </c>
      <c r="P48" s="7"/>
      <c r="Q48" s="7" t="s">
        <v>318</v>
      </c>
      <c r="R48" s="7" t="s">
        <v>263</v>
      </c>
    </row>
    <row r="49" spans="1:18">
      <c r="A49" s="7" t="s">
        <v>509</v>
      </c>
      <c r="B49" s="7" t="s">
        <v>458</v>
      </c>
      <c r="C49" s="7" t="s">
        <v>288</v>
      </c>
      <c r="D49" s="7" t="s">
        <v>367</v>
      </c>
      <c r="E49" s="7" t="s">
        <v>281</v>
      </c>
      <c r="F49" s="7" t="s">
        <v>269</v>
      </c>
      <c r="G49" s="7" t="s">
        <v>363</v>
      </c>
      <c r="H49" s="7" t="s">
        <v>115</v>
      </c>
      <c r="I49" s="7" t="s">
        <v>271</v>
      </c>
      <c r="J49" s="7" t="s">
        <v>399</v>
      </c>
      <c r="K49" s="7" t="s">
        <v>510</v>
      </c>
      <c r="L49" s="7" t="s">
        <v>511</v>
      </c>
      <c r="M49" s="7" t="s">
        <v>303</v>
      </c>
      <c r="N49" s="7" t="s">
        <v>276</v>
      </c>
      <c r="O49" s="7" t="s">
        <v>195</v>
      </c>
      <c r="P49" s="7" t="s">
        <v>14</v>
      </c>
      <c r="Q49" s="7" t="s">
        <v>262</v>
      </c>
      <c r="R49" s="7" t="s">
        <v>263</v>
      </c>
    </row>
    <row r="50" spans="1:18">
      <c r="A50" s="7" t="s">
        <v>512</v>
      </c>
      <c r="B50" s="7" t="s">
        <v>278</v>
      </c>
      <c r="C50" s="7" t="s">
        <v>513</v>
      </c>
      <c r="D50" s="7" t="s">
        <v>514</v>
      </c>
      <c r="E50" s="7" t="s">
        <v>281</v>
      </c>
      <c r="F50" s="7" t="s">
        <v>256</v>
      </c>
      <c r="G50" s="7" t="s">
        <v>429</v>
      </c>
      <c r="H50" s="7" t="s">
        <v>115</v>
      </c>
      <c r="I50" s="7" t="s">
        <v>316</v>
      </c>
      <c r="J50" s="7" t="s">
        <v>346</v>
      </c>
      <c r="K50" s="7" t="s">
        <v>346</v>
      </c>
      <c r="L50" s="7" t="s">
        <v>347</v>
      </c>
      <c r="M50" s="7" t="s">
        <v>303</v>
      </c>
      <c r="N50" s="7" t="s">
        <v>261</v>
      </c>
      <c r="O50" s="7" t="s">
        <v>169</v>
      </c>
      <c r="P50" s="7" t="s">
        <v>8</v>
      </c>
      <c r="Q50" s="7" t="s">
        <v>318</v>
      </c>
      <c r="R50" s="7" t="s">
        <v>263</v>
      </c>
    </row>
    <row r="51" spans="1:18">
      <c r="A51" s="7" t="s">
        <v>515</v>
      </c>
      <c r="B51" s="7" t="s">
        <v>266</v>
      </c>
      <c r="C51" s="7" t="s">
        <v>380</v>
      </c>
      <c r="D51" s="7" t="s">
        <v>280</v>
      </c>
      <c r="E51" s="7" t="s">
        <v>281</v>
      </c>
      <c r="F51" s="7" t="s">
        <v>269</v>
      </c>
      <c r="G51" s="7" t="s">
        <v>363</v>
      </c>
      <c r="H51" s="7" t="s">
        <v>127</v>
      </c>
      <c r="I51" s="7" t="s">
        <v>271</v>
      </c>
      <c r="J51" s="7" t="s">
        <v>323</v>
      </c>
      <c r="K51" s="7"/>
      <c r="L51" s="7"/>
      <c r="M51" s="7" t="s">
        <v>260</v>
      </c>
      <c r="N51" s="7" t="s">
        <v>276</v>
      </c>
      <c r="O51" s="7" t="s">
        <v>195</v>
      </c>
      <c r="P51" s="7"/>
      <c r="Q51" s="7" t="s">
        <v>305</v>
      </c>
      <c r="R51" s="7" t="s">
        <v>263</v>
      </c>
    </row>
    <row r="52" spans="1:18">
      <c r="A52" s="7" t="s">
        <v>516</v>
      </c>
      <c r="B52" s="7" t="s">
        <v>464</v>
      </c>
      <c r="C52" s="7" t="s">
        <v>517</v>
      </c>
      <c r="D52" s="7" t="s">
        <v>518</v>
      </c>
      <c r="E52" s="7" t="s">
        <v>339</v>
      </c>
      <c r="F52" s="7" t="s">
        <v>409</v>
      </c>
      <c r="G52" s="7" t="s">
        <v>501</v>
      </c>
      <c r="H52" s="7" t="s">
        <v>115</v>
      </c>
      <c r="I52" s="7" t="s">
        <v>519</v>
      </c>
      <c r="J52" s="7" t="s">
        <v>399</v>
      </c>
      <c r="K52" s="7" t="s">
        <v>510</v>
      </c>
      <c r="L52" s="7" t="s">
        <v>520</v>
      </c>
      <c r="M52" s="7" t="s">
        <v>335</v>
      </c>
      <c r="N52" s="7" t="s">
        <v>412</v>
      </c>
      <c r="O52" s="7" t="s">
        <v>195</v>
      </c>
      <c r="P52" s="7" t="s">
        <v>11</v>
      </c>
      <c r="Q52" s="7" t="s">
        <v>326</v>
      </c>
      <c r="R52" s="7" t="s">
        <v>263</v>
      </c>
    </row>
    <row r="53" spans="1:18">
      <c r="A53" s="7" t="s">
        <v>521</v>
      </c>
      <c r="B53" s="7" t="s">
        <v>522</v>
      </c>
      <c r="C53" s="7" t="s">
        <v>307</v>
      </c>
      <c r="D53" s="7" t="s">
        <v>523</v>
      </c>
      <c r="E53" s="7" t="s">
        <v>268</v>
      </c>
      <c r="F53" s="7" t="s">
        <v>282</v>
      </c>
      <c r="G53" s="7" t="s">
        <v>524</v>
      </c>
      <c r="H53" s="7" t="s">
        <v>122</v>
      </c>
      <c r="I53" s="7" t="s">
        <v>271</v>
      </c>
      <c r="J53" s="7" t="s">
        <v>525</v>
      </c>
      <c r="K53" s="7"/>
      <c r="L53" s="7"/>
      <c r="M53" s="7" t="s">
        <v>260</v>
      </c>
      <c r="N53" s="7" t="s">
        <v>284</v>
      </c>
      <c r="O53" s="7" t="s">
        <v>195</v>
      </c>
      <c r="P53" s="7"/>
      <c r="Q53" s="7" t="s">
        <v>326</v>
      </c>
      <c r="R53" s="7" t="s">
        <v>263</v>
      </c>
    </row>
    <row r="54" spans="1:18">
      <c r="A54" s="7" t="s">
        <v>526</v>
      </c>
      <c r="B54" s="7" t="s">
        <v>396</v>
      </c>
      <c r="C54" s="7" t="s">
        <v>503</v>
      </c>
      <c r="D54" s="7" t="s">
        <v>527</v>
      </c>
      <c r="E54" s="7" t="s">
        <v>339</v>
      </c>
      <c r="F54" s="7" t="s">
        <v>269</v>
      </c>
      <c r="G54" s="7" t="s">
        <v>528</v>
      </c>
      <c r="H54" s="7" t="s">
        <v>115</v>
      </c>
      <c r="I54" s="7" t="s">
        <v>316</v>
      </c>
      <c r="J54" s="7" t="s">
        <v>529</v>
      </c>
      <c r="K54" s="7" t="s">
        <v>530</v>
      </c>
      <c r="L54" s="7" t="s">
        <v>531</v>
      </c>
      <c r="M54" s="7" t="s">
        <v>303</v>
      </c>
      <c r="N54" s="7" t="s">
        <v>276</v>
      </c>
      <c r="O54" s="7" t="s">
        <v>169</v>
      </c>
      <c r="P54" s="7" t="s">
        <v>14</v>
      </c>
      <c r="Q54" s="7" t="s">
        <v>285</v>
      </c>
      <c r="R54" s="7" t="s">
        <v>263</v>
      </c>
    </row>
    <row r="55" spans="1:18">
      <c r="A55" s="7" t="s">
        <v>532</v>
      </c>
      <c r="B55" s="7" t="s">
        <v>313</v>
      </c>
      <c r="C55" s="7" t="s">
        <v>533</v>
      </c>
      <c r="D55" s="7" t="s">
        <v>534</v>
      </c>
      <c r="E55" s="7" t="s">
        <v>281</v>
      </c>
      <c r="F55" s="7" t="s">
        <v>409</v>
      </c>
      <c r="G55" s="7" t="s">
        <v>535</v>
      </c>
      <c r="H55" s="7" t="s">
        <v>115</v>
      </c>
      <c r="I55" s="7" t="s">
        <v>258</v>
      </c>
      <c r="J55" s="7" t="s">
        <v>411</v>
      </c>
      <c r="K55" s="7" t="s">
        <v>536</v>
      </c>
      <c r="L55" s="7" t="s">
        <v>537</v>
      </c>
      <c r="M55" s="7" t="s">
        <v>303</v>
      </c>
      <c r="N55" s="7" t="s">
        <v>412</v>
      </c>
      <c r="O55" s="7" t="s">
        <v>195</v>
      </c>
      <c r="P55" s="7" t="s">
        <v>14</v>
      </c>
      <c r="Q55" s="7" t="s">
        <v>318</v>
      </c>
      <c r="R55" s="7" t="s">
        <v>263</v>
      </c>
    </row>
    <row r="56" spans="1:18">
      <c r="A56" s="7" t="s">
        <v>538</v>
      </c>
      <c r="B56" s="7" t="s">
        <v>473</v>
      </c>
      <c r="C56" s="7" t="s">
        <v>320</v>
      </c>
      <c r="D56" s="7" t="s">
        <v>418</v>
      </c>
      <c r="E56" s="7" t="s">
        <v>281</v>
      </c>
      <c r="F56" s="7" t="s">
        <v>282</v>
      </c>
      <c r="G56" s="7" t="s">
        <v>283</v>
      </c>
      <c r="H56" s="7" t="s">
        <v>127</v>
      </c>
      <c r="I56" s="7" t="s">
        <v>258</v>
      </c>
      <c r="J56" s="7" t="s">
        <v>469</v>
      </c>
      <c r="K56" s="7"/>
      <c r="L56" s="7"/>
      <c r="M56" s="7" t="s">
        <v>260</v>
      </c>
      <c r="N56" s="7" t="s">
        <v>284</v>
      </c>
      <c r="O56" s="7" t="s">
        <v>195</v>
      </c>
      <c r="P56" s="7"/>
      <c r="Q56" s="7" t="s">
        <v>318</v>
      </c>
      <c r="R56" s="7" t="s">
        <v>263</v>
      </c>
    </row>
    <row r="57" spans="1:18">
      <c r="A57" s="7" t="s">
        <v>539</v>
      </c>
      <c r="B57" s="7" t="s">
        <v>320</v>
      </c>
      <c r="C57" s="7" t="s">
        <v>540</v>
      </c>
      <c r="D57" s="7" t="s">
        <v>541</v>
      </c>
      <c r="E57" s="7" t="s">
        <v>255</v>
      </c>
      <c r="F57" s="7" t="s">
        <v>269</v>
      </c>
      <c r="G57" s="7" t="s">
        <v>542</v>
      </c>
      <c r="H57" s="7" t="s">
        <v>115</v>
      </c>
      <c r="I57" s="7" t="s">
        <v>258</v>
      </c>
      <c r="J57" s="7" t="s">
        <v>272</v>
      </c>
      <c r="K57" s="7" t="s">
        <v>543</v>
      </c>
      <c r="L57" s="7" t="s">
        <v>544</v>
      </c>
      <c r="M57" s="7" t="s">
        <v>303</v>
      </c>
      <c r="N57" s="7" t="s">
        <v>276</v>
      </c>
      <c r="O57" s="7" t="s">
        <v>195</v>
      </c>
      <c r="P57" s="7" t="s">
        <v>17</v>
      </c>
      <c r="Q57" s="7" t="s">
        <v>326</v>
      </c>
      <c r="R57" s="7" t="s">
        <v>263</v>
      </c>
    </row>
    <row r="58" spans="1:18">
      <c r="A58" s="7" t="s">
        <v>545</v>
      </c>
      <c r="B58" s="7" t="s">
        <v>320</v>
      </c>
      <c r="C58" s="7" t="s">
        <v>295</v>
      </c>
      <c r="D58" s="7" t="s">
        <v>546</v>
      </c>
      <c r="E58" s="7" t="s">
        <v>281</v>
      </c>
      <c r="F58" s="7" t="s">
        <v>409</v>
      </c>
      <c r="G58" s="7" t="s">
        <v>535</v>
      </c>
      <c r="H58" s="7" t="s">
        <v>115</v>
      </c>
      <c r="I58" s="7" t="s">
        <v>299</v>
      </c>
      <c r="J58" s="7" t="s">
        <v>447</v>
      </c>
      <c r="K58" s="7" t="s">
        <v>547</v>
      </c>
      <c r="L58" s="7" t="s">
        <v>548</v>
      </c>
      <c r="M58" s="7" t="s">
        <v>335</v>
      </c>
      <c r="N58" s="7" t="s">
        <v>549</v>
      </c>
      <c r="O58" s="7" t="s">
        <v>195</v>
      </c>
      <c r="P58" s="7" t="s">
        <v>17</v>
      </c>
      <c r="Q58" s="7" t="s">
        <v>318</v>
      </c>
      <c r="R58" s="7" t="s">
        <v>263</v>
      </c>
    </row>
    <row r="59" spans="1:18">
      <c r="A59" s="7" t="s">
        <v>550</v>
      </c>
      <c r="B59" s="7" t="s">
        <v>265</v>
      </c>
      <c r="C59" s="7" t="s">
        <v>533</v>
      </c>
      <c r="D59" s="7" t="s">
        <v>551</v>
      </c>
      <c r="E59" s="7" t="s">
        <v>268</v>
      </c>
      <c r="F59" s="7" t="s">
        <v>409</v>
      </c>
      <c r="G59" s="7" t="s">
        <v>552</v>
      </c>
      <c r="H59" s="7" t="s">
        <v>115</v>
      </c>
      <c r="I59" s="7" t="s">
        <v>271</v>
      </c>
      <c r="J59" s="7" t="s">
        <v>300</v>
      </c>
      <c r="K59" s="7" t="s">
        <v>553</v>
      </c>
      <c r="L59" s="7" t="s">
        <v>554</v>
      </c>
      <c r="M59" s="7" t="s">
        <v>335</v>
      </c>
      <c r="N59" s="7" t="s">
        <v>412</v>
      </c>
      <c r="O59" s="7" t="s">
        <v>169</v>
      </c>
      <c r="P59" s="7" t="s">
        <v>8</v>
      </c>
      <c r="Q59" s="7" t="s">
        <v>305</v>
      </c>
      <c r="R59" s="7" t="s">
        <v>263</v>
      </c>
    </row>
    <row r="60" spans="1:18">
      <c r="A60" s="7" t="s">
        <v>555</v>
      </c>
      <c r="B60" s="7" t="s">
        <v>407</v>
      </c>
      <c r="C60" s="7" t="s">
        <v>490</v>
      </c>
      <c r="D60" s="7" t="s">
        <v>518</v>
      </c>
      <c r="E60" s="7" t="s">
        <v>281</v>
      </c>
      <c r="F60" s="7" t="s">
        <v>282</v>
      </c>
      <c r="G60" s="7" t="s">
        <v>446</v>
      </c>
      <c r="H60" s="7" t="s">
        <v>115</v>
      </c>
      <c r="I60" s="7" t="s">
        <v>271</v>
      </c>
      <c r="J60" s="7" t="s">
        <v>332</v>
      </c>
      <c r="K60" s="7" t="s">
        <v>556</v>
      </c>
      <c r="L60" s="7" t="s">
        <v>487</v>
      </c>
      <c r="M60" s="7" t="s">
        <v>293</v>
      </c>
      <c r="N60" s="7" t="s">
        <v>284</v>
      </c>
      <c r="O60" s="7" t="s">
        <v>195</v>
      </c>
      <c r="P60" s="7" t="s">
        <v>8</v>
      </c>
      <c r="Q60" s="7" t="s">
        <v>318</v>
      </c>
      <c r="R60" s="7" t="s">
        <v>263</v>
      </c>
    </row>
    <row r="61" spans="1:18">
      <c r="A61" s="7" t="s">
        <v>557</v>
      </c>
      <c r="B61" s="7" t="s">
        <v>278</v>
      </c>
      <c r="C61" s="7" t="s">
        <v>439</v>
      </c>
      <c r="D61" s="7" t="s">
        <v>558</v>
      </c>
      <c r="E61" s="7" t="s">
        <v>281</v>
      </c>
      <c r="F61" s="7" t="s">
        <v>269</v>
      </c>
      <c r="G61" s="7" t="s">
        <v>322</v>
      </c>
      <c r="H61" s="7" t="s">
        <v>115</v>
      </c>
      <c r="I61" s="7" t="s">
        <v>258</v>
      </c>
      <c r="J61" s="7" t="s">
        <v>272</v>
      </c>
      <c r="K61" s="7" t="s">
        <v>559</v>
      </c>
      <c r="L61" s="7" t="s">
        <v>456</v>
      </c>
      <c r="M61" s="7" t="s">
        <v>303</v>
      </c>
      <c r="N61" s="7" t="s">
        <v>276</v>
      </c>
      <c r="O61" s="7" t="s">
        <v>195</v>
      </c>
      <c r="P61" s="7" t="s">
        <v>8</v>
      </c>
      <c r="Q61" s="7" t="s">
        <v>326</v>
      </c>
      <c r="R61" s="7" t="s">
        <v>263</v>
      </c>
    </row>
    <row r="62" spans="1:18">
      <c r="A62" s="7" t="s">
        <v>560</v>
      </c>
      <c r="B62" s="7" t="s">
        <v>561</v>
      </c>
      <c r="C62" s="7" t="s">
        <v>562</v>
      </c>
      <c r="D62" s="7" t="s">
        <v>563</v>
      </c>
      <c r="E62" s="7" t="s">
        <v>339</v>
      </c>
      <c r="F62" s="7" t="s">
        <v>282</v>
      </c>
      <c r="G62" s="7" t="s">
        <v>564</v>
      </c>
      <c r="H62" s="7" t="s">
        <v>115</v>
      </c>
      <c r="I62" s="7" t="s">
        <v>316</v>
      </c>
      <c r="J62" s="7" t="s">
        <v>358</v>
      </c>
      <c r="K62" s="7" t="s">
        <v>565</v>
      </c>
      <c r="L62" s="7" t="s">
        <v>566</v>
      </c>
      <c r="M62" s="7" t="s">
        <v>303</v>
      </c>
      <c r="N62" s="7" t="s">
        <v>284</v>
      </c>
      <c r="O62" s="7" t="s">
        <v>195</v>
      </c>
      <c r="P62" s="7" t="s">
        <v>17</v>
      </c>
      <c r="Q62" s="7" t="s">
        <v>262</v>
      </c>
      <c r="R62" s="7" t="s">
        <v>263</v>
      </c>
    </row>
    <row r="63" spans="1:18">
      <c r="A63" s="7" t="s">
        <v>567</v>
      </c>
      <c r="B63" s="7" t="s">
        <v>406</v>
      </c>
      <c r="C63" s="7" t="s">
        <v>313</v>
      </c>
      <c r="D63" s="7" t="s">
        <v>568</v>
      </c>
      <c r="E63" s="7" t="s">
        <v>339</v>
      </c>
      <c r="F63" s="7" t="s">
        <v>297</v>
      </c>
      <c r="G63" s="7" t="s">
        <v>569</v>
      </c>
      <c r="H63" s="7" t="s">
        <v>115</v>
      </c>
      <c r="I63" s="7" t="s">
        <v>271</v>
      </c>
      <c r="J63" s="7" t="s">
        <v>351</v>
      </c>
      <c r="K63" s="7" t="s">
        <v>570</v>
      </c>
      <c r="L63" s="7" t="s">
        <v>571</v>
      </c>
      <c r="M63" s="7" t="s">
        <v>303</v>
      </c>
      <c r="N63" s="7" t="s">
        <v>304</v>
      </c>
      <c r="O63" s="7" t="s">
        <v>195</v>
      </c>
      <c r="P63" s="7" t="s">
        <v>14</v>
      </c>
      <c r="Q63" s="7" t="s">
        <v>318</v>
      </c>
      <c r="R63" s="7" t="s">
        <v>263</v>
      </c>
    </row>
    <row r="64" spans="1:18">
      <c r="A64" s="7" t="s">
        <v>572</v>
      </c>
      <c r="B64" s="7" t="s">
        <v>573</v>
      </c>
      <c r="C64" s="7" t="s">
        <v>574</v>
      </c>
      <c r="D64" s="7" t="s">
        <v>575</v>
      </c>
      <c r="E64" s="7" t="s">
        <v>255</v>
      </c>
      <c r="F64" s="7" t="s">
        <v>297</v>
      </c>
      <c r="G64" s="7" t="s">
        <v>331</v>
      </c>
      <c r="H64" s="7" t="s">
        <v>122</v>
      </c>
      <c r="I64" s="7" t="s">
        <v>299</v>
      </c>
      <c r="J64" s="7" t="s">
        <v>447</v>
      </c>
      <c r="K64" s="7"/>
      <c r="L64" s="7"/>
      <c r="M64" s="7" t="s">
        <v>260</v>
      </c>
      <c r="N64" s="7" t="s">
        <v>304</v>
      </c>
      <c r="O64" s="7" t="s">
        <v>195</v>
      </c>
      <c r="P64" s="7"/>
      <c r="Q64" s="7" t="s">
        <v>262</v>
      </c>
      <c r="R64" s="7" t="s">
        <v>263</v>
      </c>
    </row>
    <row r="65" spans="1:18">
      <c r="A65" s="7" t="s">
        <v>576</v>
      </c>
      <c r="B65" s="7" t="s">
        <v>458</v>
      </c>
      <c r="C65" s="7" t="s">
        <v>507</v>
      </c>
      <c r="D65" s="7" t="s">
        <v>577</v>
      </c>
      <c r="E65" s="7" t="s">
        <v>255</v>
      </c>
      <c r="F65" s="7" t="s">
        <v>256</v>
      </c>
      <c r="G65" s="7" t="s">
        <v>398</v>
      </c>
      <c r="H65" s="7" t="s">
        <v>127</v>
      </c>
      <c r="I65" s="7" t="s">
        <v>258</v>
      </c>
      <c r="J65" s="7" t="s">
        <v>411</v>
      </c>
      <c r="K65" s="7"/>
      <c r="L65" s="7"/>
      <c r="M65" s="7" t="s">
        <v>260</v>
      </c>
      <c r="N65" s="7" t="s">
        <v>261</v>
      </c>
      <c r="O65" s="7" t="s">
        <v>195</v>
      </c>
      <c r="P65" s="7"/>
      <c r="Q65" s="7" t="s">
        <v>318</v>
      </c>
      <c r="R65" s="7" t="s">
        <v>263</v>
      </c>
    </row>
    <row r="66" spans="1:18">
      <c r="A66" s="7" t="s">
        <v>578</v>
      </c>
      <c r="B66" s="7" t="s">
        <v>493</v>
      </c>
      <c r="C66" s="7" t="s">
        <v>474</v>
      </c>
      <c r="D66" s="7" t="s">
        <v>579</v>
      </c>
      <c r="E66" s="7" t="s">
        <v>281</v>
      </c>
      <c r="F66" s="7" t="s">
        <v>580</v>
      </c>
      <c r="G66" s="7" t="s">
        <v>298</v>
      </c>
      <c r="H66" s="7" t="s">
        <v>127</v>
      </c>
      <c r="I66" s="7" t="s">
        <v>299</v>
      </c>
      <c r="J66" s="7" t="s">
        <v>404</v>
      </c>
      <c r="K66" s="7"/>
      <c r="L66" s="7"/>
      <c r="M66" s="7" t="s">
        <v>260</v>
      </c>
      <c r="N66" s="7" t="s">
        <v>304</v>
      </c>
      <c r="O66" s="7" t="s">
        <v>195</v>
      </c>
      <c r="P66" s="7"/>
      <c r="Q66" s="7" t="s">
        <v>326</v>
      </c>
      <c r="R66" s="7" t="s">
        <v>263</v>
      </c>
    </row>
    <row r="67" spans="1:18">
      <c r="A67" s="7" t="s">
        <v>581</v>
      </c>
      <c r="B67" s="7" t="s">
        <v>279</v>
      </c>
      <c r="C67" s="7" t="s">
        <v>385</v>
      </c>
      <c r="D67" s="7" t="s">
        <v>582</v>
      </c>
      <c r="E67" s="7" t="s">
        <v>268</v>
      </c>
      <c r="F67" s="7" t="s">
        <v>297</v>
      </c>
      <c r="G67" s="7" t="s">
        <v>583</v>
      </c>
      <c r="H67" s="7" t="s">
        <v>451</v>
      </c>
      <c r="I67" s="7" t="s">
        <v>299</v>
      </c>
      <c r="J67" s="7" t="s">
        <v>272</v>
      </c>
      <c r="K67" s="7" t="s">
        <v>543</v>
      </c>
      <c r="L67" s="7" t="s">
        <v>543</v>
      </c>
      <c r="M67" s="7" t="s">
        <v>303</v>
      </c>
      <c r="N67" s="7" t="s">
        <v>304</v>
      </c>
      <c r="O67" s="7" t="s">
        <v>169</v>
      </c>
      <c r="P67" s="7" t="s">
        <v>8</v>
      </c>
      <c r="Q67" s="7" t="s">
        <v>318</v>
      </c>
      <c r="R67" s="7" t="s">
        <v>263</v>
      </c>
    </row>
    <row r="68" spans="1:18">
      <c r="A68" s="7" t="s">
        <v>584</v>
      </c>
      <c r="B68" s="7" t="s">
        <v>585</v>
      </c>
      <c r="C68" s="7" t="s">
        <v>540</v>
      </c>
      <c r="D68" s="7" t="s">
        <v>586</v>
      </c>
      <c r="E68" s="7" t="s">
        <v>268</v>
      </c>
      <c r="F68" s="7" t="s">
        <v>409</v>
      </c>
      <c r="G68" s="7" t="s">
        <v>587</v>
      </c>
      <c r="H68" s="7" t="s">
        <v>115</v>
      </c>
      <c r="I68" s="7" t="s">
        <v>258</v>
      </c>
      <c r="J68" s="7" t="s">
        <v>399</v>
      </c>
      <c r="K68" s="7" t="s">
        <v>588</v>
      </c>
      <c r="L68" s="7" t="s">
        <v>589</v>
      </c>
      <c r="M68" s="7" t="s">
        <v>275</v>
      </c>
      <c r="N68" s="7" t="s">
        <v>412</v>
      </c>
      <c r="O68" s="7" t="s">
        <v>195</v>
      </c>
      <c r="P68" s="7" t="s">
        <v>14</v>
      </c>
      <c r="Q68" s="7" t="s">
        <v>318</v>
      </c>
      <c r="R68" s="7" t="s">
        <v>263</v>
      </c>
    </row>
    <row r="69" spans="1:18">
      <c r="A69" s="7" t="s">
        <v>590</v>
      </c>
      <c r="B69" s="7" t="s">
        <v>320</v>
      </c>
      <c r="C69" s="7" t="s">
        <v>591</v>
      </c>
      <c r="D69" s="7" t="s">
        <v>592</v>
      </c>
      <c r="E69" s="7" t="s">
        <v>268</v>
      </c>
      <c r="F69" s="7" t="s">
        <v>256</v>
      </c>
      <c r="G69" s="7" t="s">
        <v>419</v>
      </c>
      <c r="H69" s="7" t="s">
        <v>122</v>
      </c>
      <c r="I69" s="7" t="s">
        <v>258</v>
      </c>
      <c r="J69" s="7" t="s">
        <v>399</v>
      </c>
      <c r="K69" s="7"/>
      <c r="L69" s="7"/>
      <c r="M69" s="7" t="s">
        <v>260</v>
      </c>
      <c r="N69" s="7" t="s">
        <v>261</v>
      </c>
      <c r="O69" s="7" t="s">
        <v>195</v>
      </c>
      <c r="P69" s="7"/>
      <c r="Q69" s="7" t="s">
        <v>318</v>
      </c>
      <c r="R69" s="7" t="s">
        <v>263</v>
      </c>
    </row>
    <row r="70" spans="1:18">
      <c r="A70" s="7" t="s">
        <v>593</v>
      </c>
      <c r="B70" s="7" t="s">
        <v>458</v>
      </c>
      <c r="C70" s="7" t="s">
        <v>433</v>
      </c>
      <c r="D70" s="7" t="s">
        <v>594</v>
      </c>
      <c r="E70" s="7" t="s">
        <v>268</v>
      </c>
      <c r="F70" s="7" t="s">
        <v>409</v>
      </c>
      <c r="G70" s="7" t="s">
        <v>587</v>
      </c>
      <c r="H70" s="7" t="s">
        <v>115</v>
      </c>
      <c r="I70" s="7" t="s">
        <v>271</v>
      </c>
      <c r="J70" s="7" t="s">
        <v>411</v>
      </c>
      <c r="K70" s="7" t="s">
        <v>595</v>
      </c>
      <c r="L70" s="7" t="s">
        <v>596</v>
      </c>
      <c r="M70" s="7" t="s">
        <v>335</v>
      </c>
      <c r="N70" s="7" t="s">
        <v>412</v>
      </c>
      <c r="O70" s="7" t="s">
        <v>195</v>
      </c>
      <c r="P70" s="7" t="s">
        <v>8</v>
      </c>
      <c r="Q70" s="7" t="s">
        <v>305</v>
      </c>
      <c r="R70" s="7" t="s">
        <v>263</v>
      </c>
    </row>
    <row r="71" spans="1:18">
      <c r="A71" s="7" t="s">
        <v>597</v>
      </c>
      <c r="B71" s="7" t="s">
        <v>265</v>
      </c>
      <c r="C71" s="7" t="s">
        <v>503</v>
      </c>
      <c r="D71" s="7" t="s">
        <v>289</v>
      </c>
      <c r="E71" s="7" t="s">
        <v>281</v>
      </c>
      <c r="F71" s="7" t="s">
        <v>297</v>
      </c>
      <c r="G71" s="7" t="s">
        <v>298</v>
      </c>
      <c r="H71" s="7" t="s">
        <v>115</v>
      </c>
      <c r="I71" s="7" t="s">
        <v>258</v>
      </c>
      <c r="J71" s="7" t="s">
        <v>529</v>
      </c>
      <c r="K71" s="7" t="s">
        <v>598</v>
      </c>
      <c r="L71" s="7" t="s">
        <v>599</v>
      </c>
      <c r="M71" s="7" t="s">
        <v>293</v>
      </c>
      <c r="N71" s="7" t="s">
        <v>304</v>
      </c>
      <c r="O71" s="7" t="s">
        <v>195</v>
      </c>
      <c r="P71" s="7" t="s">
        <v>14</v>
      </c>
      <c r="Q71" s="7" t="s">
        <v>326</v>
      </c>
      <c r="R71" s="7" t="s">
        <v>263</v>
      </c>
    </row>
    <row r="72" spans="1:18">
      <c r="A72" s="7" t="s">
        <v>600</v>
      </c>
      <c r="B72" s="7" t="s">
        <v>561</v>
      </c>
      <c r="C72" s="7" t="s">
        <v>417</v>
      </c>
      <c r="D72" s="7" t="s">
        <v>601</v>
      </c>
      <c r="E72" s="7" t="s">
        <v>339</v>
      </c>
      <c r="F72" s="7" t="s">
        <v>282</v>
      </c>
      <c r="G72" s="7" t="s">
        <v>564</v>
      </c>
      <c r="H72" s="7" t="s">
        <v>115</v>
      </c>
      <c r="I72" s="7" t="s">
        <v>316</v>
      </c>
      <c r="J72" s="7" t="s">
        <v>346</v>
      </c>
      <c r="K72" s="7" t="s">
        <v>602</v>
      </c>
      <c r="L72" s="7" t="s">
        <v>603</v>
      </c>
      <c r="M72" s="7" t="s">
        <v>604</v>
      </c>
      <c r="N72" s="7" t="s">
        <v>284</v>
      </c>
      <c r="O72" s="7" t="s">
        <v>195</v>
      </c>
      <c r="P72" s="7" t="s">
        <v>8</v>
      </c>
      <c r="Q72" s="7" t="s">
        <v>318</v>
      </c>
      <c r="R72" s="7" t="s">
        <v>263</v>
      </c>
    </row>
    <row r="73" spans="1:18">
      <c r="A73" s="7" t="s">
        <v>605</v>
      </c>
      <c r="B73" s="7" t="s">
        <v>278</v>
      </c>
      <c r="C73" s="7" t="s">
        <v>606</v>
      </c>
      <c r="D73" s="7" t="s">
        <v>296</v>
      </c>
      <c r="E73" s="7" t="s">
        <v>268</v>
      </c>
      <c r="F73" s="7" t="s">
        <v>297</v>
      </c>
      <c r="G73" s="7" t="s">
        <v>583</v>
      </c>
      <c r="H73" s="7" t="s">
        <v>115</v>
      </c>
      <c r="I73" s="7" t="s">
        <v>299</v>
      </c>
      <c r="J73" s="7" t="s">
        <v>332</v>
      </c>
      <c r="K73" s="7" t="s">
        <v>607</v>
      </c>
      <c r="L73" s="7" t="s">
        <v>353</v>
      </c>
      <c r="M73" s="7" t="s">
        <v>303</v>
      </c>
      <c r="N73" s="7" t="s">
        <v>304</v>
      </c>
      <c r="O73" s="7" t="s">
        <v>195</v>
      </c>
      <c r="P73" s="7" t="s">
        <v>11</v>
      </c>
      <c r="Q73" s="7" t="s">
        <v>305</v>
      </c>
      <c r="R73" s="7" t="s">
        <v>263</v>
      </c>
    </row>
    <row r="74" spans="1:18">
      <c r="A74" s="7" t="s">
        <v>608</v>
      </c>
      <c r="B74" s="7" t="s">
        <v>266</v>
      </c>
      <c r="C74" s="7" t="s">
        <v>609</v>
      </c>
      <c r="D74" s="7" t="s">
        <v>610</v>
      </c>
      <c r="E74" s="7" t="s">
        <v>339</v>
      </c>
      <c r="F74" s="7" t="s">
        <v>409</v>
      </c>
      <c r="G74" s="7" t="s">
        <v>476</v>
      </c>
      <c r="H74" s="7" t="s">
        <v>115</v>
      </c>
      <c r="I74" s="7" t="s">
        <v>258</v>
      </c>
      <c r="J74" s="7" t="s">
        <v>411</v>
      </c>
      <c r="K74" s="7" t="s">
        <v>611</v>
      </c>
      <c r="L74" s="7" t="s">
        <v>612</v>
      </c>
      <c r="M74" s="7" t="s">
        <v>293</v>
      </c>
      <c r="N74" s="7" t="s">
        <v>412</v>
      </c>
      <c r="O74" s="7" t="s">
        <v>195</v>
      </c>
      <c r="P74" s="7" t="s">
        <v>17</v>
      </c>
      <c r="Q74" s="7" t="s">
        <v>326</v>
      </c>
      <c r="R74" s="7" t="s">
        <v>263</v>
      </c>
    </row>
    <row r="75" spans="1:18">
      <c r="A75" s="7" t="s">
        <v>613</v>
      </c>
      <c r="B75" s="7" t="s">
        <v>406</v>
      </c>
      <c r="C75" s="7" t="s">
        <v>614</v>
      </c>
      <c r="D75" s="7" t="s">
        <v>615</v>
      </c>
      <c r="E75" s="7" t="s">
        <v>339</v>
      </c>
      <c r="F75" s="7" t="s">
        <v>409</v>
      </c>
      <c r="G75" s="7" t="s">
        <v>476</v>
      </c>
      <c r="H75" s="7" t="s">
        <v>115</v>
      </c>
      <c r="I75" s="7" t="s">
        <v>258</v>
      </c>
      <c r="J75" s="7" t="s">
        <v>469</v>
      </c>
      <c r="K75" s="7" t="s">
        <v>616</v>
      </c>
      <c r="L75" s="7" t="s">
        <v>617</v>
      </c>
      <c r="M75" s="7" t="s">
        <v>335</v>
      </c>
      <c r="N75" s="7" t="s">
        <v>412</v>
      </c>
      <c r="O75" s="7" t="s">
        <v>169</v>
      </c>
      <c r="P75" s="7" t="s">
        <v>17</v>
      </c>
      <c r="Q75" s="7" t="s">
        <v>285</v>
      </c>
      <c r="R75" s="7" t="s">
        <v>263</v>
      </c>
    </row>
    <row r="76" spans="1:18">
      <c r="A76" s="7" t="s">
        <v>618</v>
      </c>
      <c r="B76" s="7" t="s">
        <v>585</v>
      </c>
      <c r="C76" s="7" t="s">
        <v>561</v>
      </c>
      <c r="D76" s="7" t="s">
        <v>362</v>
      </c>
      <c r="E76" s="7" t="s">
        <v>268</v>
      </c>
      <c r="F76" s="7" t="s">
        <v>256</v>
      </c>
      <c r="G76" s="7" t="s">
        <v>419</v>
      </c>
      <c r="H76" s="7" t="s">
        <v>115</v>
      </c>
      <c r="I76" s="7" t="s">
        <v>258</v>
      </c>
      <c r="J76" s="7" t="s">
        <v>259</v>
      </c>
      <c r="K76" s="7" t="s">
        <v>334</v>
      </c>
      <c r="L76" s="7" t="s">
        <v>619</v>
      </c>
      <c r="M76" s="7" t="s">
        <v>293</v>
      </c>
      <c r="N76" s="7" t="s">
        <v>261</v>
      </c>
      <c r="O76" s="7" t="s">
        <v>195</v>
      </c>
      <c r="P76" s="7" t="s">
        <v>8</v>
      </c>
      <c r="Q76" s="7" t="s">
        <v>262</v>
      </c>
      <c r="R76" s="7" t="s">
        <v>263</v>
      </c>
    </row>
    <row r="77" spans="1:18">
      <c r="A77" s="7" t="s">
        <v>620</v>
      </c>
      <c r="B77" s="7" t="s">
        <v>396</v>
      </c>
      <c r="C77" s="7" t="s">
        <v>621</v>
      </c>
      <c r="D77" s="7" t="s">
        <v>622</v>
      </c>
      <c r="E77" s="7" t="s">
        <v>268</v>
      </c>
      <c r="F77" s="7" t="s">
        <v>256</v>
      </c>
      <c r="G77" s="7" t="s">
        <v>419</v>
      </c>
      <c r="H77" s="7" t="s">
        <v>122</v>
      </c>
      <c r="I77" s="7" t="s">
        <v>258</v>
      </c>
      <c r="J77" s="7" t="s">
        <v>392</v>
      </c>
      <c r="K77" s="7"/>
      <c r="L77" s="7"/>
      <c r="M77" s="7" t="s">
        <v>260</v>
      </c>
      <c r="N77" s="7" t="s">
        <v>261</v>
      </c>
      <c r="O77" s="7" t="s">
        <v>195</v>
      </c>
      <c r="P77" s="7"/>
      <c r="Q77" s="7" t="s">
        <v>262</v>
      </c>
      <c r="R77" s="7" t="s">
        <v>263</v>
      </c>
    </row>
    <row r="78" spans="1:18">
      <c r="A78" s="7" t="s">
        <v>623</v>
      </c>
      <c r="B78" s="7" t="s">
        <v>337</v>
      </c>
      <c r="C78" s="7" t="s">
        <v>401</v>
      </c>
      <c r="D78" s="7" t="s">
        <v>624</v>
      </c>
      <c r="E78" s="7" t="s">
        <v>255</v>
      </c>
      <c r="F78" s="7" t="s">
        <v>256</v>
      </c>
      <c r="G78" s="7" t="s">
        <v>257</v>
      </c>
      <c r="H78" s="7" t="s">
        <v>115</v>
      </c>
      <c r="I78" s="7" t="s">
        <v>316</v>
      </c>
      <c r="J78" s="7" t="s">
        <v>447</v>
      </c>
      <c r="K78" s="7" t="s">
        <v>625</v>
      </c>
      <c r="L78" s="7" t="s">
        <v>626</v>
      </c>
      <c r="M78" s="7" t="s">
        <v>335</v>
      </c>
      <c r="N78" s="7" t="s">
        <v>261</v>
      </c>
      <c r="O78" s="7" t="s">
        <v>195</v>
      </c>
      <c r="P78" s="7" t="s">
        <v>17</v>
      </c>
      <c r="Q78" s="7" t="s">
        <v>326</v>
      </c>
      <c r="R78" s="7" t="s">
        <v>263</v>
      </c>
    </row>
    <row r="79" spans="1:18">
      <c r="A79" s="7" t="s">
        <v>627</v>
      </c>
      <c r="B79" s="7" t="s">
        <v>439</v>
      </c>
      <c r="C79" s="7" t="s">
        <v>308</v>
      </c>
      <c r="D79" s="7" t="s">
        <v>460</v>
      </c>
      <c r="E79" s="7" t="s">
        <v>268</v>
      </c>
      <c r="F79" s="7" t="s">
        <v>297</v>
      </c>
      <c r="G79" s="7" t="s">
        <v>628</v>
      </c>
      <c r="H79" s="7" t="s">
        <v>115</v>
      </c>
      <c r="I79" s="7" t="s">
        <v>299</v>
      </c>
      <c r="J79" s="7" t="s">
        <v>346</v>
      </c>
      <c r="K79" s="7" t="s">
        <v>629</v>
      </c>
      <c r="L79" s="7" t="s">
        <v>630</v>
      </c>
      <c r="M79" s="7" t="s">
        <v>303</v>
      </c>
      <c r="N79" s="7" t="s">
        <v>304</v>
      </c>
      <c r="O79" s="7" t="s">
        <v>631</v>
      </c>
      <c r="P79" s="7" t="s">
        <v>8</v>
      </c>
      <c r="Q79" s="7" t="s">
        <v>318</v>
      </c>
      <c r="R79" s="7" t="s">
        <v>263</v>
      </c>
    </row>
    <row r="80" spans="1:18">
      <c r="A80" s="7" t="s">
        <v>632</v>
      </c>
      <c r="B80" s="7" t="s">
        <v>633</v>
      </c>
      <c r="C80" s="7" t="s">
        <v>459</v>
      </c>
      <c r="D80" s="7" t="s">
        <v>634</v>
      </c>
      <c r="E80" s="7" t="s">
        <v>339</v>
      </c>
      <c r="F80" s="7" t="s">
        <v>256</v>
      </c>
      <c r="G80" s="7" t="s">
        <v>345</v>
      </c>
      <c r="H80" s="7" t="s">
        <v>115</v>
      </c>
      <c r="I80" s="7" t="s">
        <v>299</v>
      </c>
      <c r="J80" s="7" t="s">
        <v>399</v>
      </c>
      <c r="K80" s="7" t="s">
        <v>635</v>
      </c>
      <c r="L80" s="7" t="s">
        <v>636</v>
      </c>
      <c r="M80" s="7" t="s">
        <v>275</v>
      </c>
      <c r="N80" s="7" t="s">
        <v>261</v>
      </c>
      <c r="O80" s="7" t="s">
        <v>169</v>
      </c>
      <c r="P80" s="7" t="s">
        <v>11</v>
      </c>
      <c r="Q80" s="7" t="s">
        <v>326</v>
      </c>
      <c r="R80" s="7" t="s">
        <v>263</v>
      </c>
    </row>
    <row r="81" spans="1:18">
      <c r="A81" s="7" t="s">
        <v>637</v>
      </c>
      <c r="B81" s="7" t="s">
        <v>458</v>
      </c>
      <c r="C81" s="7" t="s">
        <v>253</v>
      </c>
      <c r="D81" s="7" t="s">
        <v>638</v>
      </c>
      <c r="E81" s="7" t="s">
        <v>255</v>
      </c>
      <c r="F81" s="7" t="s">
        <v>297</v>
      </c>
      <c r="G81" s="7" t="s">
        <v>639</v>
      </c>
      <c r="H81" s="7" t="s">
        <v>115</v>
      </c>
      <c r="I81" s="7" t="s">
        <v>299</v>
      </c>
      <c r="J81" s="7" t="s">
        <v>469</v>
      </c>
      <c r="K81" s="7" t="s">
        <v>640</v>
      </c>
      <c r="L81" s="7" t="s">
        <v>640</v>
      </c>
      <c r="M81" s="7" t="s">
        <v>303</v>
      </c>
      <c r="N81" s="7" t="s">
        <v>304</v>
      </c>
      <c r="O81" s="7" t="s">
        <v>169</v>
      </c>
      <c r="P81" s="7" t="s">
        <v>14</v>
      </c>
      <c r="Q81" s="7" t="s">
        <v>326</v>
      </c>
      <c r="R81" s="7" t="s">
        <v>263</v>
      </c>
    </row>
    <row r="82" spans="1:18">
      <c r="A82" s="7" t="s">
        <v>641</v>
      </c>
      <c r="B82" s="7" t="s">
        <v>473</v>
      </c>
      <c r="C82" s="7" t="s">
        <v>307</v>
      </c>
      <c r="D82" s="7" t="s">
        <v>642</v>
      </c>
      <c r="E82" s="7" t="s">
        <v>281</v>
      </c>
      <c r="F82" s="7" t="s">
        <v>282</v>
      </c>
      <c r="G82" s="7" t="s">
        <v>283</v>
      </c>
      <c r="H82" s="7" t="s">
        <v>115</v>
      </c>
      <c r="I82" s="7" t="s">
        <v>271</v>
      </c>
      <c r="J82" s="7" t="s">
        <v>341</v>
      </c>
      <c r="K82" s="7" t="s">
        <v>643</v>
      </c>
      <c r="L82" s="7" t="s">
        <v>644</v>
      </c>
      <c r="M82" s="7" t="s">
        <v>293</v>
      </c>
      <c r="N82" s="7" t="s">
        <v>284</v>
      </c>
      <c r="O82" s="7" t="s">
        <v>195</v>
      </c>
      <c r="P82" s="7" t="s">
        <v>17</v>
      </c>
      <c r="Q82" s="7" t="s">
        <v>285</v>
      </c>
      <c r="R82" s="7" t="s">
        <v>263</v>
      </c>
    </row>
    <row r="83" spans="1:18">
      <c r="A83" s="7" t="s">
        <v>645</v>
      </c>
      <c r="B83" s="7" t="s">
        <v>621</v>
      </c>
      <c r="C83" s="7" t="s">
        <v>646</v>
      </c>
      <c r="D83" s="7" t="s">
        <v>647</v>
      </c>
      <c r="E83" s="7" t="s">
        <v>255</v>
      </c>
      <c r="F83" s="7" t="s">
        <v>409</v>
      </c>
      <c r="G83" s="7" t="s">
        <v>648</v>
      </c>
      <c r="H83" s="7" t="s">
        <v>115</v>
      </c>
      <c r="I83" s="7" t="s">
        <v>258</v>
      </c>
      <c r="J83" s="7" t="s">
        <v>404</v>
      </c>
      <c r="K83" s="7" t="s">
        <v>649</v>
      </c>
      <c r="L83" s="7" t="s">
        <v>650</v>
      </c>
      <c r="M83" s="7" t="s">
        <v>303</v>
      </c>
      <c r="N83" s="7" t="s">
        <v>412</v>
      </c>
      <c r="O83" s="7" t="s">
        <v>195</v>
      </c>
      <c r="P83" s="7" t="s">
        <v>11</v>
      </c>
      <c r="Q83" s="7" t="s">
        <v>285</v>
      </c>
      <c r="R83" s="7" t="s">
        <v>263</v>
      </c>
    </row>
    <row r="84" spans="1:18">
      <c r="A84" s="7" t="s">
        <v>651</v>
      </c>
      <c r="B84" s="7" t="s">
        <v>278</v>
      </c>
      <c r="C84" s="7" t="s">
        <v>485</v>
      </c>
      <c r="D84" s="7" t="s">
        <v>634</v>
      </c>
      <c r="E84" s="7" t="s">
        <v>268</v>
      </c>
      <c r="F84" s="7"/>
      <c r="G84" s="7" t="s">
        <v>419</v>
      </c>
      <c r="H84" s="7" t="s">
        <v>115</v>
      </c>
      <c r="I84" s="7" t="s">
        <v>316</v>
      </c>
      <c r="J84" s="7" t="s">
        <v>404</v>
      </c>
      <c r="K84" s="7" t="s">
        <v>652</v>
      </c>
      <c r="L84" s="7" t="s">
        <v>653</v>
      </c>
      <c r="M84" s="7" t="s">
        <v>303</v>
      </c>
      <c r="N84" s="7" t="s">
        <v>261</v>
      </c>
      <c r="O84" s="7" t="s">
        <v>169</v>
      </c>
      <c r="P84" s="7" t="s">
        <v>14</v>
      </c>
      <c r="Q84" s="7" t="s">
        <v>318</v>
      </c>
      <c r="R84" s="7" t="s">
        <v>263</v>
      </c>
    </row>
    <row r="85" spans="1:18">
      <c r="A85" s="7" t="s">
        <v>654</v>
      </c>
      <c r="B85" s="7" t="s">
        <v>407</v>
      </c>
      <c r="C85" s="7" t="s">
        <v>585</v>
      </c>
      <c r="D85" s="7" t="s">
        <v>655</v>
      </c>
      <c r="E85" s="7" t="s">
        <v>268</v>
      </c>
      <c r="F85" s="7" t="s">
        <v>409</v>
      </c>
      <c r="G85" s="7" t="s">
        <v>552</v>
      </c>
      <c r="H85" s="7" t="s">
        <v>115</v>
      </c>
      <c r="I85" s="7" t="s">
        <v>299</v>
      </c>
      <c r="J85" s="7" t="s">
        <v>351</v>
      </c>
      <c r="K85" s="7" t="s">
        <v>656</v>
      </c>
      <c r="L85" s="7" t="s">
        <v>657</v>
      </c>
      <c r="M85" s="7" t="s">
        <v>303</v>
      </c>
      <c r="N85" s="7" t="s">
        <v>412</v>
      </c>
      <c r="O85" s="7" t="s">
        <v>195</v>
      </c>
      <c r="P85" s="7" t="s">
        <v>17</v>
      </c>
      <c r="Q85" s="7" t="s">
        <v>305</v>
      </c>
      <c r="R85" s="7" t="s">
        <v>263</v>
      </c>
    </row>
    <row r="86" spans="1:18">
      <c r="A86" s="7" t="s">
        <v>658</v>
      </c>
      <c r="B86" s="7" t="s">
        <v>407</v>
      </c>
      <c r="C86" s="7" t="s">
        <v>522</v>
      </c>
      <c r="D86" s="7" t="s">
        <v>659</v>
      </c>
      <c r="E86" s="7" t="s">
        <v>255</v>
      </c>
      <c r="F86" s="7" t="s">
        <v>256</v>
      </c>
      <c r="G86" s="7" t="s">
        <v>398</v>
      </c>
      <c r="H86" s="7" t="s">
        <v>115</v>
      </c>
      <c r="I86" s="7" t="s">
        <v>271</v>
      </c>
      <c r="J86" s="7" t="s">
        <v>447</v>
      </c>
      <c r="K86" s="7" t="s">
        <v>660</v>
      </c>
      <c r="L86" s="7" t="s">
        <v>324</v>
      </c>
      <c r="M86" s="7" t="s">
        <v>303</v>
      </c>
      <c r="N86" s="7" t="s">
        <v>261</v>
      </c>
      <c r="O86" s="7" t="s">
        <v>195</v>
      </c>
      <c r="P86" s="7" t="s">
        <v>8</v>
      </c>
      <c r="Q86" s="7" t="s">
        <v>318</v>
      </c>
      <c r="R86" s="7" t="s">
        <v>263</v>
      </c>
    </row>
    <row r="87" spans="1:18">
      <c r="A87" s="7" t="s">
        <v>661</v>
      </c>
      <c r="B87" s="7" t="s">
        <v>621</v>
      </c>
      <c r="C87" s="7" t="s">
        <v>513</v>
      </c>
      <c r="D87" s="7" t="s">
        <v>367</v>
      </c>
      <c r="E87" s="7" t="s">
        <v>339</v>
      </c>
      <c r="F87" s="7" t="s">
        <v>282</v>
      </c>
      <c r="G87" s="7" t="s">
        <v>564</v>
      </c>
      <c r="H87" s="7" t="s">
        <v>122</v>
      </c>
      <c r="I87" s="7" t="s">
        <v>299</v>
      </c>
      <c r="J87" s="7" t="s">
        <v>341</v>
      </c>
      <c r="K87" s="7"/>
      <c r="L87" s="7"/>
      <c r="M87" s="7" t="s">
        <v>260</v>
      </c>
      <c r="N87" s="7" t="s">
        <v>284</v>
      </c>
      <c r="O87" s="7" t="s">
        <v>195</v>
      </c>
      <c r="P87" s="7"/>
      <c r="Q87" s="7" t="s">
        <v>305</v>
      </c>
      <c r="R87" s="7" t="s">
        <v>263</v>
      </c>
    </row>
    <row r="88" spans="1:18">
      <c r="A88" s="7" t="s">
        <v>662</v>
      </c>
      <c r="B88" s="7" t="s">
        <v>407</v>
      </c>
      <c r="C88" s="7" t="s">
        <v>265</v>
      </c>
      <c r="D88" s="7" t="s">
        <v>634</v>
      </c>
      <c r="E88" s="7" t="s">
        <v>281</v>
      </c>
      <c r="F88" s="7" t="s">
        <v>269</v>
      </c>
      <c r="G88" s="7" t="s">
        <v>363</v>
      </c>
      <c r="H88" s="7" t="s">
        <v>115</v>
      </c>
      <c r="I88" s="7" t="s">
        <v>271</v>
      </c>
      <c r="J88" s="7" t="s">
        <v>332</v>
      </c>
      <c r="K88" s="7" t="s">
        <v>332</v>
      </c>
      <c r="L88" s="7" t="s">
        <v>663</v>
      </c>
      <c r="M88" s="7" t="s">
        <v>293</v>
      </c>
      <c r="N88" s="7" t="s">
        <v>276</v>
      </c>
      <c r="O88" s="7" t="s">
        <v>195</v>
      </c>
      <c r="P88" s="7" t="s">
        <v>664</v>
      </c>
      <c r="Q88" s="7" t="s">
        <v>318</v>
      </c>
      <c r="R88" s="7" t="s">
        <v>263</v>
      </c>
    </row>
    <row r="89" spans="1:18">
      <c r="A89" s="7" t="s">
        <v>665</v>
      </c>
      <c r="B89" s="7" t="s">
        <v>666</v>
      </c>
      <c r="C89" s="7" t="s">
        <v>287</v>
      </c>
      <c r="D89" s="7" t="s">
        <v>667</v>
      </c>
      <c r="E89" s="7" t="s">
        <v>281</v>
      </c>
      <c r="F89" s="7" t="s">
        <v>409</v>
      </c>
      <c r="G89" s="7" t="s">
        <v>535</v>
      </c>
      <c r="H89" s="7" t="s">
        <v>115</v>
      </c>
      <c r="I89" s="7" t="s">
        <v>299</v>
      </c>
      <c r="J89" s="7" t="s">
        <v>529</v>
      </c>
      <c r="K89" s="7" t="s">
        <v>668</v>
      </c>
      <c r="L89" s="7" t="s">
        <v>669</v>
      </c>
      <c r="M89" s="7" t="s">
        <v>335</v>
      </c>
      <c r="N89" s="7" t="s">
        <v>412</v>
      </c>
      <c r="O89" s="7" t="s">
        <v>195</v>
      </c>
      <c r="P89" s="7" t="s">
        <v>8</v>
      </c>
      <c r="Q89" s="7" t="s">
        <v>262</v>
      </c>
      <c r="R89" s="7" t="s">
        <v>263</v>
      </c>
    </row>
    <row r="90" spans="1:18">
      <c r="A90" s="7" t="s">
        <v>670</v>
      </c>
      <c r="B90" s="7" t="s">
        <v>666</v>
      </c>
      <c r="C90" s="7" t="s">
        <v>561</v>
      </c>
      <c r="D90" s="7" t="s">
        <v>514</v>
      </c>
      <c r="E90" s="7" t="s">
        <v>339</v>
      </c>
      <c r="F90" s="7" t="s">
        <v>269</v>
      </c>
      <c r="G90" s="7" t="s">
        <v>340</v>
      </c>
      <c r="H90" s="7" t="s">
        <v>115</v>
      </c>
      <c r="I90" s="7" t="s">
        <v>258</v>
      </c>
      <c r="J90" s="7" t="s">
        <v>272</v>
      </c>
      <c r="K90" s="7" t="s">
        <v>671</v>
      </c>
      <c r="L90" s="7" t="s">
        <v>393</v>
      </c>
      <c r="M90" s="7" t="s">
        <v>275</v>
      </c>
      <c r="N90" s="7" t="s">
        <v>276</v>
      </c>
      <c r="O90" s="7" t="s">
        <v>195</v>
      </c>
      <c r="P90" s="7" t="s">
        <v>17</v>
      </c>
      <c r="Q90" s="7" t="s">
        <v>318</v>
      </c>
      <c r="R90" s="7" t="s">
        <v>263</v>
      </c>
    </row>
    <row r="91" spans="1:18">
      <c r="A91" s="7" t="s">
        <v>672</v>
      </c>
      <c r="B91" s="7" t="s">
        <v>406</v>
      </c>
      <c r="C91" s="7" t="s">
        <v>389</v>
      </c>
      <c r="D91" s="7" t="s">
        <v>673</v>
      </c>
      <c r="E91" s="7" t="s">
        <v>674</v>
      </c>
      <c r="F91" s="7" t="s">
        <v>282</v>
      </c>
      <c r="G91" s="7" t="s">
        <v>564</v>
      </c>
      <c r="H91" s="7" t="s">
        <v>466</v>
      </c>
      <c r="I91" s="7" t="s">
        <v>299</v>
      </c>
      <c r="J91" s="7" t="s">
        <v>392</v>
      </c>
      <c r="K91" s="7"/>
      <c r="L91" s="7"/>
      <c r="M91" s="7" t="s">
        <v>260</v>
      </c>
      <c r="N91" s="7" t="s">
        <v>284</v>
      </c>
      <c r="O91" s="7" t="s">
        <v>195</v>
      </c>
      <c r="P91" s="7"/>
      <c r="Q91" s="7" t="s">
        <v>305</v>
      </c>
      <c r="R91" s="7" t="s">
        <v>263</v>
      </c>
    </row>
    <row r="92" spans="1:18">
      <c r="A92" s="7" t="s">
        <v>675</v>
      </c>
      <c r="B92" s="7" t="s">
        <v>388</v>
      </c>
      <c r="C92" s="7" t="s">
        <v>676</v>
      </c>
      <c r="D92" s="7" t="s">
        <v>677</v>
      </c>
      <c r="E92" s="7" t="s">
        <v>281</v>
      </c>
      <c r="F92" s="7" t="s">
        <v>282</v>
      </c>
      <c r="G92" s="7" t="s">
        <v>446</v>
      </c>
      <c r="H92" s="7" t="s">
        <v>115</v>
      </c>
      <c r="I92" s="7" t="s">
        <v>316</v>
      </c>
      <c r="J92" s="7" t="s">
        <v>392</v>
      </c>
      <c r="K92" s="7" t="s">
        <v>678</v>
      </c>
      <c r="L92" s="7" t="s">
        <v>679</v>
      </c>
      <c r="M92" s="7" t="s">
        <v>303</v>
      </c>
      <c r="N92" s="7" t="s">
        <v>284</v>
      </c>
      <c r="O92" s="7" t="s">
        <v>195</v>
      </c>
      <c r="P92" s="7" t="s">
        <v>14</v>
      </c>
      <c r="Q92" s="7" t="s">
        <v>305</v>
      </c>
      <c r="R92" s="7" t="s">
        <v>263</v>
      </c>
    </row>
    <row r="93" spans="1:18">
      <c r="A93" s="7" t="s">
        <v>680</v>
      </c>
      <c r="B93" s="7" t="s">
        <v>464</v>
      </c>
      <c r="C93" s="7" t="s">
        <v>681</v>
      </c>
      <c r="D93" s="7" t="s">
        <v>682</v>
      </c>
      <c r="E93" s="7" t="s">
        <v>268</v>
      </c>
      <c r="F93" s="7" t="s">
        <v>282</v>
      </c>
      <c r="G93" s="7" t="s">
        <v>524</v>
      </c>
      <c r="H93" s="7" t="s">
        <v>115</v>
      </c>
      <c r="I93" s="7" t="s">
        <v>258</v>
      </c>
      <c r="J93" s="7" t="s">
        <v>300</v>
      </c>
      <c r="K93" s="7" t="s">
        <v>683</v>
      </c>
      <c r="L93" s="7" t="s">
        <v>554</v>
      </c>
      <c r="M93" s="7" t="s">
        <v>303</v>
      </c>
      <c r="N93" s="7" t="s">
        <v>284</v>
      </c>
      <c r="O93" s="7" t="s">
        <v>195</v>
      </c>
      <c r="P93" s="7" t="s">
        <v>11</v>
      </c>
      <c r="Q93" s="7" t="s">
        <v>285</v>
      </c>
      <c r="R93" s="7" t="s">
        <v>263</v>
      </c>
    </row>
    <row r="94" spans="1:18">
      <c r="A94" s="7" t="s">
        <v>684</v>
      </c>
      <c r="B94" s="7" t="s">
        <v>278</v>
      </c>
      <c r="C94" s="7" t="s">
        <v>401</v>
      </c>
      <c r="D94" s="7" t="s">
        <v>685</v>
      </c>
      <c r="E94" s="7" t="s">
        <v>255</v>
      </c>
      <c r="F94" s="7" t="s">
        <v>282</v>
      </c>
      <c r="G94" s="7" t="s">
        <v>290</v>
      </c>
      <c r="H94" s="7" t="s">
        <v>122</v>
      </c>
      <c r="I94" s="7" t="s">
        <v>299</v>
      </c>
      <c r="J94" s="7" t="s">
        <v>259</v>
      </c>
      <c r="K94" s="7"/>
      <c r="L94" s="7"/>
      <c r="M94" s="7" t="s">
        <v>686</v>
      </c>
      <c r="N94" s="7" t="s">
        <v>284</v>
      </c>
      <c r="O94" s="7" t="s">
        <v>195</v>
      </c>
      <c r="P94" s="7"/>
      <c r="Q94" s="7" t="s">
        <v>326</v>
      </c>
      <c r="R94" s="7" t="s">
        <v>263</v>
      </c>
    </row>
    <row r="95" spans="1:18">
      <c r="A95" s="7" t="s">
        <v>687</v>
      </c>
      <c r="B95" s="7" t="s">
        <v>287</v>
      </c>
      <c r="C95" s="7" t="s">
        <v>449</v>
      </c>
      <c r="D95" s="7" t="s">
        <v>372</v>
      </c>
      <c r="E95" s="7" t="s">
        <v>268</v>
      </c>
      <c r="F95" s="7" t="s">
        <v>282</v>
      </c>
      <c r="G95" s="7" t="s">
        <v>505</v>
      </c>
      <c r="H95" s="7" t="s">
        <v>115</v>
      </c>
      <c r="I95" s="7" t="s">
        <v>271</v>
      </c>
      <c r="J95" s="7" t="s">
        <v>351</v>
      </c>
      <c r="K95" s="7" t="s">
        <v>688</v>
      </c>
      <c r="L95" s="7" t="s">
        <v>689</v>
      </c>
      <c r="M95" s="7" t="s">
        <v>293</v>
      </c>
      <c r="N95" s="7" t="s">
        <v>284</v>
      </c>
      <c r="O95" s="7" t="s">
        <v>195</v>
      </c>
      <c r="P95" s="7" t="s">
        <v>11</v>
      </c>
      <c r="Q95" s="7" t="s">
        <v>285</v>
      </c>
      <c r="R95" s="7" t="s">
        <v>263</v>
      </c>
    </row>
    <row r="96" spans="1:18">
      <c r="A96" s="7" t="s">
        <v>690</v>
      </c>
      <c r="B96" s="7" t="s">
        <v>287</v>
      </c>
      <c r="C96" s="7" t="s">
        <v>308</v>
      </c>
      <c r="D96" s="7" t="s">
        <v>691</v>
      </c>
      <c r="E96" s="7" t="s">
        <v>339</v>
      </c>
      <c r="F96" s="7" t="s">
        <v>269</v>
      </c>
      <c r="G96" s="7" t="s">
        <v>528</v>
      </c>
      <c r="H96" s="7" t="s">
        <v>115</v>
      </c>
      <c r="I96" s="7" t="s">
        <v>258</v>
      </c>
      <c r="J96" s="7" t="s">
        <v>300</v>
      </c>
      <c r="K96" s="7" t="s">
        <v>683</v>
      </c>
      <c r="L96" s="7" t="s">
        <v>692</v>
      </c>
      <c r="M96" s="7" t="s">
        <v>303</v>
      </c>
      <c r="N96" s="7" t="s">
        <v>276</v>
      </c>
      <c r="O96" s="7" t="s">
        <v>195</v>
      </c>
      <c r="P96" s="7" t="s">
        <v>8</v>
      </c>
      <c r="Q96" s="7" t="s">
        <v>285</v>
      </c>
      <c r="R96" s="7" t="s">
        <v>263</v>
      </c>
    </row>
    <row r="97" spans="1:18">
      <c r="A97" s="7" t="s">
        <v>693</v>
      </c>
      <c r="B97" s="7" t="s">
        <v>266</v>
      </c>
      <c r="C97" s="7" t="s">
        <v>380</v>
      </c>
      <c r="D97" s="7" t="s">
        <v>694</v>
      </c>
      <c r="E97" s="7" t="s">
        <v>268</v>
      </c>
      <c r="F97" s="7" t="s">
        <v>282</v>
      </c>
      <c r="G97" s="7" t="s">
        <v>524</v>
      </c>
      <c r="H97" s="7" t="s">
        <v>127</v>
      </c>
      <c r="I97" s="7" t="s">
        <v>258</v>
      </c>
      <c r="J97" s="7" t="s">
        <v>351</v>
      </c>
      <c r="K97" s="7"/>
      <c r="L97" s="7"/>
      <c r="M97" s="7" t="s">
        <v>260</v>
      </c>
      <c r="N97" s="7" t="s">
        <v>284</v>
      </c>
      <c r="O97" s="7" t="s">
        <v>195</v>
      </c>
      <c r="P97" s="7"/>
      <c r="Q97" s="7" t="s">
        <v>262</v>
      </c>
      <c r="R97" s="7" t="s">
        <v>263</v>
      </c>
    </row>
    <row r="98" spans="1:18">
      <c r="A98" s="7" t="s">
        <v>695</v>
      </c>
      <c r="B98" s="7" t="s">
        <v>633</v>
      </c>
      <c r="C98" s="7" t="s">
        <v>308</v>
      </c>
      <c r="D98" s="7" t="s">
        <v>575</v>
      </c>
      <c r="E98" s="7" t="s">
        <v>339</v>
      </c>
      <c r="F98" s="7" t="s">
        <v>282</v>
      </c>
      <c r="G98" s="7" t="s">
        <v>461</v>
      </c>
      <c r="H98" s="7" t="s">
        <v>696</v>
      </c>
      <c r="I98" s="7" t="s">
        <v>271</v>
      </c>
      <c r="J98" s="7" t="s">
        <v>341</v>
      </c>
      <c r="K98" s="7" t="s">
        <v>697</v>
      </c>
      <c r="L98" s="7" t="s">
        <v>698</v>
      </c>
      <c r="M98" s="7" t="s">
        <v>275</v>
      </c>
      <c r="N98" s="7" t="s">
        <v>284</v>
      </c>
      <c r="O98" s="7" t="s">
        <v>169</v>
      </c>
      <c r="P98" s="7" t="s">
        <v>17</v>
      </c>
      <c r="Q98" s="7" t="s">
        <v>318</v>
      </c>
      <c r="R98" s="7" t="s">
        <v>263</v>
      </c>
    </row>
    <row r="99" spans="1:18">
      <c r="A99" s="7" t="s">
        <v>699</v>
      </c>
      <c r="B99" s="7" t="s">
        <v>621</v>
      </c>
      <c r="C99" s="7" t="s">
        <v>700</v>
      </c>
      <c r="D99" s="7" t="s">
        <v>460</v>
      </c>
      <c r="E99" s="7" t="s">
        <v>339</v>
      </c>
      <c r="F99" s="7" t="s">
        <v>269</v>
      </c>
      <c r="G99" s="7" t="s">
        <v>340</v>
      </c>
      <c r="H99" s="7" t="s">
        <v>115</v>
      </c>
      <c r="I99" s="7" t="s">
        <v>519</v>
      </c>
      <c r="J99" s="7" t="s">
        <v>259</v>
      </c>
      <c r="K99" s="7" t="s">
        <v>701</v>
      </c>
      <c r="L99" s="7" t="s">
        <v>702</v>
      </c>
      <c r="M99" s="7" t="s">
        <v>335</v>
      </c>
      <c r="N99" s="7" t="s">
        <v>276</v>
      </c>
      <c r="O99" s="7" t="s">
        <v>195</v>
      </c>
      <c r="P99" s="7" t="s">
        <v>11</v>
      </c>
      <c r="Q99" s="7" t="s">
        <v>318</v>
      </c>
      <c r="R99" s="7" t="s">
        <v>263</v>
      </c>
    </row>
    <row r="100" spans="1:18">
      <c r="A100" s="7" t="s">
        <v>703</v>
      </c>
      <c r="B100" s="7" t="s">
        <v>279</v>
      </c>
      <c r="C100" s="7" t="s">
        <v>433</v>
      </c>
      <c r="D100" s="7" t="s">
        <v>704</v>
      </c>
      <c r="E100" s="7" t="s">
        <v>339</v>
      </c>
      <c r="F100" s="7" t="s">
        <v>256</v>
      </c>
      <c r="G100" s="7" t="s">
        <v>403</v>
      </c>
      <c r="H100" s="7" t="s">
        <v>127</v>
      </c>
      <c r="I100" s="7" t="s">
        <v>316</v>
      </c>
      <c r="J100" s="7" t="s">
        <v>259</v>
      </c>
      <c r="K100" s="7"/>
      <c r="L100" s="7"/>
      <c r="M100" s="7" t="s">
        <v>260</v>
      </c>
      <c r="N100" s="7" t="s">
        <v>261</v>
      </c>
      <c r="O100" s="7" t="s">
        <v>195</v>
      </c>
      <c r="P100" s="7"/>
      <c r="Q100" s="7" t="s">
        <v>285</v>
      </c>
      <c r="R100" s="7" t="s">
        <v>263</v>
      </c>
    </row>
    <row r="101" spans="1:18">
      <c r="A101" s="7" t="s">
        <v>705</v>
      </c>
      <c r="B101" s="7" t="s">
        <v>388</v>
      </c>
      <c r="C101" s="7" t="s">
        <v>474</v>
      </c>
      <c r="D101" s="7" t="s">
        <v>706</v>
      </c>
      <c r="E101" s="7" t="s">
        <v>268</v>
      </c>
      <c r="F101" s="7" t="s">
        <v>269</v>
      </c>
      <c r="G101" s="7" t="s">
        <v>435</v>
      </c>
      <c r="H101" s="7" t="s">
        <v>115</v>
      </c>
      <c r="I101" s="7" t="s">
        <v>271</v>
      </c>
      <c r="J101" s="7" t="s">
        <v>300</v>
      </c>
      <c r="K101" s="7" t="s">
        <v>707</v>
      </c>
      <c r="L101" s="7" t="s">
        <v>612</v>
      </c>
      <c r="M101" s="7" t="s">
        <v>293</v>
      </c>
      <c r="N101" s="7" t="s">
        <v>276</v>
      </c>
      <c r="O101" s="7" t="s">
        <v>169</v>
      </c>
      <c r="P101" s="7" t="s">
        <v>17</v>
      </c>
      <c r="Q101" s="7" t="s">
        <v>262</v>
      </c>
      <c r="R101" s="7" t="s">
        <v>263</v>
      </c>
    </row>
    <row r="102" spans="1:18">
      <c r="A102" s="7" t="s">
        <v>708</v>
      </c>
      <c r="B102" s="7" t="s">
        <v>709</v>
      </c>
      <c r="C102" s="7" t="s">
        <v>710</v>
      </c>
      <c r="D102" s="7" t="s">
        <v>711</v>
      </c>
      <c r="E102" s="7" t="s">
        <v>255</v>
      </c>
      <c r="F102" s="7" t="s">
        <v>256</v>
      </c>
      <c r="G102" s="7" t="s">
        <v>257</v>
      </c>
      <c r="H102" s="7" t="s">
        <v>115</v>
      </c>
      <c r="I102" s="7" t="s">
        <v>258</v>
      </c>
      <c r="J102" s="7" t="s">
        <v>358</v>
      </c>
      <c r="K102" s="7" t="s">
        <v>712</v>
      </c>
      <c r="L102" s="7" t="s">
        <v>713</v>
      </c>
      <c r="M102" s="7" t="s">
        <v>335</v>
      </c>
      <c r="N102" s="7" t="s">
        <v>261</v>
      </c>
      <c r="O102" s="7" t="s">
        <v>195</v>
      </c>
      <c r="P102" s="7" t="s">
        <v>8</v>
      </c>
      <c r="Q102" s="7" t="s">
        <v>318</v>
      </c>
      <c r="R102" s="7" t="s">
        <v>263</v>
      </c>
    </row>
    <row r="103" spans="1:18">
      <c r="A103" s="7" t="s">
        <v>714</v>
      </c>
      <c r="B103" s="7" t="s">
        <v>355</v>
      </c>
      <c r="C103" s="7" t="s">
        <v>503</v>
      </c>
      <c r="D103" s="7" t="s">
        <v>715</v>
      </c>
      <c r="E103" s="7" t="s">
        <v>339</v>
      </c>
      <c r="F103" s="7" t="s">
        <v>297</v>
      </c>
      <c r="G103" s="7" t="s">
        <v>569</v>
      </c>
      <c r="H103" s="7" t="s">
        <v>122</v>
      </c>
      <c r="I103" s="7" t="s">
        <v>299</v>
      </c>
      <c r="J103" s="7" t="s">
        <v>351</v>
      </c>
      <c r="K103" s="7"/>
      <c r="L103" s="7"/>
      <c r="M103" s="7" t="s">
        <v>260</v>
      </c>
      <c r="N103" s="7" t="s">
        <v>304</v>
      </c>
      <c r="O103" s="7" t="s">
        <v>195</v>
      </c>
      <c r="P103" s="7"/>
      <c r="Q103" s="7" t="s">
        <v>305</v>
      </c>
      <c r="R103" s="7" t="s">
        <v>263</v>
      </c>
    </row>
    <row r="104" spans="1:18">
      <c r="A104" s="7" t="s">
        <v>716</v>
      </c>
      <c r="B104" s="7" t="s">
        <v>337</v>
      </c>
      <c r="C104" s="7" t="s">
        <v>356</v>
      </c>
      <c r="D104" s="7" t="s">
        <v>717</v>
      </c>
      <c r="E104" s="7" t="s">
        <v>339</v>
      </c>
      <c r="F104" s="7" t="s">
        <v>256</v>
      </c>
      <c r="G104" s="7" t="s">
        <v>345</v>
      </c>
      <c r="H104" s="7" t="s">
        <v>115</v>
      </c>
      <c r="I104" s="7" t="s">
        <v>271</v>
      </c>
      <c r="J104" s="7" t="s">
        <v>272</v>
      </c>
      <c r="K104" s="7" t="s">
        <v>718</v>
      </c>
      <c r="L104" s="7" t="s">
        <v>719</v>
      </c>
      <c r="M104" s="7" t="s">
        <v>303</v>
      </c>
      <c r="N104" s="7" t="s">
        <v>261</v>
      </c>
      <c r="O104" s="7" t="s">
        <v>195</v>
      </c>
      <c r="P104" s="7" t="s">
        <v>17</v>
      </c>
      <c r="Q104" s="7" t="s">
        <v>262</v>
      </c>
      <c r="R104" s="7" t="s">
        <v>263</v>
      </c>
    </row>
    <row r="105" spans="1:18">
      <c r="A105" s="7" t="s">
        <v>720</v>
      </c>
      <c r="B105" s="7" t="s">
        <v>279</v>
      </c>
      <c r="C105" s="7" t="s">
        <v>355</v>
      </c>
      <c r="D105" s="7" t="s">
        <v>721</v>
      </c>
      <c r="E105" s="7" t="s">
        <v>255</v>
      </c>
      <c r="F105" s="7" t="s">
        <v>256</v>
      </c>
      <c r="G105" s="7" t="s">
        <v>257</v>
      </c>
      <c r="H105" s="7" t="s">
        <v>115</v>
      </c>
      <c r="I105" s="7" t="s">
        <v>299</v>
      </c>
      <c r="J105" s="7" t="s">
        <v>346</v>
      </c>
      <c r="K105" s="7" t="s">
        <v>722</v>
      </c>
      <c r="L105" s="7" t="s">
        <v>723</v>
      </c>
      <c r="M105" s="7" t="s">
        <v>293</v>
      </c>
      <c r="N105" s="7" t="s">
        <v>261</v>
      </c>
      <c r="O105" s="7" t="s">
        <v>195</v>
      </c>
      <c r="P105" s="7" t="s">
        <v>8</v>
      </c>
      <c r="Q105" s="7" t="s">
        <v>326</v>
      </c>
      <c r="R105" s="7" t="s">
        <v>263</v>
      </c>
    </row>
    <row r="106" spans="1:18">
      <c r="A106" s="7" t="s">
        <v>724</v>
      </c>
      <c r="B106" s="7" t="s">
        <v>439</v>
      </c>
      <c r="C106" s="7" t="s">
        <v>329</v>
      </c>
      <c r="D106" s="7" t="s">
        <v>563</v>
      </c>
      <c r="E106" s="7" t="s">
        <v>268</v>
      </c>
      <c r="F106" s="7" t="s">
        <v>269</v>
      </c>
      <c r="G106" s="7" t="s">
        <v>725</v>
      </c>
      <c r="H106" s="7" t="s">
        <v>115</v>
      </c>
      <c r="I106" s="7" t="s">
        <v>258</v>
      </c>
      <c r="J106" s="7" t="s">
        <v>341</v>
      </c>
      <c r="K106" s="7" t="s">
        <v>697</v>
      </c>
      <c r="L106" s="7" t="s">
        <v>644</v>
      </c>
      <c r="M106" s="7" t="s">
        <v>275</v>
      </c>
      <c r="N106" s="7" t="s">
        <v>276</v>
      </c>
      <c r="O106" s="7" t="s">
        <v>195</v>
      </c>
      <c r="P106" s="7" t="s">
        <v>11</v>
      </c>
      <c r="Q106" s="7" t="s">
        <v>305</v>
      </c>
      <c r="R106" s="7" t="s">
        <v>263</v>
      </c>
    </row>
    <row r="107" spans="1:18">
      <c r="A107" s="7" t="s">
        <v>726</v>
      </c>
      <c r="B107" s="7" t="s">
        <v>522</v>
      </c>
      <c r="C107" s="7" t="s">
        <v>380</v>
      </c>
      <c r="D107" s="7" t="s">
        <v>727</v>
      </c>
      <c r="E107" s="7" t="s">
        <v>255</v>
      </c>
      <c r="F107" s="7" t="s">
        <v>269</v>
      </c>
      <c r="G107" s="7" t="s">
        <v>542</v>
      </c>
      <c r="H107" s="7" t="s">
        <v>127</v>
      </c>
      <c r="I107" s="7" t="s">
        <v>258</v>
      </c>
      <c r="J107" s="7" t="s">
        <v>259</v>
      </c>
      <c r="K107" s="7"/>
      <c r="L107" s="7"/>
      <c r="M107" s="7" t="s">
        <v>260</v>
      </c>
      <c r="N107" s="7" t="s">
        <v>276</v>
      </c>
      <c r="O107" s="7" t="s">
        <v>195</v>
      </c>
      <c r="P107" s="7"/>
      <c r="Q107" s="7" t="s">
        <v>326</v>
      </c>
      <c r="R107" s="7" t="s">
        <v>263</v>
      </c>
    </row>
    <row r="108" spans="1:18">
      <c r="A108" s="7" t="s">
        <v>728</v>
      </c>
      <c r="B108" s="7" t="s">
        <v>337</v>
      </c>
      <c r="C108" s="7" t="s">
        <v>265</v>
      </c>
      <c r="D108" s="7" t="s">
        <v>357</v>
      </c>
      <c r="E108" s="7" t="s">
        <v>339</v>
      </c>
      <c r="F108" s="7" t="s">
        <v>282</v>
      </c>
      <c r="G108" s="7" t="s">
        <v>461</v>
      </c>
      <c r="H108" s="7" t="s">
        <v>466</v>
      </c>
      <c r="I108" s="7" t="s">
        <v>258</v>
      </c>
      <c r="J108" s="7" t="s">
        <v>272</v>
      </c>
      <c r="K108" s="7"/>
      <c r="L108" s="7"/>
      <c r="M108" s="7" t="s">
        <v>260</v>
      </c>
      <c r="N108" s="7" t="s">
        <v>284</v>
      </c>
      <c r="O108" s="7" t="s">
        <v>195</v>
      </c>
      <c r="P108" s="7"/>
      <c r="Q108" s="7" t="s">
        <v>318</v>
      </c>
      <c r="R108" s="7" t="s">
        <v>263</v>
      </c>
    </row>
    <row r="109" spans="1:18">
      <c r="A109" s="7" t="s">
        <v>729</v>
      </c>
      <c r="B109" s="7" t="s">
        <v>730</v>
      </c>
      <c r="C109" s="7" t="s">
        <v>313</v>
      </c>
      <c r="D109" s="7" t="s">
        <v>731</v>
      </c>
      <c r="E109" s="7" t="s">
        <v>255</v>
      </c>
      <c r="F109" s="7" t="s">
        <v>409</v>
      </c>
      <c r="G109" s="7" t="s">
        <v>648</v>
      </c>
      <c r="H109" s="7" t="s">
        <v>115</v>
      </c>
      <c r="I109" s="7" t="s">
        <v>271</v>
      </c>
      <c r="J109" s="7" t="s">
        <v>351</v>
      </c>
      <c r="K109" s="7" t="s">
        <v>570</v>
      </c>
      <c r="L109" s="7" t="s">
        <v>732</v>
      </c>
      <c r="M109" s="7" t="s">
        <v>303</v>
      </c>
      <c r="N109" s="7" t="s">
        <v>412</v>
      </c>
      <c r="O109" s="7" t="s">
        <v>195</v>
      </c>
      <c r="P109" s="7" t="s">
        <v>14</v>
      </c>
      <c r="Q109" s="7" t="s">
        <v>305</v>
      </c>
      <c r="R109" s="7" t="s">
        <v>263</v>
      </c>
    </row>
    <row r="110" spans="1:18">
      <c r="A110" s="7" t="s">
        <v>733</v>
      </c>
      <c r="B110" s="7" t="s">
        <v>278</v>
      </c>
      <c r="C110" s="7" t="s">
        <v>507</v>
      </c>
      <c r="D110" s="7" t="s">
        <v>350</v>
      </c>
      <c r="E110" s="7" t="s">
        <v>268</v>
      </c>
      <c r="F110" s="7" t="s">
        <v>256</v>
      </c>
      <c r="G110" s="7" t="s">
        <v>419</v>
      </c>
      <c r="H110" s="7" t="s">
        <v>115</v>
      </c>
      <c r="I110" s="7" t="s">
        <v>299</v>
      </c>
      <c r="J110" s="7" t="s">
        <v>358</v>
      </c>
      <c r="K110" s="7" t="s">
        <v>734</v>
      </c>
      <c r="L110" s="7" t="s">
        <v>359</v>
      </c>
      <c r="M110" s="7" t="s">
        <v>335</v>
      </c>
      <c r="N110" s="7" t="s">
        <v>261</v>
      </c>
      <c r="O110" s="7" t="s">
        <v>195</v>
      </c>
      <c r="P110" s="7" t="s">
        <v>14</v>
      </c>
      <c r="Q110" s="7" t="s">
        <v>262</v>
      </c>
      <c r="R110" s="7" t="s">
        <v>263</v>
      </c>
    </row>
    <row r="111" spans="1:18">
      <c r="A111" s="7" t="s">
        <v>735</v>
      </c>
      <c r="B111" s="7" t="s">
        <v>458</v>
      </c>
      <c r="C111" s="7" t="s">
        <v>503</v>
      </c>
      <c r="D111" s="7" t="s">
        <v>736</v>
      </c>
      <c r="E111" s="7" t="s">
        <v>281</v>
      </c>
      <c r="F111" s="7" t="s">
        <v>282</v>
      </c>
      <c r="G111" s="7" t="s">
        <v>283</v>
      </c>
      <c r="H111" s="7" t="s">
        <v>115</v>
      </c>
      <c r="I111" s="7" t="s">
        <v>316</v>
      </c>
      <c r="J111" s="7" t="s">
        <v>323</v>
      </c>
      <c r="K111" s="7" t="s">
        <v>737</v>
      </c>
      <c r="L111" s="7" t="s">
        <v>325</v>
      </c>
      <c r="M111" s="7" t="s">
        <v>335</v>
      </c>
      <c r="N111" s="7" t="s">
        <v>738</v>
      </c>
      <c r="O111" s="7" t="s">
        <v>195</v>
      </c>
      <c r="P111" s="7" t="s">
        <v>11</v>
      </c>
      <c r="Q111" s="7" t="s">
        <v>262</v>
      </c>
      <c r="R111" s="7" t="s">
        <v>263</v>
      </c>
    </row>
    <row r="112" spans="1:18">
      <c r="A112" s="7" t="s">
        <v>739</v>
      </c>
      <c r="B112" s="7" t="s">
        <v>313</v>
      </c>
      <c r="C112" s="7" t="s">
        <v>740</v>
      </c>
      <c r="D112" s="7" t="s">
        <v>741</v>
      </c>
      <c r="E112" s="7" t="s">
        <v>255</v>
      </c>
      <c r="F112" s="7" t="s">
        <v>269</v>
      </c>
      <c r="G112" s="7" t="s">
        <v>542</v>
      </c>
      <c r="H112" s="7" t="s">
        <v>115</v>
      </c>
      <c r="I112" s="7" t="s">
        <v>299</v>
      </c>
      <c r="J112" s="7" t="s">
        <v>399</v>
      </c>
      <c r="K112" s="7" t="s">
        <v>742</v>
      </c>
      <c r="L112" s="7" t="s">
        <v>743</v>
      </c>
      <c r="M112" s="7" t="s">
        <v>335</v>
      </c>
      <c r="N112" s="7" t="s">
        <v>686</v>
      </c>
      <c r="O112" s="7" t="s">
        <v>195</v>
      </c>
      <c r="P112" s="7" t="s">
        <v>8</v>
      </c>
      <c r="Q112" s="7" t="s">
        <v>262</v>
      </c>
      <c r="R112" s="7" t="s">
        <v>263</v>
      </c>
    </row>
    <row r="113" spans="1:18">
      <c r="A113" s="7" t="s">
        <v>744</v>
      </c>
      <c r="B113" s="7" t="s">
        <v>356</v>
      </c>
      <c r="C113" s="7" t="s">
        <v>485</v>
      </c>
      <c r="D113" s="7" t="s">
        <v>691</v>
      </c>
      <c r="E113" s="7" t="s">
        <v>339</v>
      </c>
      <c r="F113" s="7" t="s">
        <v>297</v>
      </c>
      <c r="G113" s="7" t="s">
        <v>569</v>
      </c>
      <c r="H113" s="7" t="s">
        <v>115</v>
      </c>
      <c r="I113" s="7" t="s">
        <v>271</v>
      </c>
      <c r="J113" s="7" t="s">
        <v>404</v>
      </c>
      <c r="K113" s="7" t="s">
        <v>745</v>
      </c>
      <c r="L113" s="7" t="s">
        <v>746</v>
      </c>
      <c r="M113" s="7" t="s">
        <v>303</v>
      </c>
      <c r="N113" s="7" t="s">
        <v>304</v>
      </c>
      <c r="O113" s="7" t="s">
        <v>169</v>
      </c>
      <c r="P113" s="7" t="s">
        <v>17</v>
      </c>
      <c r="Q113" s="7" t="s">
        <v>305</v>
      </c>
      <c r="R113" s="7" t="s">
        <v>263</v>
      </c>
    </row>
    <row r="114" spans="1:18">
      <c r="A114" s="7" t="s">
        <v>747</v>
      </c>
      <c r="B114" s="7" t="s">
        <v>730</v>
      </c>
      <c r="C114" s="7" t="s">
        <v>533</v>
      </c>
      <c r="D114" s="7"/>
      <c r="E114" s="7" t="s">
        <v>268</v>
      </c>
      <c r="F114" s="7" t="s">
        <v>269</v>
      </c>
      <c r="G114" s="7" t="s">
        <v>270</v>
      </c>
      <c r="H114" s="7" t="s">
        <v>127</v>
      </c>
      <c r="I114" s="7" t="s">
        <v>258</v>
      </c>
      <c r="J114" s="7" t="s">
        <v>392</v>
      </c>
      <c r="K114" s="7"/>
      <c r="L114" s="7"/>
      <c r="M114" s="7" t="s">
        <v>260</v>
      </c>
      <c r="N114" s="7" t="s">
        <v>276</v>
      </c>
      <c r="O114" s="7" t="s">
        <v>195</v>
      </c>
      <c r="P114" s="7"/>
      <c r="Q114" s="7" t="s">
        <v>262</v>
      </c>
      <c r="R114" s="7" t="s">
        <v>263</v>
      </c>
    </row>
    <row r="115" spans="1:18">
      <c r="A115" s="7" t="s">
        <v>748</v>
      </c>
      <c r="B115" s="7" t="s">
        <v>287</v>
      </c>
      <c r="C115" s="7" t="s">
        <v>252</v>
      </c>
      <c r="D115" s="7" t="s">
        <v>741</v>
      </c>
      <c r="E115" s="7" t="s">
        <v>339</v>
      </c>
      <c r="F115" s="7" t="s">
        <v>256</v>
      </c>
      <c r="G115" s="7" t="s">
        <v>345</v>
      </c>
      <c r="H115" s="7" t="s">
        <v>115</v>
      </c>
      <c r="I115" s="7" t="s">
        <v>316</v>
      </c>
      <c r="J115" s="7" t="s">
        <v>392</v>
      </c>
      <c r="K115" s="7" t="s">
        <v>749</v>
      </c>
      <c r="L115" s="7" t="s">
        <v>411</v>
      </c>
      <c r="M115" s="7" t="s">
        <v>303</v>
      </c>
      <c r="N115" s="7" t="s">
        <v>261</v>
      </c>
      <c r="O115" s="7" t="s">
        <v>195</v>
      </c>
      <c r="P115" s="7" t="s">
        <v>14</v>
      </c>
      <c r="Q115" s="7" t="s">
        <v>305</v>
      </c>
      <c r="R115" s="7" t="s">
        <v>263</v>
      </c>
    </row>
    <row r="116" spans="1:18">
      <c r="A116" s="7" t="s">
        <v>750</v>
      </c>
      <c r="B116" s="7" t="s">
        <v>561</v>
      </c>
      <c r="C116" s="7" t="s">
        <v>533</v>
      </c>
      <c r="D116" s="7" t="s">
        <v>504</v>
      </c>
      <c r="E116" s="7" t="s">
        <v>339</v>
      </c>
      <c r="F116" s="7" t="s">
        <v>269</v>
      </c>
      <c r="G116" s="7" t="s">
        <v>528</v>
      </c>
      <c r="H116" s="7" t="s">
        <v>115</v>
      </c>
      <c r="I116" s="7" t="s">
        <v>271</v>
      </c>
      <c r="J116" s="7" t="s">
        <v>323</v>
      </c>
      <c r="K116" s="7" t="s">
        <v>751</v>
      </c>
      <c r="L116" s="7" t="s">
        <v>351</v>
      </c>
      <c r="M116" s="7" t="s">
        <v>303</v>
      </c>
      <c r="N116" s="7" t="s">
        <v>276</v>
      </c>
      <c r="O116" s="7" t="s">
        <v>483</v>
      </c>
      <c r="P116" s="7" t="s">
        <v>17</v>
      </c>
      <c r="Q116" s="7" t="s">
        <v>285</v>
      </c>
      <c r="R116" s="7" t="s">
        <v>263</v>
      </c>
    </row>
    <row r="117" spans="1:18">
      <c r="A117" s="7" t="s">
        <v>752</v>
      </c>
      <c r="B117" s="7" t="s">
        <v>730</v>
      </c>
      <c r="C117" s="7" t="s">
        <v>407</v>
      </c>
      <c r="D117" s="7" t="s">
        <v>579</v>
      </c>
      <c r="E117" s="7" t="s">
        <v>255</v>
      </c>
      <c r="F117" s="7" t="s">
        <v>409</v>
      </c>
      <c r="G117" s="7" t="s">
        <v>648</v>
      </c>
      <c r="H117" s="7" t="s">
        <v>115</v>
      </c>
      <c r="I117" s="7" t="s">
        <v>258</v>
      </c>
      <c r="J117" s="7" t="s">
        <v>469</v>
      </c>
      <c r="K117" s="7" t="s">
        <v>471</v>
      </c>
      <c r="L117" s="7" t="s">
        <v>753</v>
      </c>
      <c r="M117" s="7" t="s">
        <v>303</v>
      </c>
      <c r="N117" s="7" t="s">
        <v>412</v>
      </c>
      <c r="O117" s="7" t="s">
        <v>169</v>
      </c>
      <c r="P117" s="7" t="s">
        <v>14</v>
      </c>
      <c r="Q117" s="7" t="s">
        <v>305</v>
      </c>
      <c r="R117" s="7" t="s">
        <v>263</v>
      </c>
    </row>
    <row r="118" spans="1:18">
      <c r="A118" s="7" t="s">
        <v>754</v>
      </c>
      <c r="B118" s="7" t="s">
        <v>355</v>
      </c>
      <c r="C118" s="7" t="s">
        <v>755</v>
      </c>
      <c r="D118" s="7" t="s">
        <v>756</v>
      </c>
      <c r="E118" s="7" t="s">
        <v>255</v>
      </c>
      <c r="F118" s="7" t="s">
        <v>282</v>
      </c>
      <c r="G118" s="7" t="s">
        <v>424</v>
      </c>
      <c r="H118" s="7" t="s">
        <v>115</v>
      </c>
      <c r="I118" s="7" t="s">
        <v>299</v>
      </c>
      <c r="J118" s="7" t="s">
        <v>300</v>
      </c>
      <c r="K118" s="7" t="s">
        <v>692</v>
      </c>
      <c r="L118" s="7" t="s">
        <v>757</v>
      </c>
      <c r="M118" s="7" t="s">
        <v>335</v>
      </c>
      <c r="N118" s="7" t="s">
        <v>284</v>
      </c>
      <c r="O118" s="7" t="s">
        <v>195</v>
      </c>
      <c r="P118" s="7" t="s">
        <v>11</v>
      </c>
      <c r="Q118" s="7" t="s">
        <v>262</v>
      </c>
      <c r="R118" s="7" t="s">
        <v>263</v>
      </c>
    </row>
    <row r="119" spans="1:18">
      <c r="A119" s="7" t="s">
        <v>758</v>
      </c>
      <c r="B119" s="7" t="s">
        <v>314</v>
      </c>
      <c r="C119" s="7" t="s">
        <v>614</v>
      </c>
      <c r="D119" s="7" t="s">
        <v>759</v>
      </c>
      <c r="E119" s="7" t="s">
        <v>268</v>
      </c>
      <c r="F119" s="7" t="s">
        <v>282</v>
      </c>
      <c r="G119" s="7" t="s">
        <v>505</v>
      </c>
      <c r="H119" s="7" t="s">
        <v>115</v>
      </c>
      <c r="I119" s="7" t="s">
        <v>316</v>
      </c>
      <c r="J119" s="7" t="s">
        <v>404</v>
      </c>
      <c r="K119" s="7" t="s">
        <v>760</v>
      </c>
      <c r="L119" s="7" t="s">
        <v>761</v>
      </c>
      <c r="M119" s="7" t="s">
        <v>303</v>
      </c>
      <c r="N119" s="7" t="s">
        <v>284</v>
      </c>
      <c r="O119" s="7" t="s">
        <v>169</v>
      </c>
      <c r="P119" s="7" t="s">
        <v>11</v>
      </c>
      <c r="Q119" s="7" t="s">
        <v>318</v>
      </c>
      <c r="R119" s="7" t="s">
        <v>263</v>
      </c>
    </row>
    <row r="120" spans="1:18">
      <c r="A120" s="7" t="s">
        <v>762</v>
      </c>
      <c r="B120" s="7" t="s">
        <v>320</v>
      </c>
      <c r="C120" s="7" t="s">
        <v>517</v>
      </c>
      <c r="D120" s="7" t="s">
        <v>763</v>
      </c>
      <c r="E120" s="7" t="s">
        <v>255</v>
      </c>
      <c r="F120" s="7" t="s">
        <v>269</v>
      </c>
      <c r="G120" s="7" t="s">
        <v>542</v>
      </c>
      <c r="H120" s="7" t="s">
        <v>122</v>
      </c>
      <c r="I120" s="7" t="s">
        <v>316</v>
      </c>
      <c r="J120" s="7" t="s">
        <v>469</v>
      </c>
      <c r="K120" s="7"/>
      <c r="L120" s="7"/>
      <c r="M120" s="7" t="s">
        <v>260</v>
      </c>
      <c r="N120" s="7" t="s">
        <v>276</v>
      </c>
      <c r="O120" s="7" t="s">
        <v>195</v>
      </c>
      <c r="P120" s="7"/>
      <c r="Q120" s="7" t="s">
        <v>305</v>
      </c>
      <c r="R120" s="7" t="s">
        <v>263</v>
      </c>
    </row>
    <row r="121" spans="1:18">
      <c r="A121" s="7" t="s">
        <v>764</v>
      </c>
      <c r="B121" s="7" t="s">
        <v>278</v>
      </c>
      <c r="C121" s="7" t="s">
        <v>473</v>
      </c>
      <c r="D121" s="7" t="s">
        <v>765</v>
      </c>
      <c r="E121" s="7" t="s">
        <v>339</v>
      </c>
      <c r="F121" s="7" t="s">
        <v>409</v>
      </c>
      <c r="G121" s="7" t="s">
        <v>476</v>
      </c>
      <c r="H121" s="7" t="s">
        <v>122</v>
      </c>
      <c r="I121" s="7" t="s">
        <v>271</v>
      </c>
      <c r="J121" s="7" t="s">
        <v>323</v>
      </c>
      <c r="K121" s="7"/>
      <c r="L121" s="7"/>
      <c r="M121" s="7" t="s">
        <v>260</v>
      </c>
      <c r="N121" s="7" t="s">
        <v>412</v>
      </c>
      <c r="O121" s="7" t="s">
        <v>195</v>
      </c>
      <c r="P121" s="7"/>
      <c r="Q121" s="7" t="s">
        <v>262</v>
      </c>
      <c r="R121" s="7" t="s">
        <v>263</v>
      </c>
    </row>
    <row r="122" spans="1:18">
      <c r="A122" s="7" t="s">
        <v>766</v>
      </c>
      <c r="B122" s="7" t="s">
        <v>730</v>
      </c>
      <c r="C122" s="7" t="s">
        <v>314</v>
      </c>
      <c r="D122" s="7" t="s">
        <v>706</v>
      </c>
      <c r="E122" s="7" t="s">
        <v>268</v>
      </c>
      <c r="F122" s="7" t="s">
        <v>269</v>
      </c>
      <c r="G122" s="7" t="s">
        <v>270</v>
      </c>
      <c r="H122" s="7" t="s">
        <v>122</v>
      </c>
      <c r="I122" s="7" t="s">
        <v>299</v>
      </c>
      <c r="J122" s="7" t="s">
        <v>272</v>
      </c>
      <c r="K122" s="7"/>
      <c r="L122" s="7"/>
      <c r="M122" s="7" t="s">
        <v>260</v>
      </c>
      <c r="N122" s="7" t="s">
        <v>276</v>
      </c>
      <c r="O122" s="7" t="s">
        <v>195</v>
      </c>
      <c r="P122" s="7"/>
      <c r="Q122" s="7" t="s">
        <v>305</v>
      </c>
      <c r="R122" s="7" t="s">
        <v>263</v>
      </c>
    </row>
    <row r="123" spans="1:18">
      <c r="A123" s="7" t="s">
        <v>767</v>
      </c>
      <c r="B123" s="7" t="s">
        <v>768</v>
      </c>
      <c r="C123" s="7" t="s">
        <v>265</v>
      </c>
      <c r="D123" s="7" t="s">
        <v>769</v>
      </c>
      <c r="E123" s="7" t="s">
        <v>255</v>
      </c>
      <c r="F123" s="7" t="s">
        <v>409</v>
      </c>
      <c r="G123" s="7" t="s">
        <v>648</v>
      </c>
      <c r="H123" s="7" t="s">
        <v>115</v>
      </c>
      <c r="I123" s="7" t="s">
        <v>258</v>
      </c>
      <c r="J123" s="7" t="s">
        <v>529</v>
      </c>
      <c r="K123" s="7" t="s">
        <v>770</v>
      </c>
      <c r="L123" s="7" t="s">
        <v>598</v>
      </c>
      <c r="M123" s="7" t="s">
        <v>335</v>
      </c>
      <c r="N123" s="7" t="s">
        <v>412</v>
      </c>
      <c r="O123" s="7" t="s">
        <v>195</v>
      </c>
      <c r="P123" s="7" t="s">
        <v>17</v>
      </c>
      <c r="Q123" s="7" t="s">
        <v>318</v>
      </c>
      <c r="R123" s="7" t="s">
        <v>263</v>
      </c>
    </row>
    <row r="124" spans="1:18">
      <c r="A124" s="7" t="s">
        <v>771</v>
      </c>
      <c r="B124" s="7" t="s">
        <v>585</v>
      </c>
      <c r="C124" s="7" t="s">
        <v>265</v>
      </c>
      <c r="D124" s="7" t="s">
        <v>772</v>
      </c>
      <c r="E124" s="7" t="s">
        <v>255</v>
      </c>
      <c r="F124" s="7" t="s">
        <v>269</v>
      </c>
      <c r="G124" s="7" t="s">
        <v>542</v>
      </c>
      <c r="H124" s="7" t="s">
        <v>115</v>
      </c>
      <c r="I124" s="7" t="s">
        <v>316</v>
      </c>
      <c r="J124" s="7" t="s">
        <v>447</v>
      </c>
      <c r="K124" s="7" t="s">
        <v>773</v>
      </c>
      <c r="L124" s="7" t="s">
        <v>751</v>
      </c>
      <c r="M124" s="7" t="s">
        <v>303</v>
      </c>
      <c r="N124" s="7" t="s">
        <v>276</v>
      </c>
      <c r="O124" s="7" t="s">
        <v>195</v>
      </c>
      <c r="P124" s="7" t="s">
        <v>14</v>
      </c>
      <c r="Q124" s="7" t="s">
        <v>326</v>
      </c>
      <c r="R124" s="7" t="s">
        <v>263</v>
      </c>
    </row>
    <row r="125" spans="1:18">
      <c r="A125" s="7" t="s">
        <v>774</v>
      </c>
      <c r="B125" s="7" t="s">
        <v>621</v>
      </c>
      <c r="C125" s="7" t="s">
        <v>517</v>
      </c>
      <c r="D125" s="7" t="s">
        <v>655</v>
      </c>
      <c r="E125" s="7" t="s">
        <v>255</v>
      </c>
      <c r="F125" s="7" t="s">
        <v>269</v>
      </c>
      <c r="G125" s="7" t="s">
        <v>542</v>
      </c>
      <c r="H125" s="7" t="s">
        <v>115</v>
      </c>
      <c r="I125" s="7" t="s">
        <v>299</v>
      </c>
      <c r="J125" s="7" t="s">
        <v>332</v>
      </c>
      <c r="K125" s="7" t="s">
        <v>775</v>
      </c>
      <c r="L125" s="7" t="s">
        <v>332</v>
      </c>
      <c r="M125" s="7" t="s">
        <v>293</v>
      </c>
      <c r="N125" s="7" t="s">
        <v>276</v>
      </c>
      <c r="O125" s="7" t="s">
        <v>195</v>
      </c>
      <c r="P125" s="7" t="s">
        <v>17</v>
      </c>
      <c r="Q125" s="7" t="s">
        <v>326</v>
      </c>
      <c r="R125" s="7" t="s">
        <v>263</v>
      </c>
    </row>
    <row r="126" spans="1:18">
      <c r="A126" s="7" t="s">
        <v>776</v>
      </c>
      <c r="B126" s="7" t="s">
        <v>666</v>
      </c>
      <c r="C126" s="7" t="s">
        <v>493</v>
      </c>
      <c r="D126" s="7" t="s">
        <v>759</v>
      </c>
      <c r="E126" s="7" t="s">
        <v>255</v>
      </c>
      <c r="F126" s="7" t="s">
        <v>269</v>
      </c>
      <c r="G126" s="7" t="s">
        <v>542</v>
      </c>
      <c r="H126" s="7" t="s">
        <v>115</v>
      </c>
      <c r="I126" s="7" t="s">
        <v>271</v>
      </c>
      <c r="J126" s="7" t="s">
        <v>272</v>
      </c>
      <c r="K126" s="7" t="s">
        <v>777</v>
      </c>
      <c r="L126" s="7" t="s">
        <v>679</v>
      </c>
      <c r="M126" s="7" t="s">
        <v>335</v>
      </c>
      <c r="N126" s="7" t="s">
        <v>276</v>
      </c>
      <c r="O126" s="7" t="s">
        <v>195</v>
      </c>
      <c r="P126" s="7" t="s">
        <v>17</v>
      </c>
      <c r="Q126" s="7" t="s">
        <v>262</v>
      </c>
      <c r="R126" s="7" t="s">
        <v>263</v>
      </c>
    </row>
    <row r="127" spans="1:18">
      <c r="A127" s="7" t="s">
        <v>778</v>
      </c>
      <c r="B127" s="7" t="s">
        <v>407</v>
      </c>
      <c r="C127" s="7" t="s">
        <v>308</v>
      </c>
      <c r="D127" s="7" t="s">
        <v>779</v>
      </c>
      <c r="E127" s="7" t="s">
        <v>339</v>
      </c>
      <c r="F127" s="7" t="s">
        <v>580</v>
      </c>
      <c r="G127" s="7" t="s">
        <v>780</v>
      </c>
      <c r="H127" s="7" t="s">
        <v>115</v>
      </c>
      <c r="I127" s="7" t="s">
        <v>299</v>
      </c>
      <c r="J127" s="7" t="s">
        <v>447</v>
      </c>
      <c r="K127" s="7" t="s">
        <v>625</v>
      </c>
      <c r="L127" s="7" t="s">
        <v>743</v>
      </c>
      <c r="M127" s="7" t="s">
        <v>293</v>
      </c>
      <c r="N127" s="7" t="s">
        <v>304</v>
      </c>
      <c r="O127" s="7" t="s">
        <v>169</v>
      </c>
      <c r="P127" s="7" t="s">
        <v>11</v>
      </c>
      <c r="Q127" s="7" t="s">
        <v>262</v>
      </c>
      <c r="R127" s="7" t="s">
        <v>263</v>
      </c>
    </row>
    <row r="128" spans="1:18">
      <c r="A128" s="7" t="s">
        <v>781</v>
      </c>
      <c r="B128" s="7" t="s">
        <v>439</v>
      </c>
      <c r="C128" s="7" t="s">
        <v>782</v>
      </c>
      <c r="D128" s="7" t="s">
        <v>350</v>
      </c>
      <c r="E128" s="7" t="s">
        <v>339</v>
      </c>
      <c r="F128" s="7" t="s">
        <v>282</v>
      </c>
      <c r="G128" s="7" t="s">
        <v>564</v>
      </c>
      <c r="H128" s="7" t="s">
        <v>115</v>
      </c>
      <c r="I128" s="7" t="s">
        <v>316</v>
      </c>
      <c r="J128" s="7" t="s">
        <v>272</v>
      </c>
      <c r="K128" s="7" t="s">
        <v>783</v>
      </c>
      <c r="L128" s="7" t="s">
        <v>784</v>
      </c>
      <c r="M128" s="7" t="s">
        <v>335</v>
      </c>
      <c r="N128" s="7" t="s">
        <v>284</v>
      </c>
      <c r="O128" s="7" t="s">
        <v>169</v>
      </c>
      <c r="P128" s="7" t="s">
        <v>17</v>
      </c>
      <c r="Q128" s="7" t="s">
        <v>305</v>
      </c>
      <c r="R128" s="7" t="s">
        <v>263</v>
      </c>
    </row>
    <row r="129" spans="1:18">
      <c r="A129" s="7" t="s">
        <v>785</v>
      </c>
      <c r="B129" s="7" t="s">
        <v>356</v>
      </c>
      <c r="C129" s="7" t="s">
        <v>422</v>
      </c>
      <c r="D129" s="7" t="s">
        <v>786</v>
      </c>
      <c r="E129" s="7" t="s">
        <v>255</v>
      </c>
      <c r="F129" s="7" t="s">
        <v>282</v>
      </c>
      <c r="G129" s="7" t="s">
        <v>290</v>
      </c>
      <c r="H129" s="7" t="s">
        <v>787</v>
      </c>
      <c r="I129" s="7" t="s">
        <v>299</v>
      </c>
      <c r="J129" s="7" t="s">
        <v>300</v>
      </c>
      <c r="K129" s="7" t="s">
        <v>788</v>
      </c>
      <c r="L129" s="7" t="s">
        <v>789</v>
      </c>
      <c r="M129" s="7" t="s">
        <v>303</v>
      </c>
      <c r="N129" s="7" t="s">
        <v>284</v>
      </c>
      <c r="O129" s="7" t="s">
        <v>195</v>
      </c>
      <c r="P129" s="7" t="s">
        <v>14</v>
      </c>
      <c r="Q129" s="7" t="s">
        <v>285</v>
      </c>
      <c r="R129" s="7" t="s">
        <v>263</v>
      </c>
    </row>
    <row r="130" spans="1:18">
      <c r="A130" s="7" t="s">
        <v>790</v>
      </c>
      <c r="B130" s="7" t="s">
        <v>473</v>
      </c>
      <c r="C130" s="7" t="s">
        <v>646</v>
      </c>
      <c r="D130" s="7" t="s">
        <v>791</v>
      </c>
      <c r="E130" s="7" t="s">
        <v>281</v>
      </c>
      <c r="F130" s="7" t="s">
        <v>282</v>
      </c>
      <c r="G130" s="7" t="s">
        <v>283</v>
      </c>
      <c r="H130" s="7" t="s">
        <v>115</v>
      </c>
      <c r="I130" s="7" t="s">
        <v>271</v>
      </c>
      <c r="J130" s="7" t="s">
        <v>411</v>
      </c>
      <c r="K130" s="7" t="s">
        <v>792</v>
      </c>
      <c r="L130" s="7" t="s">
        <v>793</v>
      </c>
      <c r="M130" s="7" t="s">
        <v>335</v>
      </c>
      <c r="N130" s="7" t="s">
        <v>284</v>
      </c>
      <c r="O130" s="7" t="s">
        <v>195</v>
      </c>
      <c r="P130" s="7" t="s">
        <v>8</v>
      </c>
      <c r="Q130" s="7" t="s">
        <v>285</v>
      </c>
      <c r="R130" s="7" t="s">
        <v>263</v>
      </c>
    </row>
    <row r="131" spans="1:18">
      <c r="A131" s="7" t="s">
        <v>794</v>
      </c>
      <c r="B131" s="7" t="s">
        <v>666</v>
      </c>
      <c r="C131" s="7" t="s">
        <v>417</v>
      </c>
      <c r="D131" s="7" t="s">
        <v>795</v>
      </c>
      <c r="E131" s="7" t="s">
        <v>281</v>
      </c>
      <c r="F131" s="7" t="s">
        <v>256</v>
      </c>
      <c r="G131" s="7" t="s">
        <v>796</v>
      </c>
      <c r="H131" s="7" t="s">
        <v>115</v>
      </c>
      <c r="I131" s="7" t="s">
        <v>299</v>
      </c>
      <c r="J131" s="7" t="s">
        <v>469</v>
      </c>
      <c r="K131" s="7" t="s">
        <v>797</v>
      </c>
      <c r="L131" s="7" t="s">
        <v>798</v>
      </c>
      <c r="M131" s="7" t="s">
        <v>293</v>
      </c>
      <c r="N131" s="7" t="s">
        <v>261</v>
      </c>
      <c r="O131" s="7" t="s">
        <v>195</v>
      </c>
      <c r="P131" s="7" t="s">
        <v>8</v>
      </c>
      <c r="Q131" s="7" t="s">
        <v>285</v>
      </c>
      <c r="R131" s="7" t="s">
        <v>263</v>
      </c>
    </row>
    <row r="132" spans="1:18">
      <c r="A132" s="7" t="s">
        <v>799</v>
      </c>
      <c r="B132" s="7" t="s">
        <v>458</v>
      </c>
      <c r="C132" s="7" t="s">
        <v>517</v>
      </c>
      <c r="D132" s="7" t="s">
        <v>800</v>
      </c>
      <c r="E132" s="7" t="s">
        <v>268</v>
      </c>
      <c r="F132" s="7" t="s">
        <v>256</v>
      </c>
      <c r="G132" s="7" t="s">
        <v>419</v>
      </c>
      <c r="H132" s="7" t="s">
        <v>115</v>
      </c>
      <c r="I132" s="7" t="s">
        <v>299</v>
      </c>
      <c r="J132" s="7" t="s">
        <v>259</v>
      </c>
      <c r="K132" s="7" t="s">
        <v>801</v>
      </c>
      <c r="L132" s="7" t="s">
        <v>802</v>
      </c>
      <c r="M132" s="7" t="s">
        <v>293</v>
      </c>
      <c r="N132" s="7" t="s">
        <v>261</v>
      </c>
      <c r="O132" s="7" t="s">
        <v>195</v>
      </c>
      <c r="P132" s="7" t="s">
        <v>260</v>
      </c>
      <c r="Q132" s="7" t="s">
        <v>262</v>
      </c>
      <c r="R132" s="7" t="s">
        <v>263</v>
      </c>
    </row>
    <row r="133" spans="1:18">
      <c r="A133" s="7" t="s">
        <v>803</v>
      </c>
      <c r="B133" s="7" t="s">
        <v>458</v>
      </c>
      <c r="C133" s="7" t="s">
        <v>804</v>
      </c>
      <c r="D133" s="7" t="s">
        <v>791</v>
      </c>
      <c r="E133" s="7" t="s">
        <v>281</v>
      </c>
      <c r="F133" s="7" t="s">
        <v>409</v>
      </c>
      <c r="G133" s="7" t="s">
        <v>535</v>
      </c>
      <c r="H133" s="7" t="s">
        <v>115</v>
      </c>
      <c r="I133" s="7" t="s">
        <v>316</v>
      </c>
      <c r="J133" s="7" t="s">
        <v>404</v>
      </c>
      <c r="K133" s="7" t="s">
        <v>805</v>
      </c>
      <c r="L133" s="7" t="s">
        <v>806</v>
      </c>
      <c r="M133" s="7" t="s">
        <v>303</v>
      </c>
      <c r="N133" s="7" t="s">
        <v>412</v>
      </c>
      <c r="O133" s="7" t="s">
        <v>169</v>
      </c>
      <c r="P133" s="7" t="s">
        <v>17</v>
      </c>
      <c r="Q133" s="7" t="s">
        <v>326</v>
      </c>
      <c r="R133" s="7" t="s">
        <v>263</v>
      </c>
    </row>
    <row r="134" spans="1:18">
      <c r="A134" s="7" t="s">
        <v>807</v>
      </c>
      <c r="B134" s="7" t="s">
        <v>278</v>
      </c>
      <c r="C134" s="7" t="s">
        <v>621</v>
      </c>
      <c r="D134" s="7" t="s">
        <v>715</v>
      </c>
      <c r="E134" s="7" t="s">
        <v>268</v>
      </c>
      <c r="F134" s="7" t="s">
        <v>269</v>
      </c>
      <c r="G134" s="7" t="s">
        <v>270</v>
      </c>
      <c r="H134" s="7" t="s">
        <v>115</v>
      </c>
      <c r="I134" s="7" t="s">
        <v>316</v>
      </c>
      <c r="J134" s="7" t="s">
        <v>411</v>
      </c>
      <c r="K134" s="7" t="s">
        <v>808</v>
      </c>
      <c r="L134" s="7" t="s">
        <v>443</v>
      </c>
      <c r="M134" s="7" t="s">
        <v>293</v>
      </c>
      <c r="N134" s="7" t="s">
        <v>276</v>
      </c>
      <c r="O134" s="7" t="s">
        <v>169</v>
      </c>
      <c r="P134" s="7" t="s">
        <v>17</v>
      </c>
      <c r="Q134" s="7" t="s">
        <v>285</v>
      </c>
      <c r="R134" s="7" t="s">
        <v>263</v>
      </c>
    </row>
    <row r="135" spans="1:18">
      <c r="A135" s="7" t="s">
        <v>809</v>
      </c>
      <c r="B135" s="7" t="s">
        <v>278</v>
      </c>
      <c r="C135" s="7" t="s">
        <v>646</v>
      </c>
      <c r="D135" s="7" t="s">
        <v>504</v>
      </c>
      <c r="E135" s="7" t="s">
        <v>255</v>
      </c>
      <c r="F135" s="7" t="s">
        <v>297</v>
      </c>
      <c r="G135" s="7" t="s">
        <v>639</v>
      </c>
      <c r="H135" s="7" t="s">
        <v>115</v>
      </c>
      <c r="I135" s="7" t="s">
        <v>271</v>
      </c>
      <c r="J135" s="7" t="s">
        <v>323</v>
      </c>
      <c r="K135" s="7" t="s">
        <v>810</v>
      </c>
      <c r="L135" s="7" t="s">
        <v>811</v>
      </c>
      <c r="M135" s="7" t="s">
        <v>293</v>
      </c>
      <c r="N135" s="7" t="s">
        <v>304</v>
      </c>
      <c r="O135" s="7" t="s">
        <v>195</v>
      </c>
      <c r="P135" s="7" t="s">
        <v>17</v>
      </c>
      <c r="Q135" s="7" t="s">
        <v>262</v>
      </c>
      <c r="R135" s="7" t="s">
        <v>263</v>
      </c>
    </row>
    <row r="136" spans="1:18">
      <c r="A136" s="7" t="s">
        <v>812</v>
      </c>
      <c r="B136" s="7" t="s">
        <v>417</v>
      </c>
      <c r="C136" s="7" t="s">
        <v>574</v>
      </c>
      <c r="D136" s="7" t="s">
        <v>813</v>
      </c>
      <c r="E136" s="7" t="s">
        <v>281</v>
      </c>
      <c r="F136" s="7" t="s">
        <v>282</v>
      </c>
      <c r="G136" s="7" t="s">
        <v>446</v>
      </c>
      <c r="H136" s="7" t="s">
        <v>115</v>
      </c>
      <c r="I136" s="7" t="s">
        <v>258</v>
      </c>
      <c r="J136" s="7" t="s">
        <v>323</v>
      </c>
      <c r="K136" s="7" t="s">
        <v>814</v>
      </c>
      <c r="L136" s="7" t="s">
        <v>815</v>
      </c>
      <c r="M136" s="7" t="s">
        <v>303</v>
      </c>
      <c r="N136" s="7" t="s">
        <v>284</v>
      </c>
      <c r="O136" s="7" t="s">
        <v>195</v>
      </c>
      <c r="P136" s="7" t="s">
        <v>14</v>
      </c>
      <c r="Q136" s="7" t="s">
        <v>318</v>
      </c>
      <c r="R136" s="7" t="s">
        <v>263</v>
      </c>
    </row>
    <row r="137" spans="1:18">
      <c r="A137" s="7" t="s">
        <v>816</v>
      </c>
      <c r="B137" s="7" t="s">
        <v>473</v>
      </c>
      <c r="C137" s="7" t="s">
        <v>591</v>
      </c>
      <c r="D137" s="7" t="s">
        <v>321</v>
      </c>
      <c r="E137" s="7" t="s">
        <v>268</v>
      </c>
      <c r="F137" s="7" t="s">
        <v>256</v>
      </c>
      <c r="G137" s="7" t="s">
        <v>419</v>
      </c>
      <c r="H137" s="7" t="s">
        <v>115</v>
      </c>
      <c r="I137" s="7" t="s">
        <v>271</v>
      </c>
      <c r="J137" s="7" t="s">
        <v>411</v>
      </c>
      <c r="K137" s="7" t="s">
        <v>817</v>
      </c>
      <c r="L137" s="7" t="s">
        <v>818</v>
      </c>
      <c r="M137" s="7" t="s">
        <v>303</v>
      </c>
      <c r="N137" s="7" t="s">
        <v>261</v>
      </c>
      <c r="O137" s="7" t="s">
        <v>169</v>
      </c>
      <c r="P137" s="7" t="s">
        <v>14</v>
      </c>
      <c r="Q137" s="7" t="s">
        <v>326</v>
      </c>
      <c r="R137" s="7" t="s">
        <v>263</v>
      </c>
    </row>
    <row r="138" spans="1:18">
      <c r="A138" s="7" t="s">
        <v>819</v>
      </c>
      <c r="B138" s="7" t="s">
        <v>278</v>
      </c>
      <c r="C138" s="7" t="s">
        <v>540</v>
      </c>
      <c r="D138" s="7" t="s">
        <v>820</v>
      </c>
      <c r="E138" s="7" t="s">
        <v>281</v>
      </c>
      <c r="F138" s="7" t="s">
        <v>269</v>
      </c>
      <c r="G138" s="7" t="s">
        <v>322</v>
      </c>
      <c r="H138" s="7" t="s">
        <v>122</v>
      </c>
      <c r="I138" s="7" t="s">
        <v>258</v>
      </c>
      <c r="J138" s="7" t="s">
        <v>529</v>
      </c>
      <c r="K138" s="7"/>
      <c r="L138" s="7"/>
      <c r="M138" s="7" t="s">
        <v>260</v>
      </c>
      <c r="N138" s="7" t="s">
        <v>276</v>
      </c>
      <c r="O138" s="7" t="s">
        <v>195</v>
      </c>
      <c r="P138" s="7"/>
      <c r="Q138" s="7" t="s">
        <v>318</v>
      </c>
      <c r="R138" s="7" t="s">
        <v>263</v>
      </c>
    </row>
    <row r="139" spans="1:18">
      <c r="A139" s="7" t="s">
        <v>821</v>
      </c>
      <c r="B139" s="7" t="s">
        <v>396</v>
      </c>
      <c r="C139" s="7" t="s">
        <v>822</v>
      </c>
      <c r="D139" s="7" t="s">
        <v>823</v>
      </c>
      <c r="E139" s="7" t="s">
        <v>339</v>
      </c>
      <c r="F139" s="7" t="s">
        <v>297</v>
      </c>
      <c r="G139" s="7" t="s">
        <v>569</v>
      </c>
      <c r="H139" s="7" t="s">
        <v>115</v>
      </c>
      <c r="I139" s="7" t="s">
        <v>299</v>
      </c>
      <c r="J139" s="7" t="s">
        <v>323</v>
      </c>
      <c r="K139" s="7" t="s">
        <v>824</v>
      </c>
      <c r="L139" s="7" t="s">
        <v>825</v>
      </c>
      <c r="M139" s="7" t="s">
        <v>604</v>
      </c>
      <c r="N139" s="7" t="s">
        <v>304</v>
      </c>
      <c r="O139" s="7" t="s">
        <v>195</v>
      </c>
      <c r="P139" s="7" t="s">
        <v>14</v>
      </c>
      <c r="Q139" s="7" t="s">
        <v>326</v>
      </c>
      <c r="R139" s="7" t="s">
        <v>263</v>
      </c>
    </row>
    <row r="140" spans="1:18">
      <c r="A140" s="7" t="s">
        <v>826</v>
      </c>
      <c r="B140" s="7" t="s">
        <v>730</v>
      </c>
      <c r="C140" s="7" t="s">
        <v>313</v>
      </c>
      <c r="D140" s="7" t="s">
        <v>377</v>
      </c>
      <c r="E140" s="7" t="s">
        <v>255</v>
      </c>
      <c r="F140" s="7" t="s">
        <v>297</v>
      </c>
      <c r="G140" s="7" t="s">
        <v>331</v>
      </c>
      <c r="H140" s="7" t="s">
        <v>115</v>
      </c>
      <c r="I140" s="7" t="s">
        <v>316</v>
      </c>
      <c r="J140" s="7" t="s">
        <v>351</v>
      </c>
      <c r="K140" s="7" t="s">
        <v>827</v>
      </c>
      <c r="L140" s="7" t="s">
        <v>828</v>
      </c>
      <c r="M140" s="7" t="s">
        <v>275</v>
      </c>
      <c r="N140" s="7" t="s">
        <v>304</v>
      </c>
      <c r="O140" s="7" t="s">
        <v>195</v>
      </c>
      <c r="P140" s="7" t="s">
        <v>17</v>
      </c>
      <c r="Q140" s="7" t="s">
        <v>326</v>
      </c>
      <c r="R140" s="7" t="s">
        <v>263</v>
      </c>
    </row>
    <row r="141" spans="1:18">
      <c r="A141" s="7" t="s">
        <v>829</v>
      </c>
      <c r="B141" s="7" t="s">
        <v>621</v>
      </c>
      <c r="C141" s="7" t="s">
        <v>830</v>
      </c>
      <c r="D141" s="7" t="s">
        <v>586</v>
      </c>
      <c r="E141" s="7" t="s">
        <v>281</v>
      </c>
      <c r="F141" s="7" t="s">
        <v>269</v>
      </c>
      <c r="G141" s="7" t="s">
        <v>322</v>
      </c>
      <c r="H141" s="7" t="s">
        <v>115</v>
      </c>
      <c r="I141" s="7" t="s">
        <v>316</v>
      </c>
      <c r="J141" s="7" t="s">
        <v>404</v>
      </c>
      <c r="K141" s="7" t="s">
        <v>649</v>
      </c>
      <c r="L141" s="7" t="s">
        <v>831</v>
      </c>
      <c r="M141" s="7" t="s">
        <v>303</v>
      </c>
      <c r="N141" s="7" t="s">
        <v>276</v>
      </c>
      <c r="O141" s="7" t="s">
        <v>169</v>
      </c>
      <c r="P141" s="7" t="s">
        <v>14</v>
      </c>
      <c r="Q141" s="7" t="s">
        <v>305</v>
      </c>
      <c r="R141" s="7" t="s">
        <v>263</v>
      </c>
    </row>
    <row r="142" spans="1:18">
      <c r="A142" s="7" t="s">
        <v>832</v>
      </c>
      <c r="B142" s="7" t="s">
        <v>406</v>
      </c>
      <c r="C142" s="7" t="s">
        <v>503</v>
      </c>
      <c r="D142" s="7" t="s">
        <v>386</v>
      </c>
      <c r="E142" s="7" t="s">
        <v>255</v>
      </c>
      <c r="F142" s="7" t="s">
        <v>409</v>
      </c>
      <c r="G142" s="7" t="s">
        <v>648</v>
      </c>
      <c r="H142" s="7" t="s">
        <v>115</v>
      </c>
      <c r="I142" s="7" t="s">
        <v>258</v>
      </c>
      <c r="J142" s="7" t="s">
        <v>392</v>
      </c>
      <c r="K142" s="7" t="s">
        <v>833</v>
      </c>
      <c r="L142" s="7" t="s">
        <v>834</v>
      </c>
      <c r="M142" s="7" t="s">
        <v>835</v>
      </c>
      <c r="N142" s="7" t="s">
        <v>412</v>
      </c>
      <c r="O142" s="7" t="s">
        <v>195</v>
      </c>
      <c r="P142" s="7" t="s">
        <v>17</v>
      </c>
      <c r="Q142" s="7" t="s">
        <v>262</v>
      </c>
      <c r="R142" s="7" t="s">
        <v>263</v>
      </c>
    </row>
    <row r="143" spans="1:18">
      <c r="A143" s="7" t="s">
        <v>836</v>
      </c>
      <c r="B143" s="7" t="s">
        <v>396</v>
      </c>
      <c r="C143" s="7" t="s">
        <v>449</v>
      </c>
      <c r="D143" s="7" t="s">
        <v>837</v>
      </c>
      <c r="E143" s="7" t="s">
        <v>268</v>
      </c>
      <c r="F143" s="7" t="s">
        <v>269</v>
      </c>
      <c r="G143" s="7" t="s">
        <v>270</v>
      </c>
      <c r="H143" s="7" t="s">
        <v>115</v>
      </c>
      <c r="I143" s="7" t="s">
        <v>299</v>
      </c>
      <c r="J143" s="7" t="s">
        <v>392</v>
      </c>
      <c r="K143" s="7" t="s">
        <v>415</v>
      </c>
      <c r="L143" s="7" t="s">
        <v>838</v>
      </c>
      <c r="M143" s="7" t="s">
        <v>303</v>
      </c>
      <c r="N143" s="7" t="s">
        <v>276</v>
      </c>
      <c r="O143" s="7" t="s">
        <v>195</v>
      </c>
      <c r="P143" s="7" t="s">
        <v>14</v>
      </c>
      <c r="Q143" s="7" t="s">
        <v>318</v>
      </c>
      <c r="R143" s="7" t="s">
        <v>263</v>
      </c>
    </row>
    <row r="144" spans="1:18">
      <c r="A144" s="7"/>
      <c r="B144" s="7" t="s">
        <v>252</v>
      </c>
      <c r="C144" s="7" t="s">
        <v>433</v>
      </c>
      <c r="D144" s="7" t="s">
        <v>839</v>
      </c>
      <c r="E144" s="7" t="s">
        <v>255</v>
      </c>
      <c r="F144" s="7" t="s">
        <v>282</v>
      </c>
      <c r="G144" s="7" t="s">
        <v>290</v>
      </c>
      <c r="H144" s="7" t="s">
        <v>115</v>
      </c>
      <c r="I144" s="7" t="s">
        <v>271</v>
      </c>
      <c r="J144" s="7" t="s">
        <v>341</v>
      </c>
      <c r="K144" s="7" t="s">
        <v>840</v>
      </c>
      <c r="L144" s="7" t="s">
        <v>841</v>
      </c>
      <c r="M144" s="7" t="s">
        <v>303</v>
      </c>
      <c r="N144" s="7" t="s">
        <v>284</v>
      </c>
      <c r="O144" s="7" t="s">
        <v>169</v>
      </c>
      <c r="P144" s="7" t="s">
        <v>17</v>
      </c>
      <c r="Q144" s="7" t="s">
        <v>318</v>
      </c>
      <c r="R144" s="7" t="s">
        <v>263</v>
      </c>
    </row>
    <row r="145" spans="1:18">
      <c r="A145" s="7" t="s">
        <v>842</v>
      </c>
      <c r="B145" s="7" t="s">
        <v>458</v>
      </c>
      <c r="C145" s="7" t="s">
        <v>376</v>
      </c>
      <c r="D145" s="7" t="s">
        <v>843</v>
      </c>
      <c r="E145" s="7" t="s">
        <v>281</v>
      </c>
      <c r="F145" s="7" t="s">
        <v>297</v>
      </c>
      <c r="G145" s="7" t="s">
        <v>298</v>
      </c>
      <c r="H145" s="7" t="s">
        <v>122</v>
      </c>
      <c r="I145" s="7" t="s">
        <v>299</v>
      </c>
      <c r="J145" s="7" t="s">
        <v>346</v>
      </c>
      <c r="K145" s="7"/>
      <c r="L145" s="7"/>
      <c r="M145" s="7" t="s">
        <v>260</v>
      </c>
      <c r="N145" s="7" t="s">
        <v>304</v>
      </c>
      <c r="O145" s="7" t="s">
        <v>195</v>
      </c>
      <c r="P145" s="7"/>
      <c r="Q145" s="7" t="s">
        <v>318</v>
      </c>
      <c r="R145" s="7" t="s">
        <v>263</v>
      </c>
    </row>
    <row r="146" spans="1:18">
      <c r="A146" s="7" t="s">
        <v>844</v>
      </c>
      <c r="B146" s="7" t="s">
        <v>585</v>
      </c>
      <c r="C146" s="7" t="s">
        <v>253</v>
      </c>
      <c r="D146" s="7" t="s">
        <v>845</v>
      </c>
      <c r="E146" s="7" t="s">
        <v>255</v>
      </c>
      <c r="F146" s="7" t="s">
        <v>282</v>
      </c>
      <c r="G146" s="7" t="s">
        <v>424</v>
      </c>
      <c r="H146" s="7" t="s">
        <v>122</v>
      </c>
      <c r="I146" s="7" t="s">
        <v>846</v>
      </c>
      <c r="J146" s="7" t="s">
        <v>346</v>
      </c>
      <c r="K146" s="7"/>
      <c r="L146" s="7"/>
      <c r="M146" s="7" t="s">
        <v>260</v>
      </c>
      <c r="N146" s="7" t="s">
        <v>284</v>
      </c>
      <c r="O146" s="7" t="s">
        <v>195</v>
      </c>
      <c r="P146" s="7"/>
      <c r="Q146" s="7" t="s">
        <v>262</v>
      </c>
      <c r="R146" s="7" t="s">
        <v>263</v>
      </c>
    </row>
    <row r="147" spans="1:18">
      <c r="A147" s="7" t="s">
        <v>847</v>
      </c>
      <c r="B147" s="7" t="s">
        <v>493</v>
      </c>
      <c r="C147" s="7" t="s">
        <v>848</v>
      </c>
      <c r="D147" s="7" t="s">
        <v>390</v>
      </c>
      <c r="E147" s="7" t="s">
        <v>268</v>
      </c>
      <c r="F147" s="7" t="s">
        <v>269</v>
      </c>
      <c r="G147" s="7" t="s">
        <v>435</v>
      </c>
      <c r="H147" s="7" t="s">
        <v>115</v>
      </c>
      <c r="I147" s="7" t="s">
        <v>271</v>
      </c>
      <c r="J147" s="7" t="s">
        <v>272</v>
      </c>
      <c r="K147" s="7" t="s">
        <v>849</v>
      </c>
      <c r="L147" s="7" t="s">
        <v>543</v>
      </c>
      <c r="M147" s="7" t="s">
        <v>303</v>
      </c>
      <c r="N147" s="7" t="s">
        <v>276</v>
      </c>
      <c r="O147" s="7" t="s">
        <v>195</v>
      </c>
      <c r="P147" s="7" t="s">
        <v>17</v>
      </c>
      <c r="Q147" s="7" t="s">
        <v>262</v>
      </c>
      <c r="R147" s="7" t="s">
        <v>263</v>
      </c>
    </row>
    <row r="148" spans="1:18">
      <c r="A148" s="7" t="s">
        <v>850</v>
      </c>
      <c r="B148" s="7" t="s">
        <v>278</v>
      </c>
      <c r="C148" s="7" t="s">
        <v>591</v>
      </c>
      <c r="D148" s="7" t="s">
        <v>851</v>
      </c>
      <c r="E148" s="7" t="s">
        <v>339</v>
      </c>
      <c r="F148" s="7" t="s">
        <v>297</v>
      </c>
      <c r="G148" s="7" t="s">
        <v>780</v>
      </c>
      <c r="H148" s="7" t="s">
        <v>466</v>
      </c>
      <c r="I148" s="7" t="s">
        <v>258</v>
      </c>
      <c r="J148" s="7" t="s">
        <v>399</v>
      </c>
      <c r="K148" s="7"/>
      <c r="L148" s="7"/>
      <c r="M148" s="7" t="s">
        <v>260</v>
      </c>
      <c r="N148" s="7" t="s">
        <v>304</v>
      </c>
      <c r="O148" s="7" t="s">
        <v>169</v>
      </c>
      <c r="P148" s="7"/>
      <c r="Q148" s="7" t="s">
        <v>305</v>
      </c>
      <c r="R148" s="7" t="s">
        <v>263</v>
      </c>
    </row>
    <row r="149" spans="1:18">
      <c r="A149" s="7" t="s">
        <v>852</v>
      </c>
      <c r="B149" s="7" t="s">
        <v>473</v>
      </c>
      <c r="C149" s="7" t="s">
        <v>561</v>
      </c>
      <c r="D149" s="7" t="s">
        <v>853</v>
      </c>
      <c r="E149" s="7" t="s">
        <v>281</v>
      </c>
      <c r="F149" s="7" t="s">
        <v>256</v>
      </c>
      <c r="G149" s="7" t="s">
        <v>796</v>
      </c>
      <c r="H149" s="7" t="s">
        <v>115</v>
      </c>
      <c r="I149" s="7" t="s">
        <v>271</v>
      </c>
      <c r="J149" s="7" t="s">
        <v>259</v>
      </c>
      <c r="K149" s="7" t="s">
        <v>854</v>
      </c>
      <c r="L149" s="7" t="s">
        <v>855</v>
      </c>
      <c r="M149" s="7" t="s">
        <v>293</v>
      </c>
      <c r="N149" s="7" t="s">
        <v>261</v>
      </c>
      <c r="O149" s="7" t="s">
        <v>195</v>
      </c>
      <c r="P149" s="7" t="s">
        <v>14</v>
      </c>
      <c r="Q149" s="7" t="s">
        <v>305</v>
      </c>
      <c r="R149" s="7" t="s">
        <v>263</v>
      </c>
    </row>
    <row r="150" spans="1:18">
      <c r="A150" s="7" t="s">
        <v>856</v>
      </c>
      <c r="B150" s="7" t="s">
        <v>621</v>
      </c>
      <c r="C150" s="7" t="s">
        <v>401</v>
      </c>
      <c r="D150" s="7" t="s">
        <v>857</v>
      </c>
      <c r="E150" s="7" t="s">
        <v>339</v>
      </c>
      <c r="F150" s="7" t="s">
        <v>297</v>
      </c>
      <c r="G150" s="7" t="s">
        <v>780</v>
      </c>
      <c r="H150" s="7" t="s">
        <v>115</v>
      </c>
      <c r="I150" s="7" t="s">
        <v>271</v>
      </c>
      <c r="J150" s="7" t="s">
        <v>323</v>
      </c>
      <c r="K150" s="7" t="s">
        <v>811</v>
      </c>
      <c r="L150" s="7" t="s">
        <v>462</v>
      </c>
      <c r="M150" s="7" t="s">
        <v>303</v>
      </c>
      <c r="N150" s="7" t="s">
        <v>304</v>
      </c>
      <c r="O150" s="7" t="s">
        <v>195</v>
      </c>
      <c r="P150" s="7" t="s">
        <v>8</v>
      </c>
      <c r="Q150" s="7" t="s">
        <v>262</v>
      </c>
      <c r="R150" s="7" t="s">
        <v>263</v>
      </c>
    </row>
    <row r="151" spans="1:18">
      <c r="A151" s="7" t="s">
        <v>858</v>
      </c>
      <c r="B151" s="7" t="s">
        <v>265</v>
      </c>
      <c r="C151" s="7" t="s">
        <v>859</v>
      </c>
      <c r="D151" s="7" t="s">
        <v>820</v>
      </c>
      <c r="E151" s="7" t="s">
        <v>268</v>
      </c>
      <c r="F151" s="7" t="s">
        <v>297</v>
      </c>
      <c r="G151" s="7" t="s">
        <v>628</v>
      </c>
      <c r="H151" s="7" t="s">
        <v>115</v>
      </c>
      <c r="I151" s="7" t="s">
        <v>316</v>
      </c>
      <c r="J151" s="7" t="s">
        <v>469</v>
      </c>
      <c r="K151" s="7" t="s">
        <v>797</v>
      </c>
      <c r="L151" s="7" t="s">
        <v>860</v>
      </c>
      <c r="M151" s="7" t="s">
        <v>275</v>
      </c>
      <c r="N151" s="7" t="s">
        <v>304</v>
      </c>
      <c r="O151" s="7" t="s">
        <v>195</v>
      </c>
      <c r="P151" s="7" t="s">
        <v>14</v>
      </c>
      <c r="Q151" s="7" t="s">
        <v>326</v>
      </c>
      <c r="R151" s="7" t="s">
        <v>263</v>
      </c>
    </row>
    <row r="152" spans="1:18">
      <c r="A152" s="7" t="s">
        <v>861</v>
      </c>
      <c r="B152" s="7" t="s">
        <v>266</v>
      </c>
      <c r="C152" s="7" t="s">
        <v>490</v>
      </c>
      <c r="D152" s="7" t="s">
        <v>551</v>
      </c>
      <c r="E152" s="7" t="s">
        <v>255</v>
      </c>
      <c r="F152" s="7" t="s">
        <v>256</v>
      </c>
      <c r="G152" s="7" t="s">
        <v>398</v>
      </c>
      <c r="H152" s="7" t="s">
        <v>122</v>
      </c>
      <c r="I152" s="7" t="s">
        <v>316</v>
      </c>
      <c r="J152" s="7" t="s">
        <v>332</v>
      </c>
      <c r="K152" s="7"/>
      <c r="L152" s="7"/>
      <c r="M152" s="7" t="s">
        <v>260</v>
      </c>
      <c r="N152" s="7" t="s">
        <v>261</v>
      </c>
      <c r="O152" s="7" t="s">
        <v>169</v>
      </c>
      <c r="P152" s="7"/>
      <c r="Q152" s="7" t="s">
        <v>305</v>
      </c>
      <c r="R152" s="7" t="s">
        <v>263</v>
      </c>
    </row>
    <row r="153" spans="1:18">
      <c r="A153" s="7" t="s">
        <v>862</v>
      </c>
      <c r="B153" s="7" t="s">
        <v>320</v>
      </c>
      <c r="C153" s="7" t="s">
        <v>417</v>
      </c>
      <c r="D153" s="7" t="s">
        <v>682</v>
      </c>
      <c r="E153" s="7" t="s">
        <v>281</v>
      </c>
      <c r="F153" s="7" t="s">
        <v>282</v>
      </c>
      <c r="G153" s="7" t="s">
        <v>446</v>
      </c>
      <c r="H153" s="7" t="s">
        <v>466</v>
      </c>
      <c r="I153" s="7" t="s">
        <v>258</v>
      </c>
      <c r="J153" s="7" t="s">
        <v>411</v>
      </c>
      <c r="K153" s="7"/>
      <c r="L153" s="7"/>
      <c r="M153" s="7" t="s">
        <v>260</v>
      </c>
      <c r="N153" s="7" t="s">
        <v>284</v>
      </c>
      <c r="O153" s="7" t="s">
        <v>483</v>
      </c>
      <c r="P153" s="7"/>
      <c r="Q153" s="7" t="s">
        <v>262</v>
      </c>
      <c r="R153" s="7" t="s">
        <v>263</v>
      </c>
    </row>
    <row r="154" spans="1:18">
      <c r="A154" s="7" t="s">
        <v>863</v>
      </c>
      <c r="B154" s="7" t="s">
        <v>279</v>
      </c>
      <c r="C154" s="7" t="s">
        <v>314</v>
      </c>
      <c r="D154" s="7" t="s">
        <v>795</v>
      </c>
      <c r="E154" s="7" t="s">
        <v>268</v>
      </c>
      <c r="F154" s="7" t="s">
        <v>282</v>
      </c>
      <c r="G154" s="7" t="s">
        <v>524</v>
      </c>
      <c r="H154" s="7" t="s">
        <v>115</v>
      </c>
      <c r="I154" s="7" t="s">
        <v>271</v>
      </c>
      <c r="J154" s="7" t="s">
        <v>341</v>
      </c>
      <c r="K154" s="7" t="s">
        <v>840</v>
      </c>
      <c r="L154" s="7" t="s">
        <v>643</v>
      </c>
      <c r="M154" s="7" t="s">
        <v>335</v>
      </c>
      <c r="N154" s="7"/>
      <c r="O154" s="7" t="s">
        <v>195</v>
      </c>
      <c r="P154" s="7" t="s">
        <v>17</v>
      </c>
      <c r="Q154" s="7" t="s">
        <v>262</v>
      </c>
      <c r="R154" s="7" t="s">
        <v>263</v>
      </c>
    </row>
    <row r="155" spans="1:18">
      <c r="A155" s="7" t="s">
        <v>864</v>
      </c>
      <c r="B155" s="7" t="s">
        <v>396</v>
      </c>
      <c r="C155" s="7" t="s">
        <v>517</v>
      </c>
      <c r="D155" s="7" t="s">
        <v>865</v>
      </c>
      <c r="E155" s="7" t="s">
        <v>339</v>
      </c>
      <c r="F155" s="7" t="s">
        <v>256</v>
      </c>
      <c r="G155" s="7" t="s">
        <v>345</v>
      </c>
      <c r="H155" s="7" t="s">
        <v>115</v>
      </c>
      <c r="I155" s="7" t="s">
        <v>271</v>
      </c>
      <c r="J155" s="7" t="s">
        <v>469</v>
      </c>
      <c r="K155" s="7" t="s">
        <v>866</v>
      </c>
      <c r="L155" s="7" t="s">
        <v>469</v>
      </c>
      <c r="M155" s="7" t="s">
        <v>275</v>
      </c>
      <c r="N155" s="7" t="s">
        <v>261</v>
      </c>
      <c r="O155" s="7" t="s">
        <v>169</v>
      </c>
      <c r="P155" s="7" t="s">
        <v>17</v>
      </c>
      <c r="Q155" s="7" t="s">
        <v>305</v>
      </c>
      <c r="R155" s="7" t="s">
        <v>263</v>
      </c>
    </row>
    <row r="156" spans="1:18">
      <c r="A156" s="7" t="s">
        <v>867</v>
      </c>
      <c r="B156" s="7" t="s">
        <v>493</v>
      </c>
      <c r="C156" s="7" t="s">
        <v>459</v>
      </c>
      <c r="D156" s="7" t="s">
        <v>727</v>
      </c>
      <c r="E156" s="7" t="s">
        <v>339</v>
      </c>
      <c r="F156" s="7" t="s">
        <v>297</v>
      </c>
      <c r="G156" s="7" t="s">
        <v>780</v>
      </c>
      <c r="H156" s="7" t="s">
        <v>122</v>
      </c>
      <c r="I156" s="7" t="s">
        <v>271</v>
      </c>
      <c r="J156" s="7" t="s">
        <v>300</v>
      </c>
      <c r="K156" s="7"/>
      <c r="L156" s="7"/>
      <c r="M156" s="7" t="s">
        <v>260</v>
      </c>
      <c r="N156" s="7" t="s">
        <v>304</v>
      </c>
      <c r="O156" s="7" t="s">
        <v>195</v>
      </c>
      <c r="P156" s="7"/>
      <c r="Q156" s="7" t="s">
        <v>318</v>
      </c>
      <c r="R156" s="7" t="s">
        <v>263</v>
      </c>
    </row>
    <row r="157" spans="1:18">
      <c r="A157" s="7" t="s">
        <v>868</v>
      </c>
      <c r="B157" s="7" t="s">
        <v>407</v>
      </c>
      <c r="C157" s="7" t="s">
        <v>349</v>
      </c>
      <c r="D157" s="7" t="s">
        <v>397</v>
      </c>
      <c r="E157" s="7" t="s">
        <v>268</v>
      </c>
      <c r="F157" s="7" t="s">
        <v>256</v>
      </c>
      <c r="G157" s="7" t="s">
        <v>419</v>
      </c>
      <c r="H157" s="7" t="s">
        <v>115</v>
      </c>
      <c r="I157" s="7" t="s">
        <v>299</v>
      </c>
      <c r="J157" s="7" t="s">
        <v>411</v>
      </c>
      <c r="K157" s="7" t="s">
        <v>869</v>
      </c>
      <c r="L157" s="7" t="s">
        <v>870</v>
      </c>
      <c r="M157" s="7" t="s">
        <v>335</v>
      </c>
      <c r="N157" s="7" t="s">
        <v>261</v>
      </c>
      <c r="O157" s="7" t="s">
        <v>195</v>
      </c>
      <c r="P157" s="7" t="s">
        <v>14</v>
      </c>
      <c r="Q157" s="7" t="s">
        <v>285</v>
      </c>
      <c r="R157" s="7" t="s">
        <v>263</v>
      </c>
    </row>
    <row r="158" spans="1:18">
      <c r="A158" s="7" t="s">
        <v>871</v>
      </c>
      <c r="B158" s="7" t="s">
        <v>417</v>
      </c>
      <c r="C158" s="7" t="s">
        <v>459</v>
      </c>
      <c r="D158" s="7" t="s">
        <v>872</v>
      </c>
      <c r="E158" s="7" t="s">
        <v>268</v>
      </c>
      <c r="F158" s="7" t="s">
        <v>282</v>
      </c>
      <c r="G158" s="7" t="s">
        <v>505</v>
      </c>
      <c r="H158" s="7" t="s">
        <v>115</v>
      </c>
      <c r="I158" s="7" t="s">
        <v>299</v>
      </c>
      <c r="J158" s="7" t="s">
        <v>392</v>
      </c>
      <c r="K158" s="7" t="s">
        <v>873</v>
      </c>
      <c r="L158" s="7" t="s">
        <v>411</v>
      </c>
      <c r="M158" s="7" t="s">
        <v>335</v>
      </c>
      <c r="N158" s="7" t="s">
        <v>284</v>
      </c>
      <c r="O158" s="7" t="s">
        <v>169</v>
      </c>
      <c r="P158" s="7" t="s">
        <v>14</v>
      </c>
      <c r="Q158" s="7" t="s">
        <v>262</v>
      </c>
      <c r="R158" s="7" t="s">
        <v>263</v>
      </c>
    </row>
    <row r="159" spans="1:18">
      <c r="A159" s="7" t="s">
        <v>874</v>
      </c>
      <c r="B159" s="7" t="s">
        <v>265</v>
      </c>
      <c r="C159" s="7" t="s">
        <v>606</v>
      </c>
      <c r="D159" s="7" t="s">
        <v>875</v>
      </c>
      <c r="E159" s="7" t="s">
        <v>281</v>
      </c>
      <c r="F159" s="7" t="s">
        <v>297</v>
      </c>
      <c r="G159" s="7" t="s">
        <v>298</v>
      </c>
      <c r="H159" s="7" t="s">
        <v>122</v>
      </c>
      <c r="I159" s="7" t="s">
        <v>271</v>
      </c>
      <c r="J159" s="7" t="s">
        <v>341</v>
      </c>
      <c r="K159" s="7"/>
      <c r="L159" s="7"/>
      <c r="M159" s="7" t="s">
        <v>260</v>
      </c>
      <c r="N159" s="7" t="s">
        <v>304</v>
      </c>
      <c r="O159" s="7" t="s">
        <v>195</v>
      </c>
      <c r="P159" s="7"/>
      <c r="Q159" s="7" t="s">
        <v>326</v>
      </c>
      <c r="R159" s="7" t="s">
        <v>263</v>
      </c>
    </row>
    <row r="160" spans="1:18">
      <c r="A160" s="7" t="s">
        <v>876</v>
      </c>
      <c r="B160" s="7" t="s">
        <v>406</v>
      </c>
      <c r="C160" s="7" t="s">
        <v>449</v>
      </c>
      <c r="D160" s="7" t="s">
        <v>877</v>
      </c>
      <c r="E160" s="7" t="s">
        <v>339</v>
      </c>
      <c r="F160" s="7" t="s">
        <v>409</v>
      </c>
      <c r="G160" s="7" t="s">
        <v>476</v>
      </c>
      <c r="H160" s="7" t="s">
        <v>451</v>
      </c>
      <c r="I160" s="7" t="s">
        <v>271</v>
      </c>
      <c r="J160" s="7" t="s">
        <v>358</v>
      </c>
      <c r="K160" s="7" t="s">
        <v>383</v>
      </c>
      <c r="L160" s="7" t="s">
        <v>855</v>
      </c>
      <c r="M160" s="7" t="s">
        <v>335</v>
      </c>
      <c r="N160" s="7" t="s">
        <v>412</v>
      </c>
      <c r="O160" s="7" t="s">
        <v>169</v>
      </c>
      <c r="P160" s="7" t="s">
        <v>17</v>
      </c>
      <c r="Q160" s="7" t="s">
        <v>305</v>
      </c>
      <c r="R160" s="7" t="s">
        <v>263</v>
      </c>
    </row>
    <row r="161" spans="1:18">
      <c r="A161" s="7" t="s">
        <v>878</v>
      </c>
      <c r="B161" s="7" t="s">
        <v>407</v>
      </c>
      <c r="C161" s="7" t="s">
        <v>417</v>
      </c>
      <c r="D161" s="7" t="s">
        <v>879</v>
      </c>
      <c r="E161" s="7" t="s">
        <v>255</v>
      </c>
      <c r="F161" s="7" t="s">
        <v>256</v>
      </c>
      <c r="G161" s="7" t="s">
        <v>257</v>
      </c>
      <c r="H161" s="7" t="s">
        <v>115</v>
      </c>
      <c r="I161" s="7" t="s">
        <v>316</v>
      </c>
      <c r="J161" s="7" t="s">
        <v>341</v>
      </c>
      <c r="K161" s="7" t="s">
        <v>880</v>
      </c>
      <c r="L161" s="7" t="s">
        <v>544</v>
      </c>
      <c r="M161" s="7" t="s">
        <v>303</v>
      </c>
      <c r="N161" s="7" t="s">
        <v>261</v>
      </c>
      <c r="O161" s="7" t="s">
        <v>195</v>
      </c>
      <c r="P161" s="7" t="s">
        <v>17</v>
      </c>
      <c r="Q161" s="7" t="s">
        <v>262</v>
      </c>
      <c r="R161" s="7" t="s">
        <v>263</v>
      </c>
    </row>
    <row r="162" spans="1:18">
      <c r="A162" s="7" t="s">
        <v>881</v>
      </c>
      <c r="B162" s="7" t="s">
        <v>356</v>
      </c>
      <c r="C162" s="7" t="s">
        <v>388</v>
      </c>
      <c r="D162" s="7" t="s">
        <v>882</v>
      </c>
      <c r="E162" s="7" t="s">
        <v>255</v>
      </c>
      <c r="F162" s="7" t="s">
        <v>409</v>
      </c>
      <c r="G162" s="7" t="s">
        <v>410</v>
      </c>
      <c r="H162" s="7" t="s">
        <v>115</v>
      </c>
      <c r="I162" s="7" t="s">
        <v>316</v>
      </c>
      <c r="J162" s="7" t="s">
        <v>332</v>
      </c>
      <c r="K162" s="7" t="s">
        <v>663</v>
      </c>
      <c r="L162" s="7" t="s">
        <v>382</v>
      </c>
      <c r="M162" s="7" t="s">
        <v>275</v>
      </c>
      <c r="N162" s="7" t="s">
        <v>412</v>
      </c>
      <c r="O162" s="7" t="s">
        <v>195</v>
      </c>
      <c r="P162" s="7" t="s">
        <v>17</v>
      </c>
      <c r="Q162" s="7" t="s">
        <v>305</v>
      </c>
      <c r="R162" s="7" t="s">
        <v>263</v>
      </c>
    </row>
    <row r="163" spans="1:18">
      <c r="A163" s="7" t="s">
        <v>883</v>
      </c>
      <c r="B163" s="7" t="s">
        <v>473</v>
      </c>
      <c r="C163" s="7" t="s">
        <v>265</v>
      </c>
      <c r="D163" s="7" t="s">
        <v>741</v>
      </c>
      <c r="E163" s="7" t="s">
        <v>339</v>
      </c>
      <c r="F163" s="7"/>
      <c r="G163" s="7" t="s">
        <v>476</v>
      </c>
      <c r="H163" s="7" t="s">
        <v>115</v>
      </c>
      <c r="I163" s="7" t="s">
        <v>258</v>
      </c>
      <c r="J163" s="7" t="s">
        <v>469</v>
      </c>
      <c r="K163" s="7" t="s">
        <v>471</v>
      </c>
      <c r="L163" s="7" t="s">
        <v>884</v>
      </c>
      <c r="M163" s="7" t="s">
        <v>275</v>
      </c>
      <c r="N163" s="7" t="s">
        <v>412</v>
      </c>
      <c r="O163" s="7" t="s">
        <v>169</v>
      </c>
      <c r="P163" s="7" t="s">
        <v>14</v>
      </c>
      <c r="Q163" s="7" t="s">
        <v>262</v>
      </c>
      <c r="R163" s="7" t="s">
        <v>263</v>
      </c>
    </row>
    <row r="164" spans="1:18">
      <c r="A164" s="7" t="s">
        <v>885</v>
      </c>
      <c r="B164" s="7" t="s">
        <v>522</v>
      </c>
      <c r="C164" s="7" t="s">
        <v>266</v>
      </c>
      <c r="D164" s="7" t="s">
        <v>280</v>
      </c>
      <c r="E164" s="7" t="s">
        <v>268</v>
      </c>
      <c r="F164" s="7" t="s">
        <v>256</v>
      </c>
      <c r="G164" s="7" t="s">
        <v>886</v>
      </c>
      <c r="H164" s="7" t="s">
        <v>115</v>
      </c>
      <c r="I164" s="7" t="s">
        <v>299</v>
      </c>
      <c r="J164" s="7" t="s">
        <v>392</v>
      </c>
      <c r="K164" s="7" t="s">
        <v>887</v>
      </c>
      <c r="L164" s="7" t="s">
        <v>833</v>
      </c>
      <c r="M164" s="7" t="s">
        <v>293</v>
      </c>
      <c r="N164" s="7" t="s">
        <v>888</v>
      </c>
      <c r="O164" s="7" t="s">
        <v>195</v>
      </c>
      <c r="P164" s="7" t="s">
        <v>11</v>
      </c>
      <c r="Q164" s="7" t="s">
        <v>305</v>
      </c>
      <c r="R164" s="7" t="s">
        <v>263</v>
      </c>
    </row>
    <row r="165" spans="1:18">
      <c r="A165" s="7" t="s">
        <v>889</v>
      </c>
      <c r="B165" s="7" t="s">
        <v>355</v>
      </c>
      <c r="C165" s="7" t="s">
        <v>562</v>
      </c>
      <c r="D165" s="7" t="s">
        <v>890</v>
      </c>
      <c r="E165" s="7" t="s">
        <v>281</v>
      </c>
      <c r="F165" s="7" t="s">
        <v>282</v>
      </c>
      <c r="G165" s="7" t="s">
        <v>283</v>
      </c>
      <c r="H165" s="7" t="s">
        <v>115</v>
      </c>
      <c r="I165" s="7" t="s">
        <v>316</v>
      </c>
      <c r="J165" s="7" t="s">
        <v>469</v>
      </c>
      <c r="K165" s="7" t="s">
        <v>891</v>
      </c>
      <c r="L165" s="7" t="s">
        <v>723</v>
      </c>
      <c r="M165" s="7" t="s">
        <v>303</v>
      </c>
      <c r="N165" s="7" t="s">
        <v>284</v>
      </c>
      <c r="O165" s="7" t="s">
        <v>195</v>
      </c>
      <c r="P165" s="7" t="s">
        <v>8</v>
      </c>
      <c r="Q165" s="7" t="s">
        <v>285</v>
      </c>
      <c r="R165" s="7" t="s">
        <v>263</v>
      </c>
    </row>
    <row r="166" spans="1:18">
      <c r="A166" s="7" t="s">
        <v>306</v>
      </c>
      <c r="B166" s="7" t="s">
        <v>307</v>
      </c>
      <c r="C166" s="7" t="s">
        <v>308</v>
      </c>
      <c r="D166" s="7" t="s">
        <v>309</v>
      </c>
      <c r="E166" s="7" t="s">
        <v>281</v>
      </c>
      <c r="F166" s="7" t="s">
        <v>297</v>
      </c>
      <c r="G166" s="7" t="s">
        <v>298</v>
      </c>
      <c r="H166" s="7" t="s">
        <v>115</v>
      </c>
      <c r="I166" s="7" t="s">
        <v>299</v>
      </c>
      <c r="J166" s="7" t="s">
        <v>259</v>
      </c>
      <c r="K166" s="7" t="s">
        <v>310</v>
      </c>
      <c r="L166" s="7" t="s">
        <v>311</v>
      </c>
      <c r="M166" s="7" t="s">
        <v>303</v>
      </c>
      <c r="N166" s="7" t="s">
        <v>304</v>
      </c>
      <c r="O166" s="7" t="s">
        <v>169</v>
      </c>
      <c r="P166" s="7" t="s">
        <v>17</v>
      </c>
      <c r="Q166" s="7" t="s">
        <v>285</v>
      </c>
      <c r="R166" s="7" t="s">
        <v>263</v>
      </c>
    </row>
    <row r="167" spans="1:18">
      <c r="A167" s="7" t="s">
        <v>557</v>
      </c>
      <c r="B167" s="7" t="s">
        <v>278</v>
      </c>
      <c r="C167" s="7" t="s">
        <v>439</v>
      </c>
      <c r="D167" s="7" t="s">
        <v>558</v>
      </c>
      <c r="E167" s="7" t="s">
        <v>281</v>
      </c>
      <c r="F167" s="7" t="s">
        <v>269</v>
      </c>
      <c r="G167" s="7" t="s">
        <v>322</v>
      </c>
      <c r="H167" s="7" t="s">
        <v>115</v>
      </c>
      <c r="I167" s="7" t="s">
        <v>258</v>
      </c>
      <c r="J167" s="7" t="s">
        <v>272</v>
      </c>
      <c r="K167" s="7" t="s">
        <v>559</v>
      </c>
      <c r="L167" s="7" t="s">
        <v>456</v>
      </c>
      <c r="M167" s="7" t="s">
        <v>303</v>
      </c>
      <c r="N167" s="7" t="s">
        <v>276</v>
      </c>
      <c r="O167" s="7" t="s">
        <v>195</v>
      </c>
      <c r="P167" s="7" t="s">
        <v>8</v>
      </c>
      <c r="Q167" s="7" t="s">
        <v>326</v>
      </c>
      <c r="R167" s="7" t="s">
        <v>263</v>
      </c>
    </row>
    <row r="168" spans="1:18">
      <c r="A168" s="7" t="s">
        <v>735</v>
      </c>
      <c r="B168" s="7" t="s">
        <v>458</v>
      </c>
      <c r="C168" s="7" t="s">
        <v>503</v>
      </c>
      <c r="D168" s="7" t="s">
        <v>736</v>
      </c>
      <c r="E168" s="7" t="s">
        <v>281</v>
      </c>
      <c r="F168" s="7" t="s">
        <v>282</v>
      </c>
      <c r="G168" s="7" t="s">
        <v>283</v>
      </c>
      <c r="H168" s="7" t="s">
        <v>115</v>
      </c>
      <c r="I168" s="7" t="s">
        <v>316</v>
      </c>
      <c r="J168" s="7" t="s">
        <v>323</v>
      </c>
      <c r="K168" s="7" t="s">
        <v>737</v>
      </c>
      <c r="L168" s="7" t="s">
        <v>325</v>
      </c>
      <c r="M168" s="7" t="s">
        <v>335</v>
      </c>
      <c r="N168" s="7" t="s">
        <v>738</v>
      </c>
      <c r="O168" s="7" t="s">
        <v>195</v>
      </c>
      <c r="P168" s="7" t="s">
        <v>11</v>
      </c>
      <c r="Q168" s="7" t="s">
        <v>262</v>
      </c>
      <c r="R168" s="7" t="s">
        <v>263</v>
      </c>
    </row>
  </sheetData>
  <mergeCells count="2">
    <mergeCell ref="A1:R2"/>
    <mergeCell ref="A3:R3"/>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R168"/>
  <sheetViews>
    <sheetView showGridLines="0" workbookViewId="0">
      <selection activeCell="A6" sqref="A6"/>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49" t="s">
        <v>892</v>
      </c>
      <c r="B1" s="49"/>
      <c r="C1" s="49"/>
      <c r="D1" s="49"/>
      <c r="E1" s="49"/>
      <c r="F1" s="49"/>
      <c r="G1" s="49"/>
      <c r="H1" s="49"/>
      <c r="I1" s="49"/>
      <c r="J1" s="49"/>
      <c r="K1" s="49"/>
      <c r="L1" s="49"/>
      <c r="M1" s="49"/>
      <c r="N1" s="49"/>
      <c r="O1" s="49"/>
      <c r="P1" s="49"/>
      <c r="Q1" s="49"/>
      <c r="R1" s="49"/>
    </row>
    <row r="2" spans="1:18">
      <c r="A2" s="49"/>
      <c r="B2" s="49"/>
      <c r="C2" s="49"/>
      <c r="D2" s="49"/>
      <c r="E2" s="49"/>
      <c r="F2" s="49"/>
      <c r="G2" s="49"/>
      <c r="H2" s="49"/>
      <c r="I2" s="49"/>
      <c r="J2" s="49"/>
      <c r="K2" s="49"/>
      <c r="L2" s="49"/>
      <c r="M2" s="49"/>
      <c r="N2" s="49"/>
      <c r="O2" s="49"/>
      <c r="P2" s="49"/>
      <c r="Q2" s="49"/>
      <c r="R2" s="49"/>
    </row>
    <row r="3" spans="1:18">
      <c r="A3" s="50" t="s">
        <v>250</v>
      </c>
      <c r="B3" s="50"/>
      <c r="C3" s="50"/>
      <c r="D3" s="50"/>
      <c r="E3" s="50"/>
      <c r="F3" s="50"/>
      <c r="G3" s="50"/>
      <c r="H3" s="50"/>
      <c r="I3" s="50"/>
      <c r="J3" s="50"/>
      <c r="K3" s="50"/>
      <c r="L3" s="50"/>
      <c r="M3" s="50"/>
      <c r="N3" s="50"/>
      <c r="O3" s="50"/>
      <c r="P3" s="50"/>
      <c r="Q3" s="50"/>
      <c r="R3" s="50"/>
    </row>
    <row r="4" spans="1:18" ht="14.5">
      <c r="A4" s="2"/>
      <c r="B4" s="2"/>
      <c r="C4" s="2"/>
      <c r="D4" s="2"/>
      <c r="E4" s="2"/>
      <c r="F4" s="2"/>
      <c r="G4" s="2"/>
      <c r="H4" s="2"/>
      <c r="I4" s="2"/>
      <c r="J4" s="2"/>
      <c r="K4" s="2"/>
      <c r="L4" s="2"/>
      <c r="M4" s="2"/>
      <c r="N4" s="2"/>
      <c r="O4" s="2"/>
      <c r="P4" s="2"/>
      <c r="Q4" s="2"/>
      <c r="R4" s="2"/>
    </row>
    <row r="5" spans="1:18" ht="29">
      <c r="A5" s="1" t="s">
        <v>166</v>
      </c>
      <c r="B5" s="1" t="s">
        <v>171</v>
      </c>
      <c r="C5" s="1" t="s">
        <v>175</v>
      </c>
      <c r="D5" s="1" t="s">
        <v>178</v>
      </c>
      <c r="E5" s="1" t="s">
        <v>181</v>
      </c>
      <c r="F5" s="1" t="s">
        <v>184</v>
      </c>
      <c r="G5" s="1" t="s">
        <v>187</v>
      </c>
      <c r="H5" s="1" t="s">
        <v>190</v>
      </c>
      <c r="I5" s="1" t="s">
        <v>193</v>
      </c>
      <c r="J5" s="1" t="s">
        <v>197</v>
      </c>
      <c r="K5" s="1" t="s">
        <v>201</v>
      </c>
      <c r="L5" s="1" t="s">
        <v>205</v>
      </c>
      <c r="M5" s="1" t="s">
        <v>207</v>
      </c>
      <c r="N5" s="1" t="s">
        <v>211</v>
      </c>
      <c r="O5" s="1" t="s">
        <v>215</v>
      </c>
      <c r="P5" s="1" t="s">
        <v>219</v>
      </c>
      <c r="Q5" s="1" t="s">
        <v>222</v>
      </c>
      <c r="R5" s="1" t="s">
        <v>225</v>
      </c>
    </row>
    <row r="6" spans="1:18">
      <c r="A6" s="7" t="s">
        <v>893</v>
      </c>
      <c r="B6" s="7" t="s">
        <v>894</v>
      </c>
      <c r="C6" s="7" t="s">
        <v>328</v>
      </c>
      <c r="D6" s="7" t="s">
        <v>895</v>
      </c>
      <c r="E6" s="7" t="s">
        <v>281</v>
      </c>
      <c r="F6" s="7" t="s">
        <v>256</v>
      </c>
      <c r="G6" s="7" t="s">
        <v>796</v>
      </c>
      <c r="H6" s="7" t="s">
        <v>122</v>
      </c>
      <c r="I6" s="7" t="s">
        <v>271</v>
      </c>
      <c r="J6" s="7" t="s">
        <v>525</v>
      </c>
      <c r="K6" s="7"/>
      <c r="L6" s="7"/>
      <c r="M6" s="7" t="s">
        <v>260</v>
      </c>
      <c r="N6" s="7" t="s">
        <v>261</v>
      </c>
      <c r="O6" s="7" t="s">
        <v>195</v>
      </c>
      <c r="P6" s="7"/>
      <c r="Q6" s="7" t="s">
        <v>262</v>
      </c>
      <c r="R6" s="7" t="s">
        <v>896</v>
      </c>
    </row>
    <row r="7" spans="1:18">
      <c r="A7" s="7" t="s">
        <v>897</v>
      </c>
      <c r="B7" s="7" t="s">
        <v>898</v>
      </c>
      <c r="C7" s="7" t="s">
        <v>899</v>
      </c>
      <c r="D7" s="7" t="s">
        <v>895</v>
      </c>
      <c r="E7" s="7" t="s">
        <v>255</v>
      </c>
      <c r="F7" s="7" t="s">
        <v>282</v>
      </c>
      <c r="G7" s="7" t="s">
        <v>424</v>
      </c>
      <c r="H7" s="7" t="s">
        <v>115</v>
      </c>
      <c r="I7" s="7" t="s">
        <v>271</v>
      </c>
      <c r="J7" s="7" t="s">
        <v>399</v>
      </c>
      <c r="K7" s="7" t="s">
        <v>588</v>
      </c>
      <c r="L7" s="7" t="s">
        <v>900</v>
      </c>
      <c r="M7" s="7" t="s">
        <v>335</v>
      </c>
      <c r="N7" s="7" t="s">
        <v>284</v>
      </c>
      <c r="O7" s="7" t="s">
        <v>195</v>
      </c>
      <c r="P7" s="7" t="s">
        <v>17</v>
      </c>
      <c r="Q7" s="7" t="s">
        <v>326</v>
      </c>
      <c r="R7" s="7" t="s">
        <v>896</v>
      </c>
    </row>
    <row r="8" spans="1:18">
      <c r="A8" s="7" t="s">
        <v>901</v>
      </c>
      <c r="B8" s="7" t="s">
        <v>902</v>
      </c>
      <c r="C8" s="7" t="s">
        <v>903</v>
      </c>
      <c r="D8" s="7" t="s">
        <v>904</v>
      </c>
      <c r="E8" s="7" t="s">
        <v>268</v>
      </c>
      <c r="F8" s="7" t="s">
        <v>282</v>
      </c>
      <c r="G8" s="7" t="s">
        <v>524</v>
      </c>
      <c r="H8" s="7" t="s">
        <v>115</v>
      </c>
      <c r="I8" s="7" t="s">
        <v>258</v>
      </c>
      <c r="J8" s="7" t="s">
        <v>259</v>
      </c>
      <c r="K8" s="7" t="s">
        <v>905</v>
      </c>
      <c r="L8" s="7" t="s">
        <v>906</v>
      </c>
      <c r="M8" s="7" t="s">
        <v>275</v>
      </c>
      <c r="N8" s="7" t="s">
        <v>284</v>
      </c>
      <c r="O8" s="7" t="s">
        <v>169</v>
      </c>
      <c r="P8" s="7" t="s">
        <v>14</v>
      </c>
      <c r="Q8" s="7" t="s">
        <v>318</v>
      </c>
      <c r="R8" s="7" t="s">
        <v>896</v>
      </c>
    </row>
    <row r="9" spans="1:18">
      <c r="A9" s="7" t="s">
        <v>907</v>
      </c>
      <c r="B9" s="7" t="s">
        <v>908</v>
      </c>
      <c r="C9" s="7" t="s">
        <v>356</v>
      </c>
      <c r="D9" s="7" t="s">
        <v>909</v>
      </c>
      <c r="E9" s="7" t="s">
        <v>281</v>
      </c>
      <c r="F9" s="7" t="s">
        <v>297</v>
      </c>
      <c r="G9" s="7" t="s">
        <v>368</v>
      </c>
      <c r="H9" s="7" t="s">
        <v>115</v>
      </c>
      <c r="I9" s="7" t="s">
        <v>258</v>
      </c>
      <c r="J9" s="7" t="s">
        <v>529</v>
      </c>
      <c r="K9" s="7" t="s">
        <v>910</v>
      </c>
      <c r="L9" s="7" t="s">
        <v>911</v>
      </c>
      <c r="M9" s="7" t="s">
        <v>303</v>
      </c>
      <c r="N9" s="7" t="s">
        <v>304</v>
      </c>
      <c r="O9" s="7" t="s">
        <v>195</v>
      </c>
      <c r="P9" s="7" t="s">
        <v>8</v>
      </c>
      <c r="Q9" s="7" t="s">
        <v>326</v>
      </c>
      <c r="R9" s="7" t="s">
        <v>896</v>
      </c>
    </row>
    <row r="10" spans="1:18">
      <c r="A10" s="7" t="s">
        <v>912</v>
      </c>
      <c r="B10" s="7" t="s">
        <v>913</v>
      </c>
      <c r="C10" s="7" t="s">
        <v>914</v>
      </c>
      <c r="D10" s="7" t="s">
        <v>769</v>
      </c>
      <c r="E10" s="7" t="s">
        <v>268</v>
      </c>
      <c r="F10" s="7" t="s">
        <v>256</v>
      </c>
      <c r="G10" s="7" t="s">
        <v>419</v>
      </c>
      <c r="H10" s="7" t="s">
        <v>466</v>
      </c>
      <c r="I10" s="7" t="s">
        <v>258</v>
      </c>
      <c r="J10" s="7" t="s">
        <v>272</v>
      </c>
      <c r="K10" s="7"/>
      <c r="L10" s="7"/>
      <c r="M10" s="7" t="s">
        <v>260</v>
      </c>
      <c r="N10" s="7" t="s">
        <v>261</v>
      </c>
      <c r="O10" s="7" t="s">
        <v>195</v>
      </c>
      <c r="P10" s="7"/>
      <c r="Q10" s="7" t="s">
        <v>318</v>
      </c>
      <c r="R10" s="7" t="s">
        <v>896</v>
      </c>
    </row>
    <row r="11" spans="1:18">
      <c r="A11" s="7" t="s">
        <v>915</v>
      </c>
      <c r="B11" s="7" t="s">
        <v>913</v>
      </c>
      <c r="C11" s="7" t="s">
        <v>899</v>
      </c>
      <c r="D11" s="7" t="s">
        <v>916</v>
      </c>
      <c r="E11" s="7" t="s">
        <v>339</v>
      </c>
      <c r="F11" s="7" t="s">
        <v>282</v>
      </c>
      <c r="G11" s="7" t="s">
        <v>461</v>
      </c>
      <c r="H11" s="7" t="s">
        <v>115</v>
      </c>
      <c r="I11" s="7" t="s">
        <v>258</v>
      </c>
      <c r="J11" s="7" t="s">
        <v>351</v>
      </c>
      <c r="K11" s="7" t="s">
        <v>917</v>
      </c>
      <c r="L11" s="7" t="s">
        <v>918</v>
      </c>
      <c r="M11" s="7" t="s">
        <v>293</v>
      </c>
      <c r="N11" s="7" t="s">
        <v>284</v>
      </c>
      <c r="O11" s="7" t="s">
        <v>195</v>
      </c>
      <c r="P11" s="7" t="s">
        <v>17</v>
      </c>
      <c r="Q11" s="7" t="s">
        <v>318</v>
      </c>
      <c r="R11" s="7" t="s">
        <v>896</v>
      </c>
    </row>
    <row r="12" spans="1:18">
      <c r="A12" s="7" t="s">
        <v>919</v>
      </c>
      <c r="B12" s="7" t="s">
        <v>914</v>
      </c>
      <c r="C12" s="7" t="s">
        <v>920</v>
      </c>
      <c r="D12" s="7" t="s">
        <v>921</v>
      </c>
      <c r="E12" s="7" t="s">
        <v>268</v>
      </c>
      <c r="F12" s="7" t="s">
        <v>256</v>
      </c>
      <c r="G12" s="7" t="s">
        <v>886</v>
      </c>
      <c r="H12" s="7" t="s">
        <v>115</v>
      </c>
      <c r="I12" s="7" t="s">
        <v>299</v>
      </c>
      <c r="J12" s="7" t="s">
        <v>447</v>
      </c>
      <c r="K12" s="7" t="s">
        <v>625</v>
      </c>
      <c r="L12" s="7" t="s">
        <v>922</v>
      </c>
      <c r="M12" s="7" t="s">
        <v>303</v>
      </c>
      <c r="N12" s="7" t="s">
        <v>261</v>
      </c>
      <c r="O12" s="7" t="s">
        <v>169</v>
      </c>
      <c r="P12" s="7" t="s">
        <v>8</v>
      </c>
      <c r="Q12" s="7" t="s">
        <v>318</v>
      </c>
      <c r="R12" s="7" t="s">
        <v>896</v>
      </c>
    </row>
    <row r="13" spans="1:18">
      <c r="A13" s="7" t="s">
        <v>923</v>
      </c>
      <c r="B13" s="7" t="s">
        <v>924</v>
      </c>
      <c r="C13" s="7" t="s">
        <v>925</v>
      </c>
      <c r="D13" s="7" t="s">
        <v>655</v>
      </c>
      <c r="E13" s="7" t="s">
        <v>268</v>
      </c>
      <c r="F13" s="7" t="s">
        <v>269</v>
      </c>
      <c r="G13" s="7" t="s">
        <v>270</v>
      </c>
      <c r="H13" s="7" t="s">
        <v>115</v>
      </c>
      <c r="I13" s="7" t="s">
        <v>316</v>
      </c>
      <c r="J13" s="7" t="s">
        <v>411</v>
      </c>
      <c r="K13" s="7" t="s">
        <v>869</v>
      </c>
      <c r="L13" s="7" t="s">
        <v>442</v>
      </c>
      <c r="M13" s="7" t="s">
        <v>293</v>
      </c>
      <c r="N13" s="7" t="s">
        <v>276</v>
      </c>
      <c r="O13" s="7" t="s">
        <v>195</v>
      </c>
      <c r="P13" s="7" t="s">
        <v>17</v>
      </c>
      <c r="Q13" s="7" t="s">
        <v>305</v>
      </c>
      <c r="R13" s="7" t="s">
        <v>896</v>
      </c>
    </row>
    <row r="14" spans="1:18">
      <c r="A14" s="7" t="s">
        <v>926</v>
      </c>
      <c r="B14" s="7" t="s">
        <v>925</v>
      </c>
      <c r="C14" s="7" t="s">
        <v>485</v>
      </c>
      <c r="D14" s="7" t="s">
        <v>414</v>
      </c>
      <c r="E14" s="7" t="s">
        <v>281</v>
      </c>
      <c r="F14" s="7" t="s">
        <v>297</v>
      </c>
      <c r="G14" s="7" t="s">
        <v>298</v>
      </c>
      <c r="H14" s="7" t="s">
        <v>115</v>
      </c>
      <c r="I14" s="7" t="s">
        <v>299</v>
      </c>
      <c r="J14" s="7" t="s">
        <v>341</v>
      </c>
      <c r="K14" s="7" t="s">
        <v>927</v>
      </c>
      <c r="L14" s="7" t="s">
        <v>928</v>
      </c>
      <c r="M14" s="7" t="s">
        <v>293</v>
      </c>
      <c r="N14" s="7" t="s">
        <v>304</v>
      </c>
      <c r="O14" s="7" t="s">
        <v>195</v>
      </c>
      <c r="P14" s="7" t="s">
        <v>14</v>
      </c>
      <c r="Q14" s="7" t="s">
        <v>326</v>
      </c>
      <c r="R14" s="7" t="s">
        <v>896</v>
      </c>
    </row>
    <row r="15" spans="1:18">
      <c r="A15" s="7" t="s">
        <v>929</v>
      </c>
      <c r="B15" s="7" t="s">
        <v>899</v>
      </c>
      <c r="C15" s="7" t="s">
        <v>621</v>
      </c>
      <c r="D15" s="7" t="s">
        <v>930</v>
      </c>
      <c r="E15" s="7" t="s">
        <v>281</v>
      </c>
      <c r="F15" s="7" t="s">
        <v>282</v>
      </c>
      <c r="G15" s="7" t="s">
        <v>446</v>
      </c>
      <c r="H15" s="7" t="s">
        <v>115</v>
      </c>
      <c r="I15" s="7" t="s">
        <v>316</v>
      </c>
      <c r="J15" s="7" t="s">
        <v>529</v>
      </c>
      <c r="K15" s="7" t="s">
        <v>668</v>
      </c>
      <c r="L15" s="7" t="s">
        <v>931</v>
      </c>
      <c r="M15" s="7" t="s">
        <v>275</v>
      </c>
      <c r="N15" s="7" t="s">
        <v>284</v>
      </c>
      <c r="O15" s="7" t="s">
        <v>195</v>
      </c>
      <c r="P15" s="7" t="s">
        <v>17</v>
      </c>
      <c r="Q15" s="7" t="s">
        <v>285</v>
      </c>
      <c r="R15" s="7" t="s">
        <v>896</v>
      </c>
    </row>
    <row r="16" spans="1:18">
      <c r="A16" s="7" t="s">
        <v>932</v>
      </c>
      <c r="B16" s="7" t="s">
        <v>933</v>
      </c>
      <c r="C16" s="7" t="s">
        <v>385</v>
      </c>
      <c r="D16" s="7" t="s">
        <v>934</v>
      </c>
      <c r="E16" s="7" t="s">
        <v>339</v>
      </c>
      <c r="F16" s="7" t="s">
        <v>297</v>
      </c>
      <c r="G16" s="7" t="s">
        <v>569</v>
      </c>
      <c r="H16" s="7" t="s">
        <v>115</v>
      </c>
      <c r="I16" s="7" t="s">
        <v>258</v>
      </c>
      <c r="J16" s="7" t="s">
        <v>392</v>
      </c>
      <c r="K16" s="7" t="s">
        <v>873</v>
      </c>
      <c r="L16" s="7" t="s">
        <v>833</v>
      </c>
      <c r="M16" s="7" t="s">
        <v>275</v>
      </c>
      <c r="N16" s="7" t="s">
        <v>304</v>
      </c>
      <c r="O16" s="7" t="s">
        <v>195</v>
      </c>
      <c r="P16" s="7" t="s">
        <v>14</v>
      </c>
      <c r="Q16" s="7" t="s">
        <v>285</v>
      </c>
      <c r="R16" s="7" t="s">
        <v>896</v>
      </c>
    </row>
    <row r="17" spans="1:18">
      <c r="A17" s="7" t="s">
        <v>935</v>
      </c>
      <c r="B17" s="7" t="s">
        <v>936</v>
      </c>
      <c r="C17" s="7" t="s">
        <v>646</v>
      </c>
      <c r="D17" s="7" t="s">
        <v>579</v>
      </c>
      <c r="E17" s="7" t="s">
        <v>281</v>
      </c>
      <c r="F17" s="7" t="s">
        <v>282</v>
      </c>
      <c r="G17" s="7" t="s">
        <v>446</v>
      </c>
      <c r="H17" s="7" t="s">
        <v>115</v>
      </c>
      <c r="I17" s="7" t="s">
        <v>271</v>
      </c>
      <c r="J17" s="7" t="s">
        <v>332</v>
      </c>
      <c r="K17" s="7" t="s">
        <v>937</v>
      </c>
      <c r="L17" s="7" t="s">
        <v>906</v>
      </c>
      <c r="M17" s="7" t="s">
        <v>303</v>
      </c>
      <c r="N17" s="7" t="s">
        <v>284</v>
      </c>
      <c r="O17" s="7" t="s">
        <v>195</v>
      </c>
      <c r="P17" s="7" t="s">
        <v>14</v>
      </c>
      <c r="Q17" s="7" t="s">
        <v>326</v>
      </c>
      <c r="R17" s="7" t="s">
        <v>896</v>
      </c>
    </row>
    <row r="18" spans="1:18">
      <c r="A18" s="7" t="s">
        <v>938</v>
      </c>
      <c r="B18" s="7" t="s">
        <v>939</v>
      </c>
      <c r="C18" s="7" t="s">
        <v>940</v>
      </c>
      <c r="D18" s="7" t="s">
        <v>941</v>
      </c>
      <c r="E18" s="7" t="s">
        <v>255</v>
      </c>
      <c r="F18" s="7" t="s">
        <v>269</v>
      </c>
      <c r="G18" s="7" t="s">
        <v>542</v>
      </c>
      <c r="H18" s="7" t="s">
        <v>115</v>
      </c>
      <c r="I18" s="7" t="s">
        <v>271</v>
      </c>
      <c r="J18" s="7" t="s">
        <v>272</v>
      </c>
      <c r="K18" s="7" t="s">
        <v>942</v>
      </c>
      <c r="L18" s="7" t="s">
        <v>943</v>
      </c>
      <c r="M18" s="7" t="s">
        <v>303</v>
      </c>
      <c r="N18" s="7" t="s">
        <v>276</v>
      </c>
      <c r="O18" s="7" t="s">
        <v>195</v>
      </c>
      <c r="P18" s="7" t="s">
        <v>8</v>
      </c>
      <c r="Q18" s="7" t="s">
        <v>262</v>
      </c>
      <c r="R18" s="7" t="s">
        <v>896</v>
      </c>
    </row>
    <row r="19" spans="1:18">
      <c r="A19" s="7" t="s">
        <v>944</v>
      </c>
      <c r="B19" s="7" t="s">
        <v>945</v>
      </c>
      <c r="C19" s="7" t="s">
        <v>265</v>
      </c>
      <c r="D19" s="7" t="s">
        <v>946</v>
      </c>
      <c r="E19" s="7" t="s">
        <v>268</v>
      </c>
      <c r="F19" s="7" t="s">
        <v>269</v>
      </c>
      <c r="G19" s="7" t="s">
        <v>270</v>
      </c>
      <c r="H19" s="7" t="s">
        <v>115</v>
      </c>
      <c r="I19" s="7" t="s">
        <v>316</v>
      </c>
      <c r="J19" s="7" t="s">
        <v>341</v>
      </c>
      <c r="K19" s="7" t="s">
        <v>880</v>
      </c>
      <c r="L19" s="7" t="s">
        <v>364</v>
      </c>
      <c r="M19" s="7" t="s">
        <v>303</v>
      </c>
      <c r="N19" s="7" t="s">
        <v>276</v>
      </c>
      <c r="O19" s="7" t="s">
        <v>195</v>
      </c>
      <c r="P19" s="7" t="s">
        <v>11</v>
      </c>
      <c r="Q19" s="7" t="s">
        <v>318</v>
      </c>
      <c r="R19" s="7" t="s">
        <v>896</v>
      </c>
    </row>
    <row r="20" spans="1:18">
      <c r="A20" s="7" t="s">
        <v>947</v>
      </c>
      <c r="B20" s="7" t="s">
        <v>948</v>
      </c>
      <c r="C20" s="7" t="s">
        <v>633</v>
      </c>
      <c r="D20" s="7" t="s">
        <v>523</v>
      </c>
      <c r="E20" s="7" t="s">
        <v>339</v>
      </c>
      <c r="F20" s="7" t="s">
        <v>256</v>
      </c>
      <c r="G20" s="7" t="s">
        <v>403</v>
      </c>
      <c r="H20" s="7" t="s">
        <v>115</v>
      </c>
      <c r="I20" s="7" t="s">
        <v>258</v>
      </c>
      <c r="J20" s="7" t="s">
        <v>272</v>
      </c>
      <c r="K20" s="7" t="s">
        <v>543</v>
      </c>
      <c r="L20" s="7" t="s">
        <v>949</v>
      </c>
      <c r="M20" s="7" t="s">
        <v>275</v>
      </c>
      <c r="N20" s="7" t="s">
        <v>261</v>
      </c>
      <c r="O20" s="7" t="s">
        <v>195</v>
      </c>
      <c r="P20" s="7" t="s">
        <v>14</v>
      </c>
      <c r="Q20" s="7" t="s">
        <v>285</v>
      </c>
      <c r="R20" s="7" t="s">
        <v>896</v>
      </c>
    </row>
    <row r="21" spans="1:18">
      <c r="A21" s="7" t="s">
        <v>950</v>
      </c>
      <c r="B21" s="7" t="s">
        <v>899</v>
      </c>
      <c r="C21" s="7" t="s">
        <v>562</v>
      </c>
      <c r="D21" s="7" t="s">
        <v>951</v>
      </c>
      <c r="E21" s="7" t="s">
        <v>281</v>
      </c>
      <c r="F21" s="7" t="s">
        <v>256</v>
      </c>
      <c r="G21" s="7" t="s">
        <v>429</v>
      </c>
      <c r="H21" s="7" t="s">
        <v>122</v>
      </c>
      <c r="I21" s="7" t="s">
        <v>299</v>
      </c>
      <c r="J21" s="7" t="s">
        <v>404</v>
      </c>
      <c r="K21" s="7"/>
      <c r="L21" s="7"/>
      <c r="M21" s="7" t="s">
        <v>260</v>
      </c>
      <c r="N21" s="7" t="s">
        <v>261</v>
      </c>
      <c r="O21" s="7" t="s">
        <v>195</v>
      </c>
      <c r="P21" s="7"/>
      <c r="Q21" s="7" t="s">
        <v>262</v>
      </c>
      <c r="R21" s="7" t="s">
        <v>896</v>
      </c>
    </row>
    <row r="22" spans="1:18">
      <c r="A22" s="7" t="s">
        <v>952</v>
      </c>
      <c r="B22" s="7" t="s">
        <v>948</v>
      </c>
      <c r="C22" s="7" t="s">
        <v>562</v>
      </c>
      <c r="D22" s="7" t="s">
        <v>946</v>
      </c>
      <c r="E22" s="7" t="s">
        <v>281</v>
      </c>
      <c r="F22" s="7" t="s">
        <v>269</v>
      </c>
      <c r="G22" s="7" t="s">
        <v>363</v>
      </c>
      <c r="H22" s="7" t="s">
        <v>115</v>
      </c>
      <c r="I22" s="7" t="s">
        <v>299</v>
      </c>
      <c r="J22" s="7" t="s">
        <v>346</v>
      </c>
      <c r="K22" s="7" t="s">
        <v>723</v>
      </c>
      <c r="L22" s="7" t="s">
        <v>478</v>
      </c>
      <c r="M22" s="7" t="s">
        <v>335</v>
      </c>
      <c r="N22" s="7" t="s">
        <v>276</v>
      </c>
      <c r="O22" s="7" t="s">
        <v>169</v>
      </c>
      <c r="P22" s="7" t="s">
        <v>14</v>
      </c>
      <c r="Q22" s="7" t="s">
        <v>326</v>
      </c>
      <c r="R22" s="7" t="s">
        <v>896</v>
      </c>
    </row>
    <row r="23" spans="1:18">
      <c r="A23" s="7" t="s">
        <v>953</v>
      </c>
      <c r="B23" s="7" t="s">
        <v>954</v>
      </c>
      <c r="C23" s="7" t="s">
        <v>314</v>
      </c>
      <c r="D23" s="7" t="s">
        <v>791</v>
      </c>
      <c r="E23" s="7" t="s">
        <v>281</v>
      </c>
      <c r="F23" s="7" t="s">
        <v>409</v>
      </c>
      <c r="G23" s="7" t="s">
        <v>496</v>
      </c>
      <c r="H23" s="7" t="s">
        <v>127</v>
      </c>
      <c r="I23" s="7" t="s">
        <v>271</v>
      </c>
      <c r="J23" s="7" t="s">
        <v>346</v>
      </c>
      <c r="K23" s="7"/>
      <c r="L23" s="7"/>
      <c r="M23" s="7" t="s">
        <v>260</v>
      </c>
      <c r="N23" s="7" t="s">
        <v>412</v>
      </c>
      <c r="O23" s="7" t="s">
        <v>169</v>
      </c>
      <c r="P23" s="7"/>
      <c r="Q23" s="7" t="s">
        <v>262</v>
      </c>
      <c r="R23" s="7" t="s">
        <v>896</v>
      </c>
    </row>
    <row r="24" spans="1:18">
      <c r="A24" s="7" t="s">
        <v>955</v>
      </c>
      <c r="B24" s="7" t="s">
        <v>914</v>
      </c>
      <c r="C24" s="7" t="s">
        <v>646</v>
      </c>
      <c r="D24" s="7" t="s">
        <v>418</v>
      </c>
      <c r="E24" s="7" t="s">
        <v>339</v>
      </c>
      <c r="F24" s="7" t="s">
        <v>269</v>
      </c>
      <c r="G24" s="7" t="s">
        <v>528</v>
      </c>
      <c r="H24" s="7" t="s">
        <v>122</v>
      </c>
      <c r="I24" s="7" t="s">
        <v>258</v>
      </c>
      <c r="J24" s="7" t="s">
        <v>346</v>
      </c>
      <c r="K24" s="7"/>
      <c r="L24" s="7"/>
      <c r="M24" s="7" t="s">
        <v>260</v>
      </c>
      <c r="N24" s="7" t="s">
        <v>276</v>
      </c>
      <c r="O24" s="7" t="s">
        <v>169</v>
      </c>
      <c r="P24" s="7"/>
      <c r="Q24" s="7" t="s">
        <v>326</v>
      </c>
      <c r="R24" s="7" t="s">
        <v>896</v>
      </c>
    </row>
    <row r="25" spans="1:18">
      <c r="A25" s="7" t="s">
        <v>956</v>
      </c>
      <c r="B25" s="7" t="s">
        <v>899</v>
      </c>
      <c r="C25" s="7" t="s">
        <v>957</v>
      </c>
      <c r="D25" s="7" t="s">
        <v>958</v>
      </c>
      <c r="E25" s="7" t="s">
        <v>268</v>
      </c>
      <c r="F25" s="7" t="s">
        <v>409</v>
      </c>
      <c r="G25" s="7" t="s">
        <v>587</v>
      </c>
      <c r="H25" s="7" t="s">
        <v>466</v>
      </c>
      <c r="I25" s="7" t="s">
        <v>299</v>
      </c>
      <c r="J25" s="7" t="s">
        <v>447</v>
      </c>
      <c r="K25" s="7"/>
      <c r="L25" s="7"/>
      <c r="M25" s="7" t="s">
        <v>260</v>
      </c>
      <c r="N25" s="7" t="s">
        <v>412</v>
      </c>
      <c r="O25" s="7" t="s">
        <v>195</v>
      </c>
      <c r="P25" s="7"/>
      <c r="Q25" s="7" t="s">
        <v>318</v>
      </c>
      <c r="R25" s="7" t="s">
        <v>896</v>
      </c>
    </row>
    <row r="26" spans="1:18">
      <c r="A26" s="7" t="s">
        <v>959</v>
      </c>
      <c r="B26" s="7" t="s">
        <v>914</v>
      </c>
      <c r="C26" s="7" t="s">
        <v>960</v>
      </c>
      <c r="D26" s="7" t="s">
        <v>296</v>
      </c>
      <c r="E26" s="7" t="s">
        <v>255</v>
      </c>
      <c r="F26" s="7" t="s">
        <v>269</v>
      </c>
      <c r="G26" s="7" t="s">
        <v>391</v>
      </c>
      <c r="H26" s="7" t="s">
        <v>122</v>
      </c>
      <c r="I26" s="7" t="s">
        <v>271</v>
      </c>
      <c r="J26" s="7" t="s">
        <v>346</v>
      </c>
      <c r="K26" s="7"/>
      <c r="L26" s="7"/>
      <c r="M26" s="7" t="s">
        <v>260</v>
      </c>
      <c r="N26" s="7" t="s">
        <v>276</v>
      </c>
      <c r="O26" s="7" t="s">
        <v>169</v>
      </c>
      <c r="P26" s="7"/>
      <c r="Q26" s="7" t="s">
        <v>285</v>
      </c>
      <c r="R26" s="7" t="s">
        <v>896</v>
      </c>
    </row>
    <row r="27" spans="1:18">
      <c r="A27" s="7" t="s">
        <v>961</v>
      </c>
      <c r="B27" s="7" t="s">
        <v>962</v>
      </c>
      <c r="C27" s="7" t="s">
        <v>633</v>
      </c>
      <c r="D27" s="7" t="s">
        <v>963</v>
      </c>
      <c r="E27" s="7" t="s">
        <v>268</v>
      </c>
      <c r="F27" s="7" t="s">
        <v>256</v>
      </c>
      <c r="G27" s="7" t="s">
        <v>886</v>
      </c>
      <c r="H27" s="7" t="s">
        <v>122</v>
      </c>
      <c r="I27" s="7" t="s">
        <v>316</v>
      </c>
      <c r="J27" s="7" t="s">
        <v>323</v>
      </c>
      <c r="K27" s="7"/>
      <c r="L27" s="7"/>
      <c r="M27" s="7" t="s">
        <v>260</v>
      </c>
      <c r="N27" s="7" t="s">
        <v>261</v>
      </c>
      <c r="O27" s="7" t="s">
        <v>169</v>
      </c>
      <c r="P27" s="7"/>
      <c r="Q27" s="7" t="s">
        <v>305</v>
      </c>
      <c r="R27" s="7" t="s">
        <v>896</v>
      </c>
    </row>
    <row r="28" spans="1:18">
      <c r="A28" s="7" t="s">
        <v>964</v>
      </c>
      <c r="B28" s="7" t="s">
        <v>936</v>
      </c>
      <c r="C28" s="7" t="s">
        <v>899</v>
      </c>
      <c r="D28" s="7" t="s">
        <v>594</v>
      </c>
      <c r="E28" s="7" t="s">
        <v>255</v>
      </c>
      <c r="F28" s="7" t="s">
        <v>282</v>
      </c>
      <c r="G28" s="7" t="s">
        <v>424</v>
      </c>
      <c r="H28" s="7" t="s">
        <v>115</v>
      </c>
      <c r="I28" s="7" t="s">
        <v>316</v>
      </c>
      <c r="J28" s="7" t="s">
        <v>323</v>
      </c>
      <c r="K28" s="7" t="s">
        <v>965</v>
      </c>
      <c r="L28" s="7" t="s">
        <v>811</v>
      </c>
      <c r="M28" s="7" t="s">
        <v>335</v>
      </c>
      <c r="N28" s="7" t="s">
        <v>284</v>
      </c>
      <c r="O28" s="7" t="s">
        <v>195</v>
      </c>
      <c r="P28" s="7" t="s">
        <v>17</v>
      </c>
      <c r="Q28" s="7" t="s">
        <v>318</v>
      </c>
      <c r="R28" s="7" t="s">
        <v>896</v>
      </c>
    </row>
    <row r="29" spans="1:18">
      <c r="A29" s="7" t="s">
        <v>966</v>
      </c>
      <c r="B29" s="7" t="s">
        <v>903</v>
      </c>
      <c r="C29" s="7" t="s">
        <v>633</v>
      </c>
      <c r="D29" s="7" t="s">
        <v>967</v>
      </c>
      <c r="E29" s="7" t="s">
        <v>281</v>
      </c>
      <c r="F29" s="7" t="s">
        <v>269</v>
      </c>
      <c r="G29" s="7" t="s">
        <v>322</v>
      </c>
      <c r="H29" s="7" t="s">
        <v>127</v>
      </c>
      <c r="I29" s="7" t="s">
        <v>258</v>
      </c>
      <c r="J29" s="7" t="s">
        <v>525</v>
      </c>
      <c r="K29" s="7"/>
      <c r="L29" s="7"/>
      <c r="M29" s="7" t="s">
        <v>260</v>
      </c>
      <c r="N29" s="7" t="s">
        <v>276</v>
      </c>
      <c r="O29" s="7" t="s">
        <v>195</v>
      </c>
      <c r="P29" s="7"/>
      <c r="Q29" s="7" t="s">
        <v>326</v>
      </c>
      <c r="R29" s="7" t="s">
        <v>896</v>
      </c>
    </row>
    <row r="30" spans="1:18">
      <c r="A30" s="7" t="s">
        <v>968</v>
      </c>
      <c r="B30" s="7" t="s">
        <v>936</v>
      </c>
      <c r="C30" s="7" t="s">
        <v>253</v>
      </c>
      <c r="D30" s="7" t="s">
        <v>441</v>
      </c>
      <c r="E30" s="7" t="s">
        <v>281</v>
      </c>
      <c r="F30" s="7" t="s">
        <v>297</v>
      </c>
      <c r="G30" s="7" t="s">
        <v>368</v>
      </c>
      <c r="H30" s="7" t="s">
        <v>115</v>
      </c>
      <c r="I30" s="7" t="s">
        <v>271</v>
      </c>
      <c r="J30" s="7" t="s">
        <v>272</v>
      </c>
      <c r="K30" s="7" t="s">
        <v>644</v>
      </c>
      <c r="L30" s="7" t="s">
        <v>455</v>
      </c>
      <c r="M30" s="7" t="s">
        <v>303</v>
      </c>
      <c r="N30" s="7" t="s">
        <v>304</v>
      </c>
      <c r="O30" s="7" t="s">
        <v>195</v>
      </c>
      <c r="P30" s="7" t="s">
        <v>11</v>
      </c>
      <c r="Q30" s="7" t="s">
        <v>318</v>
      </c>
      <c r="R30" s="7" t="s">
        <v>896</v>
      </c>
    </row>
    <row r="31" spans="1:18">
      <c r="A31" s="7" t="s">
        <v>969</v>
      </c>
      <c r="B31" s="7" t="s">
        <v>962</v>
      </c>
      <c r="C31" s="7" t="s">
        <v>307</v>
      </c>
      <c r="D31" s="7" t="s">
        <v>970</v>
      </c>
      <c r="E31" s="7" t="s">
        <v>268</v>
      </c>
      <c r="F31" s="7" t="s">
        <v>409</v>
      </c>
      <c r="G31" s="7" t="s">
        <v>552</v>
      </c>
      <c r="H31" s="7" t="s">
        <v>115</v>
      </c>
      <c r="I31" s="7" t="s">
        <v>271</v>
      </c>
      <c r="J31" s="7" t="s">
        <v>529</v>
      </c>
      <c r="K31" s="7" t="s">
        <v>971</v>
      </c>
      <c r="L31" s="7" t="s">
        <v>972</v>
      </c>
      <c r="M31" s="7" t="s">
        <v>293</v>
      </c>
      <c r="N31" s="7" t="s">
        <v>412</v>
      </c>
      <c r="O31" s="7" t="s">
        <v>169</v>
      </c>
      <c r="P31" s="7" t="s">
        <v>14</v>
      </c>
      <c r="Q31" s="7" t="s">
        <v>318</v>
      </c>
      <c r="R31" s="7" t="s">
        <v>896</v>
      </c>
    </row>
    <row r="32" spans="1:18">
      <c r="A32" s="7" t="s">
        <v>973</v>
      </c>
      <c r="B32" s="7" t="s">
        <v>974</v>
      </c>
      <c r="C32" s="7" t="s">
        <v>464</v>
      </c>
      <c r="D32" s="7" t="s">
        <v>872</v>
      </c>
      <c r="E32" s="7" t="s">
        <v>339</v>
      </c>
      <c r="F32" s="7" t="s">
        <v>282</v>
      </c>
      <c r="G32" s="7" t="s">
        <v>461</v>
      </c>
      <c r="H32" s="7" t="s">
        <v>115</v>
      </c>
      <c r="I32" s="7" t="s">
        <v>299</v>
      </c>
      <c r="J32" s="7" t="s">
        <v>525</v>
      </c>
      <c r="K32" s="7" t="s">
        <v>975</v>
      </c>
      <c r="L32" s="7" t="s">
        <v>976</v>
      </c>
      <c r="M32" s="7" t="s">
        <v>303</v>
      </c>
      <c r="N32" s="7" t="s">
        <v>284</v>
      </c>
      <c r="O32" s="7" t="s">
        <v>169</v>
      </c>
      <c r="P32" s="7" t="s">
        <v>14</v>
      </c>
      <c r="Q32" s="7" t="s">
        <v>318</v>
      </c>
      <c r="R32" s="7" t="s">
        <v>896</v>
      </c>
    </row>
    <row r="33" spans="1:18">
      <c r="A33" s="7" t="s">
        <v>977</v>
      </c>
      <c r="B33" s="7" t="s">
        <v>933</v>
      </c>
      <c r="C33" s="7" t="s">
        <v>266</v>
      </c>
      <c r="D33" s="7" t="s">
        <v>978</v>
      </c>
      <c r="E33" s="7" t="s">
        <v>281</v>
      </c>
      <c r="F33" s="7" t="s">
        <v>409</v>
      </c>
      <c r="G33" s="7" t="s">
        <v>496</v>
      </c>
      <c r="H33" s="7" t="s">
        <v>115</v>
      </c>
      <c r="I33" s="7" t="s">
        <v>258</v>
      </c>
      <c r="J33" s="7" t="s">
        <v>469</v>
      </c>
      <c r="K33" s="7" t="s">
        <v>860</v>
      </c>
      <c r="L33" s="7" t="s">
        <v>979</v>
      </c>
      <c r="M33" s="7" t="s">
        <v>303</v>
      </c>
      <c r="N33" s="7" t="s">
        <v>412</v>
      </c>
      <c r="O33" s="7" t="s">
        <v>195</v>
      </c>
      <c r="P33" s="7" t="s">
        <v>14</v>
      </c>
      <c r="Q33" s="7" t="s">
        <v>305</v>
      </c>
      <c r="R33" s="7" t="s">
        <v>896</v>
      </c>
    </row>
    <row r="34" spans="1:18">
      <c r="A34" s="7" t="s">
        <v>980</v>
      </c>
      <c r="B34" s="7" t="s">
        <v>939</v>
      </c>
      <c r="C34" s="7" t="s">
        <v>981</v>
      </c>
      <c r="D34" s="7" t="s">
        <v>982</v>
      </c>
      <c r="E34" s="7" t="s">
        <v>255</v>
      </c>
      <c r="F34" s="7" t="s">
        <v>269</v>
      </c>
      <c r="G34" s="7" t="s">
        <v>542</v>
      </c>
      <c r="H34" s="7" t="s">
        <v>115</v>
      </c>
      <c r="I34" s="7" t="s">
        <v>271</v>
      </c>
      <c r="J34" s="7" t="s">
        <v>323</v>
      </c>
      <c r="K34" s="7" t="s">
        <v>983</v>
      </c>
      <c r="L34" s="7" t="s">
        <v>626</v>
      </c>
      <c r="M34" s="7" t="s">
        <v>303</v>
      </c>
      <c r="N34" s="7" t="s">
        <v>276</v>
      </c>
      <c r="O34" s="7" t="s">
        <v>169</v>
      </c>
      <c r="P34" s="7" t="s">
        <v>17</v>
      </c>
      <c r="Q34" s="7" t="s">
        <v>305</v>
      </c>
      <c r="R34" s="7" t="s">
        <v>896</v>
      </c>
    </row>
    <row r="35" spans="1:18">
      <c r="A35" s="7" t="s">
        <v>984</v>
      </c>
      <c r="B35" s="7" t="s">
        <v>948</v>
      </c>
      <c r="C35" s="7" t="s">
        <v>666</v>
      </c>
      <c r="D35" s="7" t="s">
        <v>765</v>
      </c>
      <c r="E35" s="7" t="s">
        <v>255</v>
      </c>
      <c r="F35" s="7" t="s">
        <v>269</v>
      </c>
      <c r="G35" s="7" t="s">
        <v>391</v>
      </c>
      <c r="H35" s="7" t="s">
        <v>127</v>
      </c>
      <c r="I35" s="7" t="s">
        <v>299</v>
      </c>
      <c r="J35" s="7" t="s">
        <v>323</v>
      </c>
      <c r="K35" s="7"/>
      <c r="L35" s="7"/>
      <c r="M35" s="7" t="s">
        <v>260</v>
      </c>
      <c r="N35" s="7" t="s">
        <v>276</v>
      </c>
      <c r="O35" s="7" t="s">
        <v>195</v>
      </c>
      <c r="P35" s="7"/>
      <c r="Q35" s="7" t="s">
        <v>285</v>
      </c>
      <c r="R35" s="7" t="s">
        <v>896</v>
      </c>
    </row>
    <row r="36" spans="1:18">
      <c r="A36" s="7" t="s">
        <v>985</v>
      </c>
      <c r="B36" s="7" t="s">
        <v>924</v>
      </c>
      <c r="C36" s="7" t="s">
        <v>401</v>
      </c>
      <c r="D36" s="7" t="s">
        <v>843</v>
      </c>
      <c r="E36" s="7" t="s">
        <v>255</v>
      </c>
      <c r="F36" s="7" t="s">
        <v>409</v>
      </c>
      <c r="G36" s="7" t="s">
        <v>648</v>
      </c>
      <c r="H36" s="7" t="s">
        <v>787</v>
      </c>
      <c r="I36" s="7" t="s">
        <v>258</v>
      </c>
      <c r="J36" s="7" t="s">
        <v>323</v>
      </c>
      <c r="K36" s="7" t="s">
        <v>986</v>
      </c>
      <c r="L36" s="7" t="s">
        <v>325</v>
      </c>
      <c r="M36" s="7" t="s">
        <v>335</v>
      </c>
      <c r="N36" s="7" t="s">
        <v>412</v>
      </c>
      <c r="O36" s="7" t="s">
        <v>195</v>
      </c>
      <c r="P36" s="7" t="s">
        <v>14</v>
      </c>
      <c r="Q36" s="7" t="s">
        <v>262</v>
      </c>
      <c r="R36" s="7" t="s">
        <v>896</v>
      </c>
    </row>
    <row r="37" spans="1:18">
      <c r="A37" s="7" t="s">
        <v>987</v>
      </c>
      <c r="B37" s="7" t="s">
        <v>908</v>
      </c>
      <c r="C37" s="7" t="s">
        <v>940</v>
      </c>
      <c r="D37" s="7" t="s">
        <v>460</v>
      </c>
      <c r="E37" s="7" t="s">
        <v>255</v>
      </c>
      <c r="F37" s="7" t="s">
        <v>282</v>
      </c>
      <c r="G37" s="7" t="s">
        <v>424</v>
      </c>
      <c r="H37" s="7" t="s">
        <v>122</v>
      </c>
      <c r="I37" s="7" t="s">
        <v>271</v>
      </c>
      <c r="J37" s="7" t="s">
        <v>447</v>
      </c>
      <c r="K37" s="7"/>
      <c r="L37" s="7"/>
      <c r="M37" s="7" t="s">
        <v>260</v>
      </c>
      <c r="N37" s="7" t="s">
        <v>284</v>
      </c>
      <c r="O37" s="7" t="s">
        <v>169</v>
      </c>
      <c r="P37" s="7"/>
      <c r="Q37" s="7" t="s">
        <v>305</v>
      </c>
      <c r="R37" s="7" t="s">
        <v>896</v>
      </c>
    </row>
    <row r="38" spans="1:18">
      <c r="A38" s="7" t="s">
        <v>988</v>
      </c>
      <c r="B38" s="7" t="s">
        <v>940</v>
      </c>
      <c r="C38" s="7" t="s">
        <v>278</v>
      </c>
      <c r="D38" s="7" t="s">
        <v>989</v>
      </c>
      <c r="E38" s="7" t="s">
        <v>281</v>
      </c>
      <c r="F38" s="7" t="s">
        <v>269</v>
      </c>
      <c r="G38" s="7" t="s">
        <v>322</v>
      </c>
      <c r="H38" s="7" t="s">
        <v>122</v>
      </c>
      <c r="I38" s="7" t="s">
        <v>271</v>
      </c>
      <c r="J38" s="7" t="s">
        <v>358</v>
      </c>
      <c r="K38" s="7"/>
      <c r="L38" s="7"/>
      <c r="M38" s="7" t="s">
        <v>260</v>
      </c>
      <c r="N38" s="7" t="s">
        <v>276</v>
      </c>
      <c r="O38" s="7" t="s">
        <v>195</v>
      </c>
      <c r="P38" s="7"/>
      <c r="Q38" s="7" t="s">
        <v>262</v>
      </c>
      <c r="R38" s="7" t="s">
        <v>896</v>
      </c>
    </row>
    <row r="39" spans="1:18">
      <c r="A39" s="7" t="s">
        <v>990</v>
      </c>
      <c r="B39" s="7" t="s">
        <v>914</v>
      </c>
      <c r="C39" s="7" t="s">
        <v>473</v>
      </c>
      <c r="D39" s="7" t="s">
        <v>514</v>
      </c>
      <c r="E39" s="7" t="s">
        <v>255</v>
      </c>
      <c r="F39" s="7" t="s">
        <v>269</v>
      </c>
      <c r="G39" s="7" t="s">
        <v>542</v>
      </c>
      <c r="H39" s="7" t="s">
        <v>115</v>
      </c>
      <c r="I39" s="7" t="s">
        <v>258</v>
      </c>
      <c r="J39" s="7" t="s">
        <v>300</v>
      </c>
      <c r="K39" s="7" t="s">
        <v>991</v>
      </c>
      <c r="L39" s="7" t="s">
        <v>510</v>
      </c>
      <c r="M39" s="7" t="s">
        <v>303</v>
      </c>
      <c r="N39" s="7" t="s">
        <v>276</v>
      </c>
      <c r="O39" s="7" t="s">
        <v>195</v>
      </c>
      <c r="P39" s="7" t="s">
        <v>11</v>
      </c>
      <c r="Q39" s="7" t="s">
        <v>262</v>
      </c>
      <c r="R39" s="7" t="s">
        <v>896</v>
      </c>
    </row>
    <row r="40" spans="1:18">
      <c r="A40" s="7" t="s">
        <v>992</v>
      </c>
      <c r="B40" s="7" t="s">
        <v>993</v>
      </c>
      <c r="C40" s="7" t="s">
        <v>940</v>
      </c>
      <c r="D40" s="7" t="s">
        <v>267</v>
      </c>
      <c r="E40" s="7" t="s">
        <v>268</v>
      </c>
      <c r="F40" s="7" t="s">
        <v>269</v>
      </c>
      <c r="G40" s="7" t="s">
        <v>270</v>
      </c>
      <c r="H40" s="7" t="s">
        <v>127</v>
      </c>
      <c r="I40" s="7" t="s">
        <v>258</v>
      </c>
      <c r="J40" s="7" t="s">
        <v>259</v>
      </c>
      <c r="K40" s="7"/>
      <c r="L40" s="7"/>
      <c r="M40" s="7" t="s">
        <v>260</v>
      </c>
      <c r="N40" s="7" t="s">
        <v>276</v>
      </c>
      <c r="O40" s="7" t="s">
        <v>195</v>
      </c>
      <c r="P40" s="7"/>
      <c r="Q40" s="7" t="s">
        <v>285</v>
      </c>
      <c r="R40" s="7" t="s">
        <v>896</v>
      </c>
    </row>
    <row r="41" spans="1:18">
      <c r="A41" s="7" t="s">
        <v>994</v>
      </c>
      <c r="B41" s="7" t="s">
        <v>914</v>
      </c>
      <c r="C41" s="7" t="s">
        <v>962</v>
      </c>
      <c r="D41" s="7" t="s">
        <v>995</v>
      </c>
      <c r="E41" s="7" t="s">
        <v>339</v>
      </c>
      <c r="F41" s="7" t="s">
        <v>409</v>
      </c>
      <c r="G41" s="7" t="s">
        <v>476</v>
      </c>
      <c r="H41" s="7" t="s">
        <v>115</v>
      </c>
      <c r="I41" s="7" t="s">
        <v>299</v>
      </c>
      <c r="J41" s="7" t="s">
        <v>404</v>
      </c>
      <c r="K41" s="7" t="s">
        <v>996</v>
      </c>
      <c r="L41" s="7" t="s">
        <v>997</v>
      </c>
      <c r="M41" s="7" t="s">
        <v>293</v>
      </c>
      <c r="N41" s="7" t="s">
        <v>412</v>
      </c>
      <c r="O41" s="7" t="s">
        <v>195</v>
      </c>
      <c r="P41" s="7" t="s">
        <v>17</v>
      </c>
      <c r="Q41" s="7" t="s">
        <v>326</v>
      </c>
      <c r="R41" s="7" t="s">
        <v>896</v>
      </c>
    </row>
    <row r="42" spans="1:18">
      <c r="A42" s="7" t="s">
        <v>998</v>
      </c>
      <c r="B42" s="7" t="s">
        <v>948</v>
      </c>
      <c r="C42" s="7" t="s">
        <v>278</v>
      </c>
      <c r="D42" s="7" t="s">
        <v>999</v>
      </c>
      <c r="E42" s="7" t="s">
        <v>268</v>
      </c>
      <c r="F42" s="7" t="s">
        <v>256</v>
      </c>
      <c r="G42" s="7" t="s">
        <v>419</v>
      </c>
      <c r="H42" s="7" t="s">
        <v>115</v>
      </c>
      <c r="I42" s="7" t="s">
        <v>258</v>
      </c>
      <c r="J42" s="7" t="s">
        <v>346</v>
      </c>
      <c r="K42" s="7" t="s">
        <v>602</v>
      </c>
      <c r="L42" s="7" t="s">
        <v>1000</v>
      </c>
      <c r="M42" s="7" t="s">
        <v>335</v>
      </c>
      <c r="N42" s="7" t="s">
        <v>261</v>
      </c>
      <c r="O42" s="7" t="s">
        <v>631</v>
      </c>
      <c r="P42" s="7" t="s">
        <v>14</v>
      </c>
      <c r="Q42" s="7" t="s">
        <v>318</v>
      </c>
      <c r="R42" s="7" t="s">
        <v>896</v>
      </c>
    </row>
    <row r="43" spans="1:18">
      <c r="A43" s="7" t="s">
        <v>1001</v>
      </c>
      <c r="B43" s="7" t="s">
        <v>981</v>
      </c>
      <c r="C43" s="7" t="s">
        <v>314</v>
      </c>
      <c r="D43" s="7" t="s">
        <v>381</v>
      </c>
      <c r="E43" s="7" t="s">
        <v>339</v>
      </c>
      <c r="F43" s="7" t="s">
        <v>282</v>
      </c>
      <c r="G43" s="7" t="s">
        <v>564</v>
      </c>
      <c r="H43" s="7" t="s">
        <v>127</v>
      </c>
      <c r="I43" s="7" t="s">
        <v>316</v>
      </c>
      <c r="J43" s="7" t="s">
        <v>323</v>
      </c>
      <c r="K43" s="7"/>
      <c r="L43" s="7"/>
      <c r="M43" s="7" t="s">
        <v>260</v>
      </c>
      <c r="N43" s="7" t="s">
        <v>284</v>
      </c>
      <c r="O43" s="7" t="s">
        <v>195</v>
      </c>
      <c r="P43" s="7"/>
      <c r="Q43" s="7" t="s">
        <v>262</v>
      </c>
      <c r="R43" s="7" t="s">
        <v>896</v>
      </c>
    </row>
    <row r="44" spans="1:18">
      <c r="A44" s="7" t="s">
        <v>1002</v>
      </c>
      <c r="B44" s="7" t="s">
        <v>1003</v>
      </c>
      <c r="C44" s="7" t="s">
        <v>356</v>
      </c>
      <c r="D44" s="7" t="s">
        <v>978</v>
      </c>
      <c r="E44" s="7" t="s">
        <v>281</v>
      </c>
      <c r="F44" s="7" t="s">
        <v>282</v>
      </c>
      <c r="G44" s="7" t="s">
        <v>283</v>
      </c>
      <c r="H44" s="7" t="s">
        <v>115</v>
      </c>
      <c r="I44" s="7" t="s">
        <v>271</v>
      </c>
      <c r="J44" s="7" t="s">
        <v>447</v>
      </c>
      <c r="K44" s="7" t="s">
        <v>660</v>
      </c>
      <c r="L44" s="7" t="s">
        <v>1004</v>
      </c>
      <c r="M44" s="7" t="s">
        <v>275</v>
      </c>
      <c r="N44" s="7" t="s">
        <v>284</v>
      </c>
      <c r="O44" s="7" t="s">
        <v>195</v>
      </c>
      <c r="P44" s="7" t="s">
        <v>17</v>
      </c>
      <c r="Q44" s="7" t="s">
        <v>285</v>
      </c>
      <c r="R44" s="7" t="s">
        <v>896</v>
      </c>
    </row>
    <row r="45" spans="1:18">
      <c r="A45" s="7" t="s">
        <v>1005</v>
      </c>
      <c r="B45" s="7" t="s">
        <v>903</v>
      </c>
      <c r="C45" s="7" t="s">
        <v>407</v>
      </c>
      <c r="D45" s="7" t="s">
        <v>946</v>
      </c>
      <c r="E45" s="7" t="s">
        <v>255</v>
      </c>
      <c r="F45" s="7" t="s">
        <v>269</v>
      </c>
      <c r="G45" s="7" t="s">
        <v>542</v>
      </c>
      <c r="H45" s="7" t="s">
        <v>115</v>
      </c>
      <c r="I45" s="7" t="s">
        <v>271</v>
      </c>
      <c r="J45" s="7" t="s">
        <v>259</v>
      </c>
      <c r="K45" s="7" t="s">
        <v>334</v>
      </c>
      <c r="L45" s="7" t="s">
        <v>1006</v>
      </c>
      <c r="M45" s="7" t="s">
        <v>335</v>
      </c>
      <c r="N45" s="7" t="s">
        <v>276</v>
      </c>
      <c r="O45" s="7" t="s">
        <v>195</v>
      </c>
      <c r="P45" s="7" t="s">
        <v>17</v>
      </c>
      <c r="Q45" s="7" t="s">
        <v>305</v>
      </c>
      <c r="R45" s="7" t="s">
        <v>896</v>
      </c>
    </row>
    <row r="46" spans="1:18">
      <c r="A46" s="7" t="s">
        <v>1007</v>
      </c>
      <c r="B46" s="7" t="s">
        <v>939</v>
      </c>
      <c r="C46" s="7" t="s">
        <v>894</v>
      </c>
      <c r="D46" s="7" t="s">
        <v>1008</v>
      </c>
      <c r="E46" s="7" t="s">
        <v>268</v>
      </c>
      <c r="F46" s="7" t="s">
        <v>409</v>
      </c>
      <c r="G46" s="7" t="s">
        <v>552</v>
      </c>
      <c r="H46" s="7" t="s">
        <v>115</v>
      </c>
      <c r="I46" s="7" t="s">
        <v>316</v>
      </c>
      <c r="J46" s="7" t="s">
        <v>399</v>
      </c>
      <c r="K46" s="7" t="s">
        <v>1009</v>
      </c>
      <c r="L46" s="7" t="s">
        <v>1010</v>
      </c>
      <c r="M46" s="7" t="s">
        <v>303</v>
      </c>
      <c r="N46" s="7" t="s">
        <v>412</v>
      </c>
      <c r="O46" s="7" t="s">
        <v>169</v>
      </c>
      <c r="P46" s="7" t="s">
        <v>8</v>
      </c>
      <c r="Q46" s="7" t="s">
        <v>326</v>
      </c>
      <c r="R46" s="7" t="s">
        <v>896</v>
      </c>
    </row>
    <row r="47" spans="1:18">
      <c r="A47" s="7" t="s">
        <v>1011</v>
      </c>
      <c r="B47" s="7" t="s">
        <v>902</v>
      </c>
      <c r="C47" s="7" t="s">
        <v>940</v>
      </c>
      <c r="D47" s="7" t="s">
        <v>1012</v>
      </c>
      <c r="E47" s="7" t="s">
        <v>268</v>
      </c>
      <c r="F47" s="7" t="s">
        <v>256</v>
      </c>
      <c r="G47" s="7" t="s">
        <v>419</v>
      </c>
      <c r="H47" s="7" t="s">
        <v>127</v>
      </c>
      <c r="I47" s="7" t="s">
        <v>316</v>
      </c>
      <c r="J47" s="7" t="s">
        <v>411</v>
      </c>
      <c r="K47" s="7"/>
      <c r="L47" s="7"/>
      <c r="M47" s="7" t="s">
        <v>260</v>
      </c>
      <c r="N47" s="7" t="s">
        <v>261</v>
      </c>
      <c r="O47" s="7" t="s">
        <v>169</v>
      </c>
      <c r="P47" s="7"/>
      <c r="Q47" s="7" t="s">
        <v>285</v>
      </c>
      <c r="R47" s="7" t="s">
        <v>896</v>
      </c>
    </row>
    <row r="48" spans="1:18">
      <c r="A48" s="7" t="s">
        <v>1013</v>
      </c>
      <c r="B48" s="7" t="s">
        <v>945</v>
      </c>
      <c r="C48" s="7" t="s">
        <v>925</v>
      </c>
      <c r="D48" s="7" t="s">
        <v>1014</v>
      </c>
      <c r="E48" s="7" t="s">
        <v>1015</v>
      </c>
      <c r="F48" s="7" t="s">
        <v>409</v>
      </c>
      <c r="G48" s="7" t="s">
        <v>552</v>
      </c>
      <c r="H48" s="7" t="s">
        <v>115</v>
      </c>
      <c r="I48" s="7" t="s">
        <v>316</v>
      </c>
      <c r="J48" s="7" t="s">
        <v>447</v>
      </c>
      <c r="K48" s="7" t="s">
        <v>1016</v>
      </c>
      <c r="L48" s="7" t="s">
        <v>636</v>
      </c>
      <c r="M48" s="7" t="s">
        <v>275</v>
      </c>
      <c r="N48" s="7" t="s">
        <v>412</v>
      </c>
      <c r="O48" s="7" t="s">
        <v>195</v>
      </c>
      <c r="P48" s="7" t="s">
        <v>17</v>
      </c>
      <c r="Q48" s="7" t="s">
        <v>305</v>
      </c>
      <c r="R48" s="7" t="s">
        <v>896</v>
      </c>
    </row>
    <row r="49" spans="1:18">
      <c r="A49" s="7" t="s">
        <v>1017</v>
      </c>
      <c r="B49" s="7" t="s">
        <v>920</v>
      </c>
      <c r="C49" s="7" t="s">
        <v>925</v>
      </c>
      <c r="D49" s="7" t="s">
        <v>1018</v>
      </c>
      <c r="E49" s="7" t="s">
        <v>339</v>
      </c>
      <c r="F49" s="7" t="s">
        <v>409</v>
      </c>
      <c r="G49" s="7" t="s">
        <v>476</v>
      </c>
      <c r="H49" s="7" t="s">
        <v>115</v>
      </c>
      <c r="I49" s="7" t="s">
        <v>299</v>
      </c>
      <c r="J49" s="7" t="s">
        <v>351</v>
      </c>
      <c r="K49" s="7" t="s">
        <v>420</v>
      </c>
      <c r="L49" s="7" t="s">
        <v>1019</v>
      </c>
      <c r="M49" s="7" t="s">
        <v>275</v>
      </c>
      <c r="N49" s="7" t="s">
        <v>412</v>
      </c>
      <c r="O49" s="7" t="s">
        <v>195</v>
      </c>
      <c r="P49" s="7" t="s">
        <v>14</v>
      </c>
      <c r="Q49" s="7" t="s">
        <v>318</v>
      </c>
      <c r="R49" s="7" t="s">
        <v>896</v>
      </c>
    </row>
    <row r="50" spans="1:18">
      <c r="A50" s="7" t="s">
        <v>1020</v>
      </c>
      <c r="B50" s="7" t="s">
        <v>902</v>
      </c>
      <c r="C50" s="7" t="s">
        <v>957</v>
      </c>
      <c r="D50" s="7" t="s">
        <v>321</v>
      </c>
      <c r="E50" s="7" t="s">
        <v>268</v>
      </c>
      <c r="F50" s="7" t="s">
        <v>269</v>
      </c>
      <c r="G50" s="7" t="s">
        <v>270</v>
      </c>
      <c r="H50" s="7" t="s">
        <v>115</v>
      </c>
      <c r="I50" s="7" t="s">
        <v>316</v>
      </c>
      <c r="J50" s="7" t="s">
        <v>399</v>
      </c>
      <c r="K50" s="7" t="s">
        <v>399</v>
      </c>
      <c r="L50" s="7" t="s">
        <v>547</v>
      </c>
      <c r="M50" s="7" t="s">
        <v>303</v>
      </c>
      <c r="N50" s="7" t="s">
        <v>276</v>
      </c>
      <c r="O50" s="7" t="s">
        <v>195</v>
      </c>
      <c r="P50" s="7" t="s">
        <v>14</v>
      </c>
      <c r="Q50" s="7" t="s">
        <v>305</v>
      </c>
      <c r="R50" s="7" t="s">
        <v>896</v>
      </c>
    </row>
    <row r="51" spans="1:18">
      <c r="A51" s="7" t="s">
        <v>1021</v>
      </c>
      <c r="B51" s="7" t="s">
        <v>1003</v>
      </c>
      <c r="C51" s="7" t="s">
        <v>730</v>
      </c>
      <c r="D51" s="7" t="s">
        <v>1022</v>
      </c>
      <c r="E51" s="7" t="s">
        <v>281</v>
      </c>
      <c r="F51" s="7" t="s">
        <v>269</v>
      </c>
      <c r="G51" s="7" t="s">
        <v>322</v>
      </c>
      <c r="H51" s="7" t="s">
        <v>115</v>
      </c>
      <c r="I51" s="7" t="s">
        <v>258</v>
      </c>
      <c r="J51" s="7" t="s">
        <v>351</v>
      </c>
      <c r="K51" s="7" t="s">
        <v>1023</v>
      </c>
      <c r="L51" s="7" t="s">
        <v>663</v>
      </c>
      <c r="M51" s="7" t="s">
        <v>303</v>
      </c>
      <c r="N51" s="7" t="s">
        <v>276</v>
      </c>
      <c r="O51" s="7" t="s">
        <v>195</v>
      </c>
      <c r="P51" s="7" t="s">
        <v>17</v>
      </c>
      <c r="Q51" s="7" t="s">
        <v>326</v>
      </c>
      <c r="R51" s="7" t="s">
        <v>896</v>
      </c>
    </row>
    <row r="52" spans="1:18">
      <c r="A52" s="7" t="s">
        <v>1024</v>
      </c>
      <c r="B52" s="7" t="s">
        <v>1003</v>
      </c>
      <c r="C52" s="7" t="s">
        <v>252</v>
      </c>
      <c r="D52" s="7" t="s">
        <v>330</v>
      </c>
      <c r="E52" s="7" t="s">
        <v>339</v>
      </c>
      <c r="F52" s="7" t="s">
        <v>282</v>
      </c>
      <c r="G52" s="7" t="s">
        <v>564</v>
      </c>
      <c r="H52" s="7" t="s">
        <v>115</v>
      </c>
      <c r="I52" s="7" t="s">
        <v>1025</v>
      </c>
      <c r="J52" s="7" t="s">
        <v>351</v>
      </c>
      <c r="K52" s="7" t="s">
        <v>1023</v>
      </c>
      <c r="L52" s="7" t="s">
        <v>351</v>
      </c>
      <c r="M52" s="7" t="s">
        <v>303</v>
      </c>
      <c r="N52" s="7" t="s">
        <v>284</v>
      </c>
      <c r="O52" s="7" t="s">
        <v>195</v>
      </c>
      <c r="P52" s="7" t="s">
        <v>14</v>
      </c>
      <c r="Q52" s="7" t="s">
        <v>305</v>
      </c>
      <c r="R52" s="7" t="s">
        <v>896</v>
      </c>
    </row>
    <row r="53" spans="1:18">
      <c r="A53" s="7" t="s">
        <v>1026</v>
      </c>
      <c r="B53" s="7" t="s">
        <v>957</v>
      </c>
      <c r="C53" s="7" t="s">
        <v>666</v>
      </c>
      <c r="D53" s="7" t="s">
        <v>837</v>
      </c>
      <c r="E53" s="7" t="s">
        <v>281</v>
      </c>
      <c r="F53" s="7" t="s">
        <v>297</v>
      </c>
      <c r="G53" s="7" t="s">
        <v>368</v>
      </c>
      <c r="H53" s="7" t="s">
        <v>115</v>
      </c>
      <c r="I53" s="7" t="s">
        <v>316</v>
      </c>
      <c r="J53" s="7" t="s">
        <v>300</v>
      </c>
      <c r="K53" s="7" t="s">
        <v>1027</v>
      </c>
      <c r="L53" s="7" t="s">
        <v>1028</v>
      </c>
      <c r="M53" s="7" t="s">
        <v>293</v>
      </c>
      <c r="N53" s="7" t="s">
        <v>304</v>
      </c>
      <c r="O53" s="7" t="s">
        <v>169</v>
      </c>
      <c r="P53" s="7" t="s">
        <v>11</v>
      </c>
      <c r="Q53" s="7" t="s">
        <v>285</v>
      </c>
      <c r="R53" s="7" t="s">
        <v>896</v>
      </c>
    </row>
    <row r="54" spans="1:18">
      <c r="A54" s="7" t="s">
        <v>1029</v>
      </c>
      <c r="B54" s="7" t="s">
        <v>1030</v>
      </c>
      <c r="C54" s="7" t="s">
        <v>493</v>
      </c>
      <c r="D54" s="7" t="s">
        <v>1031</v>
      </c>
      <c r="E54" s="7" t="s">
        <v>255</v>
      </c>
      <c r="F54" s="7" t="s">
        <v>297</v>
      </c>
      <c r="G54" s="7" t="s">
        <v>639</v>
      </c>
      <c r="H54" s="7" t="s">
        <v>122</v>
      </c>
      <c r="I54" s="7" t="s">
        <v>316</v>
      </c>
      <c r="J54" s="7" t="s">
        <v>341</v>
      </c>
      <c r="K54" s="7"/>
      <c r="L54" s="7"/>
      <c r="M54" s="7" t="s">
        <v>260</v>
      </c>
      <c r="N54" s="7" t="s">
        <v>304</v>
      </c>
      <c r="O54" s="7" t="s">
        <v>195</v>
      </c>
      <c r="P54" s="7"/>
      <c r="Q54" s="7" t="s">
        <v>305</v>
      </c>
      <c r="R54" s="7" t="s">
        <v>896</v>
      </c>
    </row>
    <row r="55" spans="1:18">
      <c r="A55" s="7" t="s">
        <v>1032</v>
      </c>
      <c r="B55" s="7" t="s">
        <v>940</v>
      </c>
      <c r="C55" s="7" t="s">
        <v>388</v>
      </c>
      <c r="D55" s="7" t="s">
        <v>930</v>
      </c>
      <c r="E55" s="7" t="s">
        <v>339</v>
      </c>
      <c r="F55" s="7" t="s">
        <v>409</v>
      </c>
      <c r="G55" s="7" t="s">
        <v>501</v>
      </c>
      <c r="H55" s="7" t="s">
        <v>115</v>
      </c>
      <c r="I55" s="7" t="s">
        <v>258</v>
      </c>
      <c r="J55" s="7" t="s">
        <v>332</v>
      </c>
      <c r="K55" s="7" t="s">
        <v>1033</v>
      </c>
      <c r="L55" s="7" t="s">
        <v>775</v>
      </c>
      <c r="M55" s="7" t="s">
        <v>335</v>
      </c>
      <c r="N55" s="7" t="s">
        <v>412</v>
      </c>
      <c r="O55" s="7" t="s">
        <v>195</v>
      </c>
      <c r="P55" s="7" t="s">
        <v>17</v>
      </c>
      <c r="Q55" s="7" t="s">
        <v>262</v>
      </c>
      <c r="R55" s="7" t="s">
        <v>896</v>
      </c>
    </row>
    <row r="56" spans="1:18">
      <c r="A56" s="7" t="s">
        <v>1034</v>
      </c>
      <c r="B56" s="7" t="s">
        <v>925</v>
      </c>
      <c r="C56" s="7" t="s">
        <v>314</v>
      </c>
      <c r="D56" s="7" t="s">
        <v>460</v>
      </c>
      <c r="E56" s="7" t="s">
        <v>268</v>
      </c>
      <c r="F56" s="7" t="s">
        <v>297</v>
      </c>
      <c r="G56" s="7" t="s">
        <v>583</v>
      </c>
      <c r="H56" s="7" t="s">
        <v>115</v>
      </c>
      <c r="I56" s="7" t="s">
        <v>316</v>
      </c>
      <c r="J56" s="7" t="s">
        <v>272</v>
      </c>
      <c r="K56" s="7" t="s">
        <v>698</v>
      </c>
      <c r="L56" s="7" t="s">
        <v>272</v>
      </c>
      <c r="M56" s="7" t="s">
        <v>303</v>
      </c>
      <c r="N56" s="7" t="s">
        <v>304</v>
      </c>
      <c r="O56" s="7" t="s">
        <v>195</v>
      </c>
      <c r="P56" s="7" t="s">
        <v>8</v>
      </c>
      <c r="Q56" s="7" t="s">
        <v>318</v>
      </c>
      <c r="R56" s="7" t="s">
        <v>896</v>
      </c>
    </row>
    <row r="57" spans="1:18">
      <c r="A57" s="7" t="s">
        <v>1035</v>
      </c>
      <c r="B57" s="7" t="s">
        <v>954</v>
      </c>
      <c r="C57" s="7" t="s">
        <v>914</v>
      </c>
      <c r="D57" s="7" t="s">
        <v>1036</v>
      </c>
      <c r="E57" s="7" t="s">
        <v>339</v>
      </c>
      <c r="F57" s="7" t="s">
        <v>409</v>
      </c>
      <c r="G57" s="7" t="s">
        <v>501</v>
      </c>
      <c r="H57" s="7" t="s">
        <v>115</v>
      </c>
      <c r="I57" s="7" t="s">
        <v>258</v>
      </c>
      <c r="J57" s="7" t="s">
        <v>300</v>
      </c>
      <c r="K57" s="7" t="s">
        <v>1037</v>
      </c>
      <c r="L57" s="7" t="s">
        <v>1038</v>
      </c>
      <c r="M57" s="7" t="s">
        <v>303</v>
      </c>
      <c r="N57" s="7" t="s">
        <v>412</v>
      </c>
      <c r="O57" s="7" t="s">
        <v>169</v>
      </c>
      <c r="P57" s="7" t="s">
        <v>11</v>
      </c>
      <c r="Q57" s="7" t="s">
        <v>305</v>
      </c>
      <c r="R57" s="7" t="s">
        <v>896</v>
      </c>
    </row>
    <row r="58" spans="1:18">
      <c r="A58" s="7" t="s">
        <v>1039</v>
      </c>
      <c r="B58" s="7" t="s">
        <v>954</v>
      </c>
      <c r="C58" s="7" t="s">
        <v>940</v>
      </c>
      <c r="D58" s="7" t="s">
        <v>1022</v>
      </c>
      <c r="E58" s="7" t="s">
        <v>255</v>
      </c>
      <c r="F58" s="7" t="s">
        <v>269</v>
      </c>
      <c r="G58" s="7" t="s">
        <v>391</v>
      </c>
      <c r="H58" s="7" t="s">
        <v>122</v>
      </c>
      <c r="I58" s="7" t="s">
        <v>271</v>
      </c>
      <c r="J58" s="7" t="s">
        <v>272</v>
      </c>
      <c r="K58" s="7"/>
      <c r="L58" s="7"/>
      <c r="M58" s="7" t="s">
        <v>260</v>
      </c>
      <c r="N58" s="7" t="s">
        <v>1040</v>
      </c>
      <c r="O58" s="7" t="s">
        <v>195</v>
      </c>
      <c r="P58" s="7"/>
      <c r="Q58" s="7" t="s">
        <v>285</v>
      </c>
      <c r="R58" s="7" t="s">
        <v>896</v>
      </c>
    </row>
    <row r="59" spans="1:18">
      <c r="A59" s="7" t="s">
        <v>1041</v>
      </c>
      <c r="B59" s="7" t="s">
        <v>920</v>
      </c>
      <c r="C59" s="7" t="s">
        <v>458</v>
      </c>
      <c r="D59" s="7" t="s">
        <v>1042</v>
      </c>
      <c r="E59" s="7" t="s">
        <v>268</v>
      </c>
      <c r="F59" s="7" t="s">
        <v>282</v>
      </c>
      <c r="G59" s="7" t="s">
        <v>524</v>
      </c>
      <c r="H59" s="7" t="s">
        <v>115</v>
      </c>
      <c r="I59" s="7" t="s">
        <v>258</v>
      </c>
      <c r="J59" s="7" t="s">
        <v>323</v>
      </c>
      <c r="K59" s="7" t="s">
        <v>986</v>
      </c>
      <c r="L59" s="7" t="s">
        <v>1043</v>
      </c>
      <c r="M59" s="7" t="s">
        <v>335</v>
      </c>
      <c r="N59" s="7" t="s">
        <v>284</v>
      </c>
      <c r="O59" s="7" t="s">
        <v>169</v>
      </c>
      <c r="P59" s="7" t="s">
        <v>17</v>
      </c>
      <c r="Q59" s="7" t="s">
        <v>326</v>
      </c>
      <c r="R59" s="7" t="s">
        <v>896</v>
      </c>
    </row>
    <row r="60" spans="1:18">
      <c r="A60" s="7" t="s">
        <v>1044</v>
      </c>
      <c r="B60" s="7" t="s">
        <v>1003</v>
      </c>
      <c r="C60" s="7" t="s">
        <v>585</v>
      </c>
      <c r="D60" s="7" t="s">
        <v>586</v>
      </c>
      <c r="E60" s="7" t="s">
        <v>281</v>
      </c>
      <c r="F60" s="7" t="s">
        <v>256</v>
      </c>
      <c r="G60" s="7" t="s">
        <v>796</v>
      </c>
      <c r="H60" s="7" t="s">
        <v>115</v>
      </c>
      <c r="I60" s="7" t="s">
        <v>271</v>
      </c>
      <c r="J60" s="7" t="s">
        <v>529</v>
      </c>
      <c r="K60" s="7" t="s">
        <v>971</v>
      </c>
      <c r="L60" s="7" t="s">
        <v>531</v>
      </c>
      <c r="M60" s="7" t="s">
        <v>335</v>
      </c>
      <c r="N60" s="7" t="s">
        <v>261</v>
      </c>
      <c r="O60" s="7" t="s">
        <v>195</v>
      </c>
      <c r="P60" s="7" t="s">
        <v>8</v>
      </c>
      <c r="Q60" s="7" t="s">
        <v>262</v>
      </c>
      <c r="R60" s="7" t="s">
        <v>896</v>
      </c>
    </row>
    <row r="61" spans="1:18">
      <c r="A61" s="7" t="s">
        <v>1045</v>
      </c>
      <c r="B61" s="7" t="s">
        <v>939</v>
      </c>
      <c r="C61" s="7" t="s">
        <v>898</v>
      </c>
      <c r="D61" s="7" t="s">
        <v>638</v>
      </c>
      <c r="E61" s="7" t="s">
        <v>339</v>
      </c>
      <c r="F61" s="7" t="s">
        <v>256</v>
      </c>
      <c r="G61" s="7" t="s">
        <v>403</v>
      </c>
      <c r="H61" s="7" t="s">
        <v>115</v>
      </c>
      <c r="I61" s="7" t="s">
        <v>316</v>
      </c>
      <c r="J61" s="7" t="s">
        <v>346</v>
      </c>
      <c r="K61" s="7" t="s">
        <v>1046</v>
      </c>
      <c r="L61" s="7" t="s">
        <v>1047</v>
      </c>
      <c r="M61" s="7" t="s">
        <v>335</v>
      </c>
      <c r="N61" s="7" t="s">
        <v>261</v>
      </c>
      <c r="O61" s="7" t="s">
        <v>169</v>
      </c>
      <c r="P61" s="7" t="s">
        <v>11</v>
      </c>
      <c r="Q61" s="7" t="s">
        <v>305</v>
      </c>
      <c r="R61" s="7" t="s">
        <v>896</v>
      </c>
    </row>
    <row r="62" spans="1:18">
      <c r="A62" s="7" t="s">
        <v>1048</v>
      </c>
      <c r="B62" s="7" t="s">
        <v>920</v>
      </c>
      <c r="C62" s="7" t="s">
        <v>356</v>
      </c>
      <c r="D62" s="7" t="s">
        <v>460</v>
      </c>
      <c r="E62" s="7" t="s">
        <v>255</v>
      </c>
      <c r="F62" s="7" t="s">
        <v>256</v>
      </c>
      <c r="G62" s="7" t="s">
        <v>398</v>
      </c>
      <c r="H62" s="7" t="s">
        <v>127</v>
      </c>
      <c r="I62" s="7" t="s">
        <v>316</v>
      </c>
      <c r="J62" s="7" t="s">
        <v>300</v>
      </c>
      <c r="K62" s="7"/>
      <c r="L62" s="7"/>
      <c r="M62" s="7" t="s">
        <v>260</v>
      </c>
      <c r="N62" s="7" t="s">
        <v>261</v>
      </c>
      <c r="O62" s="7" t="s">
        <v>195</v>
      </c>
      <c r="P62" s="7"/>
      <c r="Q62" s="7" t="s">
        <v>318</v>
      </c>
      <c r="R62" s="7" t="s">
        <v>896</v>
      </c>
    </row>
    <row r="63" spans="1:18">
      <c r="A63" s="7" t="s">
        <v>1049</v>
      </c>
      <c r="B63" s="7" t="s">
        <v>948</v>
      </c>
      <c r="C63" s="7" t="s">
        <v>385</v>
      </c>
      <c r="D63" s="7" t="s">
        <v>1050</v>
      </c>
      <c r="E63" s="7" t="s">
        <v>268</v>
      </c>
      <c r="F63" s="7" t="s">
        <v>409</v>
      </c>
      <c r="G63" s="7" t="s">
        <v>587</v>
      </c>
      <c r="H63" s="7" t="s">
        <v>127</v>
      </c>
      <c r="I63" s="7" t="s">
        <v>271</v>
      </c>
      <c r="J63" s="7" t="s">
        <v>411</v>
      </c>
      <c r="K63" s="7"/>
      <c r="L63" s="7"/>
      <c r="M63" s="7" t="s">
        <v>260</v>
      </c>
      <c r="N63" s="7" t="s">
        <v>412</v>
      </c>
      <c r="O63" s="7" t="s">
        <v>195</v>
      </c>
      <c r="P63" s="7"/>
      <c r="Q63" s="7" t="s">
        <v>305</v>
      </c>
      <c r="R63" s="7" t="s">
        <v>896</v>
      </c>
    </row>
    <row r="64" spans="1:18">
      <c r="A64" s="7" t="s">
        <v>1051</v>
      </c>
      <c r="B64" s="7" t="s">
        <v>1052</v>
      </c>
      <c r="C64" s="7" t="s">
        <v>253</v>
      </c>
      <c r="D64" s="7" t="s">
        <v>514</v>
      </c>
      <c r="E64" s="7" t="s">
        <v>255</v>
      </c>
      <c r="F64" s="7" t="s">
        <v>256</v>
      </c>
      <c r="G64" s="7" t="s">
        <v>257</v>
      </c>
      <c r="H64" s="7" t="s">
        <v>115</v>
      </c>
      <c r="I64" s="7" t="s">
        <v>258</v>
      </c>
      <c r="J64" s="7" t="s">
        <v>259</v>
      </c>
      <c r="K64" s="7" t="s">
        <v>311</v>
      </c>
      <c r="L64" s="7" t="s">
        <v>1053</v>
      </c>
      <c r="M64" s="7" t="s">
        <v>293</v>
      </c>
      <c r="N64" s="7" t="s">
        <v>261</v>
      </c>
      <c r="O64" s="7" t="s">
        <v>169</v>
      </c>
      <c r="P64" s="7" t="s">
        <v>14</v>
      </c>
      <c r="Q64" s="7" t="s">
        <v>285</v>
      </c>
      <c r="R64" s="7" t="s">
        <v>896</v>
      </c>
    </row>
    <row r="65" spans="1:18">
      <c r="A65" s="7" t="s">
        <v>1054</v>
      </c>
      <c r="B65" s="7" t="s">
        <v>925</v>
      </c>
      <c r="C65" s="7" t="s">
        <v>356</v>
      </c>
      <c r="D65" s="7" t="s">
        <v>1055</v>
      </c>
      <c r="E65" s="7" t="s">
        <v>339</v>
      </c>
      <c r="F65" s="7" t="s">
        <v>256</v>
      </c>
      <c r="G65" s="7" t="s">
        <v>345</v>
      </c>
      <c r="H65" s="7" t="s">
        <v>115</v>
      </c>
      <c r="I65" s="7" t="s">
        <v>299</v>
      </c>
      <c r="J65" s="7" t="s">
        <v>332</v>
      </c>
      <c r="K65" s="7" t="s">
        <v>369</v>
      </c>
      <c r="L65" s="7" t="s">
        <v>905</v>
      </c>
      <c r="M65" s="7" t="s">
        <v>303</v>
      </c>
      <c r="N65" s="7" t="s">
        <v>261</v>
      </c>
      <c r="O65" s="7" t="s">
        <v>195</v>
      </c>
      <c r="P65" s="7" t="s">
        <v>11</v>
      </c>
      <c r="Q65" s="7" t="s">
        <v>326</v>
      </c>
      <c r="R65" s="7" t="s">
        <v>896</v>
      </c>
    </row>
    <row r="66" spans="1:18">
      <c r="A66" s="7" t="s">
        <v>1056</v>
      </c>
      <c r="B66" s="7" t="s">
        <v>974</v>
      </c>
      <c r="C66" s="7" t="s">
        <v>265</v>
      </c>
      <c r="D66" s="7" t="s">
        <v>941</v>
      </c>
      <c r="E66" s="7" t="s">
        <v>281</v>
      </c>
      <c r="F66" s="7" t="s">
        <v>1057</v>
      </c>
      <c r="G66" s="7" t="s">
        <v>283</v>
      </c>
      <c r="H66" s="7" t="s">
        <v>115</v>
      </c>
      <c r="I66" s="7" t="s">
        <v>316</v>
      </c>
      <c r="J66" s="7" t="s">
        <v>259</v>
      </c>
      <c r="K66" s="7" t="s">
        <v>1058</v>
      </c>
      <c r="L66" s="7" t="s">
        <v>1058</v>
      </c>
      <c r="M66" s="7" t="s">
        <v>303</v>
      </c>
      <c r="N66" s="7" t="s">
        <v>284</v>
      </c>
      <c r="O66" s="7" t="s">
        <v>195</v>
      </c>
      <c r="P66" s="7" t="s">
        <v>17</v>
      </c>
      <c r="Q66" s="7" t="s">
        <v>318</v>
      </c>
      <c r="R66" s="7" t="s">
        <v>896</v>
      </c>
    </row>
    <row r="67" spans="1:18">
      <c r="A67" s="7" t="s">
        <v>1059</v>
      </c>
      <c r="B67" s="7" t="s">
        <v>894</v>
      </c>
      <c r="C67" s="7" t="s">
        <v>464</v>
      </c>
      <c r="D67" s="7" t="s">
        <v>1060</v>
      </c>
      <c r="E67" s="7" t="s">
        <v>268</v>
      </c>
      <c r="F67" s="7" t="s">
        <v>256</v>
      </c>
      <c r="G67" s="7" t="s">
        <v>886</v>
      </c>
      <c r="H67" s="7" t="s">
        <v>696</v>
      </c>
      <c r="I67" s="7" t="s">
        <v>299</v>
      </c>
      <c r="J67" s="7" t="s">
        <v>300</v>
      </c>
      <c r="K67" s="7" t="s">
        <v>991</v>
      </c>
      <c r="L67" s="7" t="s">
        <v>481</v>
      </c>
      <c r="M67" s="7" t="s">
        <v>335</v>
      </c>
      <c r="N67" s="7" t="s">
        <v>261</v>
      </c>
      <c r="O67" s="7" t="s">
        <v>195</v>
      </c>
      <c r="P67" s="7" t="s">
        <v>8</v>
      </c>
      <c r="Q67" s="7" t="s">
        <v>318</v>
      </c>
      <c r="R67" s="7" t="s">
        <v>896</v>
      </c>
    </row>
    <row r="68" spans="1:18">
      <c r="A68" s="7" t="s">
        <v>1061</v>
      </c>
      <c r="B68" s="7" t="s">
        <v>902</v>
      </c>
      <c r="C68" s="7" t="s">
        <v>473</v>
      </c>
      <c r="D68" s="7" t="s">
        <v>909</v>
      </c>
      <c r="E68" s="7" t="s">
        <v>339</v>
      </c>
      <c r="F68" s="7" t="s">
        <v>269</v>
      </c>
      <c r="G68" s="7" t="s">
        <v>340</v>
      </c>
      <c r="H68" s="7" t="s">
        <v>115</v>
      </c>
      <c r="I68" s="7" t="s">
        <v>299</v>
      </c>
      <c r="J68" s="7" t="s">
        <v>300</v>
      </c>
      <c r="K68" s="7" t="s">
        <v>683</v>
      </c>
      <c r="L68" s="7" t="s">
        <v>1009</v>
      </c>
      <c r="M68" s="7" t="s">
        <v>303</v>
      </c>
      <c r="N68" s="7" t="s">
        <v>276</v>
      </c>
      <c r="O68" s="7" t="s">
        <v>195</v>
      </c>
      <c r="P68" s="7" t="s">
        <v>17</v>
      </c>
      <c r="Q68" s="7" t="s">
        <v>285</v>
      </c>
      <c r="R68" s="7" t="s">
        <v>896</v>
      </c>
    </row>
    <row r="69" spans="1:18">
      <c r="A69" s="7" t="s">
        <v>1062</v>
      </c>
      <c r="B69" s="7" t="s">
        <v>945</v>
      </c>
      <c r="C69" s="7" t="s">
        <v>313</v>
      </c>
      <c r="D69" s="7" t="s">
        <v>280</v>
      </c>
      <c r="E69" s="7" t="s">
        <v>281</v>
      </c>
      <c r="F69" s="7" t="s">
        <v>409</v>
      </c>
      <c r="G69" s="7" t="s">
        <v>535</v>
      </c>
      <c r="H69" s="7" t="s">
        <v>115</v>
      </c>
      <c r="I69" s="7" t="s">
        <v>299</v>
      </c>
      <c r="J69" s="7" t="s">
        <v>411</v>
      </c>
      <c r="K69" s="7" t="s">
        <v>838</v>
      </c>
      <c r="L69" s="7" t="s">
        <v>1063</v>
      </c>
      <c r="M69" s="7" t="s">
        <v>293</v>
      </c>
      <c r="N69" s="7" t="s">
        <v>412</v>
      </c>
      <c r="O69" s="7" t="s">
        <v>169</v>
      </c>
      <c r="P69" s="7" t="s">
        <v>14</v>
      </c>
      <c r="Q69" s="7" t="s">
        <v>305</v>
      </c>
      <c r="R69" s="7" t="s">
        <v>896</v>
      </c>
    </row>
    <row r="70" spans="1:18">
      <c r="A70" s="7" t="s">
        <v>1064</v>
      </c>
      <c r="B70" s="7" t="s">
        <v>920</v>
      </c>
      <c r="C70" s="7" t="s">
        <v>666</v>
      </c>
      <c r="D70" s="7" t="s">
        <v>1065</v>
      </c>
      <c r="E70" s="7" t="s">
        <v>255</v>
      </c>
      <c r="F70" s="7" t="s">
        <v>269</v>
      </c>
      <c r="G70" s="7" t="s">
        <v>391</v>
      </c>
      <c r="H70" s="7" t="s">
        <v>115</v>
      </c>
      <c r="I70" s="7" t="s">
        <v>258</v>
      </c>
      <c r="J70" s="7" t="s">
        <v>358</v>
      </c>
      <c r="K70" s="7" t="s">
        <v>734</v>
      </c>
      <c r="L70" s="7" t="s">
        <v>430</v>
      </c>
      <c r="M70" s="7" t="s">
        <v>303</v>
      </c>
      <c r="N70" s="7" t="s">
        <v>276</v>
      </c>
      <c r="O70" s="7" t="s">
        <v>169</v>
      </c>
      <c r="P70" s="7" t="s">
        <v>14</v>
      </c>
      <c r="Q70" s="7" t="s">
        <v>326</v>
      </c>
      <c r="R70" s="7" t="s">
        <v>896</v>
      </c>
    </row>
    <row r="71" spans="1:18">
      <c r="A71" s="7" t="s">
        <v>1066</v>
      </c>
      <c r="B71" s="7" t="s">
        <v>945</v>
      </c>
      <c r="C71" s="7" t="s">
        <v>355</v>
      </c>
      <c r="D71" s="7" t="s">
        <v>1067</v>
      </c>
      <c r="E71" s="7" t="s">
        <v>268</v>
      </c>
      <c r="F71" s="7" t="s">
        <v>297</v>
      </c>
      <c r="G71" s="7" t="s">
        <v>628</v>
      </c>
      <c r="H71" s="7" t="s">
        <v>115</v>
      </c>
      <c r="I71" s="7" t="s">
        <v>316</v>
      </c>
      <c r="J71" s="7" t="s">
        <v>346</v>
      </c>
      <c r="K71" s="7" t="s">
        <v>477</v>
      </c>
      <c r="L71" s="7" t="s">
        <v>1068</v>
      </c>
      <c r="M71" s="7" t="s">
        <v>293</v>
      </c>
      <c r="N71" s="7" t="s">
        <v>304</v>
      </c>
      <c r="O71" s="7" t="s">
        <v>195</v>
      </c>
      <c r="P71" s="7" t="s">
        <v>8</v>
      </c>
      <c r="Q71" s="7" t="s">
        <v>262</v>
      </c>
      <c r="R71" s="7" t="s">
        <v>896</v>
      </c>
    </row>
    <row r="72" spans="1:18">
      <c r="A72" s="7" t="s">
        <v>1069</v>
      </c>
      <c r="B72" s="7" t="s">
        <v>936</v>
      </c>
      <c r="C72" s="7" t="s">
        <v>329</v>
      </c>
      <c r="D72" s="7" t="s">
        <v>921</v>
      </c>
      <c r="E72" s="7" t="s">
        <v>255</v>
      </c>
      <c r="F72" s="7" t="s">
        <v>409</v>
      </c>
      <c r="G72" s="7" t="s">
        <v>648</v>
      </c>
      <c r="H72" s="7" t="s">
        <v>115</v>
      </c>
      <c r="I72" s="7" t="s">
        <v>271</v>
      </c>
      <c r="J72" s="7" t="s">
        <v>358</v>
      </c>
      <c r="K72" s="7" t="s">
        <v>1006</v>
      </c>
      <c r="L72" s="7" t="s">
        <v>360</v>
      </c>
      <c r="M72" s="7" t="s">
        <v>604</v>
      </c>
      <c r="N72" s="7" t="s">
        <v>412</v>
      </c>
      <c r="O72" s="7" t="s">
        <v>195</v>
      </c>
      <c r="P72" s="7" t="s">
        <v>11</v>
      </c>
      <c r="Q72" s="7" t="s">
        <v>318</v>
      </c>
      <c r="R72" s="7" t="s">
        <v>896</v>
      </c>
    </row>
    <row r="73" spans="1:18">
      <c r="A73" s="7" t="s">
        <v>1070</v>
      </c>
      <c r="B73" s="7" t="s">
        <v>913</v>
      </c>
      <c r="C73" s="7" t="s">
        <v>894</v>
      </c>
      <c r="D73" s="7" t="s">
        <v>1071</v>
      </c>
      <c r="E73" s="7" t="s">
        <v>339</v>
      </c>
      <c r="F73" s="7" t="s">
        <v>297</v>
      </c>
      <c r="G73" s="7" t="s">
        <v>569</v>
      </c>
      <c r="H73" s="7" t="s">
        <v>115</v>
      </c>
      <c r="I73" s="7" t="s">
        <v>271</v>
      </c>
      <c r="J73" s="7" t="s">
        <v>358</v>
      </c>
      <c r="K73" s="7" t="s">
        <v>1072</v>
      </c>
      <c r="L73" s="7" t="s">
        <v>1073</v>
      </c>
      <c r="M73" s="7" t="s">
        <v>293</v>
      </c>
      <c r="N73" s="7" t="s">
        <v>304</v>
      </c>
      <c r="O73" s="7" t="s">
        <v>195</v>
      </c>
      <c r="P73" s="7" t="s">
        <v>8</v>
      </c>
      <c r="Q73" s="7" t="s">
        <v>305</v>
      </c>
      <c r="R73" s="7" t="s">
        <v>896</v>
      </c>
    </row>
    <row r="74" spans="1:18">
      <c r="A74" s="7" t="s">
        <v>1074</v>
      </c>
      <c r="B74" s="7" t="s">
        <v>1030</v>
      </c>
      <c r="C74" s="7" t="s">
        <v>585</v>
      </c>
      <c r="D74" s="7" t="s">
        <v>344</v>
      </c>
      <c r="E74" s="7" t="s">
        <v>255</v>
      </c>
      <c r="F74" s="7" t="s">
        <v>297</v>
      </c>
      <c r="G74" s="7" t="s">
        <v>331</v>
      </c>
      <c r="H74" s="7" t="s">
        <v>115</v>
      </c>
      <c r="I74" s="7" t="s">
        <v>316</v>
      </c>
      <c r="J74" s="7" t="s">
        <v>411</v>
      </c>
      <c r="K74" s="7" t="s">
        <v>442</v>
      </c>
      <c r="L74" s="7" t="s">
        <v>1075</v>
      </c>
      <c r="M74" s="7" t="s">
        <v>293</v>
      </c>
      <c r="N74" s="7" t="s">
        <v>304</v>
      </c>
      <c r="O74" s="7" t="s">
        <v>195</v>
      </c>
      <c r="P74" s="7" t="s">
        <v>17</v>
      </c>
      <c r="Q74" s="7" t="s">
        <v>305</v>
      </c>
      <c r="R74" s="7" t="s">
        <v>896</v>
      </c>
    </row>
    <row r="75" spans="1:18">
      <c r="A75" s="7" t="s">
        <v>1076</v>
      </c>
      <c r="B75" s="7" t="s">
        <v>902</v>
      </c>
      <c r="C75" s="7" t="s">
        <v>898</v>
      </c>
      <c r="D75" s="7" t="s">
        <v>1077</v>
      </c>
      <c r="E75" s="7" t="s">
        <v>281</v>
      </c>
      <c r="F75" s="7" t="s">
        <v>269</v>
      </c>
      <c r="G75" s="7" t="s">
        <v>363</v>
      </c>
      <c r="H75" s="7" t="s">
        <v>115</v>
      </c>
      <c r="I75" s="7" t="s">
        <v>258</v>
      </c>
      <c r="J75" s="7" t="s">
        <v>529</v>
      </c>
      <c r="K75" s="7" t="s">
        <v>1078</v>
      </c>
      <c r="L75" s="7" t="s">
        <v>469</v>
      </c>
      <c r="M75" s="7" t="s">
        <v>275</v>
      </c>
      <c r="N75" s="7" t="s">
        <v>276</v>
      </c>
      <c r="O75" s="7" t="s">
        <v>195</v>
      </c>
      <c r="P75" s="7" t="s">
        <v>17</v>
      </c>
      <c r="Q75" s="7" t="s">
        <v>318</v>
      </c>
      <c r="R75" s="7" t="s">
        <v>896</v>
      </c>
    </row>
    <row r="76" spans="1:18">
      <c r="A76" s="7" t="s">
        <v>1079</v>
      </c>
      <c r="B76" s="7" t="s">
        <v>914</v>
      </c>
      <c r="C76" s="7" t="s">
        <v>407</v>
      </c>
      <c r="D76" s="7" t="s">
        <v>402</v>
      </c>
      <c r="E76" s="7" t="s">
        <v>339</v>
      </c>
      <c r="F76" s="7" t="s">
        <v>256</v>
      </c>
      <c r="G76" s="7" t="s">
        <v>403</v>
      </c>
      <c r="H76" s="7" t="s">
        <v>115</v>
      </c>
      <c r="I76" s="7" t="s">
        <v>316</v>
      </c>
      <c r="J76" s="7" t="s">
        <v>341</v>
      </c>
      <c r="K76" s="7" t="s">
        <v>643</v>
      </c>
      <c r="L76" s="7" t="s">
        <v>1080</v>
      </c>
      <c r="M76" s="7" t="s">
        <v>293</v>
      </c>
      <c r="N76" s="7" t="s">
        <v>261</v>
      </c>
      <c r="O76" s="7" t="s">
        <v>195</v>
      </c>
      <c r="P76" s="7" t="s">
        <v>14</v>
      </c>
      <c r="Q76" s="7" t="s">
        <v>318</v>
      </c>
      <c r="R76" s="7" t="s">
        <v>896</v>
      </c>
    </row>
    <row r="77" spans="1:18">
      <c r="A77" s="7" t="s">
        <v>1081</v>
      </c>
      <c r="B77" s="7" t="s">
        <v>960</v>
      </c>
      <c r="C77" s="7" t="s">
        <v>287</v>
      </c>
      <c r="D77" s="7" t="s">
        <v>1060</v>
      </c>
      <c r="E77" s="7" t="s">
        <v>281</v>
      </c>
      <c r="F77" s="7" t="s">
        <v>282</v>
      </c>
      <c r="G77" s="7" t="s">
        <v>283</v>
      </c>
      <c r="H77" s="7" t="s">
        <v>122</v>
      </c>
      <c r="I77" s="7" t="s">
        <v>271</v>
      </c>
      <c r="J77" s="7" t="s">
        <v>529</v>
      </c>
      <c r="K77" s="7"/>
      <c r="L77" s="7"/>
      <c r="M77" s="7" t="s">
        <v>260</v>
      </c>
      <c r="N77" s="7" t="s">
        <v>284</v>
      </c>
      <c r="O77" s="7" t="s">
        <v>169</v>
      </c>
      <c r="P77" s="7"/>
      <c r="Q77" s="7" t="s">
        <v>318</v>
      </c>
      <c r="R77" s="7" t="s">
        <v>896</v>
      </c>
    </row>
    <row r="78" spans="1:18">
      <c r="A78" s="7" t="s">
        <v>1082</v>
      </c>
      <c r="B78" s="7" t="s">
        <v>933</v>
      </c>
      <c r="C78" s="7" t="s">
        <v>473</v>
      </c>
      <c r="D78" s="7" t="s">
        <v>1083</v>
      </c>
      <c r="E78" s="7" t="s">
        <v>281</v>
      </c>
      <c r="F78" s="7" t="s">
        <v>256</v>
      </c>
      <c r="G78" s="7" t="s">
        <v>429</v>
      </c>
      <c r="H78" s="7" t="s">
        <v>115</v>
      </c>
      <c r="I78" s="7" t="s">
        <v>316</v>
      </c>
      <c r="J78" s="7" t="s">
        <v>332</v>
      </c>
      <c r="K78" s="7" t="s">
        <v>373</v>
      </c>
      <c r="L78" s="7" t="s">
        <v>1084</v>
      </c>
      <c r="M78" s="7" t="s">
        <v>303</v>
      </c>
      <c r="N78" s="7" t="s">
        <v>261</v>
      </c>
      <c r="O78" s="7" t="s">
        <v>195</v>
      </c>
      <c r="P78" s="7" t="s">
        <v>14</v>
      </c>
      <c r="Q78" s="7" t="s">
        <v>326</v>
      </c>
      <c r="R78" s="7" t="s">
        <v>896</v>
      </c>
    </row>
    <row r="79" spans="1:18">
      <c r="A79" s="7" t="s">
        <v>1085</v>
      </c>
      <c r="B79" s="7" t="s">
        <v>933</v>
      </c>
      <c r="C79" s="7" t="s">
        <v>606</v>
      </c>
      <c r="D79" s="7" t="s">
        <v>820</v>
      </c>
      <c r="E79" s="7" t="s">
        <v>268</v>
      </c>
      <c r="F79" s="7" t="s">
        <v>269</v>
      </c>
      <c r="G79" s="7" t="s">
        <v>435</v>
      </c>
      <c r="H79" s="7" t="s">
        <v>466</v>
      </c>
      <c r="I79" s="7" t="s">
        <v>258</v>
      </c>
      <c r="J79" s="7" t="s">
        <v>358</v>
      </c>
      <c r="K79" s="7"/>
      <c r="L79" s="7"/>
      <c r="M79" s="7" t="s">
        <v>260</v>
      </c>
      <c r="N79" s="7" t="s">
        <v>276</v>
      </c>
      <c r="O79" s="7" t="s">
        <v>631</v>
      </c>
      <c r="P79" s="7"/>
      <c r="Q79" s="7" t="s">
        <v>326</v>
      </c>
      <c r="R79" s="7" t="s">
        <v>896</v>
      </c>
    </row>
    <row r="80" spans="1:18">
      <c r="A80" s="7" t="s">
        <v>1086</v>
      </c>
      <c r="B80" s="7" t="s">
        <v>1087</v>
      </c>
      <c r="C80" s="7" t="s">
        <v>962</v>
      </c>
      <c r="D80" s="7" t="s">
        <v>1088</v>
      </c>
      <c r="E80" s="7" t="s">
        <v>281</v>
      </c>
      <c r="F80" s="7" t="s">
        <v>256</v>
      </c>
      <c r="G80" s="7" t="s">
        <v>429</v>
      </c>
      <c r="H80" s="7" t="s">
        <v>115</v>
      </c>
      <c r="I80" s="7" t="s">
        <v>258</v>
      </c>
      <c r="J80" s="7" t="s">
        <v>469</v>
      </c>
      <c r="K80" s="7" t="s">
        <v>1089</v>
      </c>
      <c r="L80" s="7" t="s">
        <v>1090</v>
      </c>
      <c r="M80" s="7" t="s">
        <v>303</v>
      </c>
      <c r="N80" s="7" t="s">
        <v>261</v>
      </c>
      <c r="O80" s="7" t="s">
        <v>195</v>
      </c>
      <c r="P80" s="7" t="s">
        <v>8</v>
      </c>
      <c r="Q80" s="7" t="s">
        <v>318</v>
      </c>
      <c r="R80" s="7" t="s">
        <v>896</v>
      </c>
    </row>
    <row r="81" spans="1:18">
      <c r="A81" s="7" t="s">
        <v>1091</v>
      </c>
      <c r="B81" s="7" t="s">
        <v>903</v>
      </c>
      <c r="C81" s="7" t="s">
        <v>621</v>
      </c>
      <c r="D81" s="7" t="s">
        <v>254</v>
      </c>
      <c r="E81" s="7" t="s">
        <v>255</v>
      </c>
      <c r="F81" s="7" t="s">
        <v>282</v>
      </c>
      <c r="G81" s="7" t="s">
        <v>424</v>
      </c>
      <c r="H81" s="7" t="s">
        <v>127</v>
      </c>
      <c r="I81" s="7" t="s">
        <v>258</v>
      </c>
      <c r="J81" s="7" t="s">
        <v>469</v>
      </c>
      <c r="K81" s="7"/>
      <c r="L81" s="7"/>
      <c r="M81" s="7" t="s">
        <v>260</v>
      </c>
      <c r="N81" s="7" t="s">
        <v>284</v>
      </c>
      <c r="O81" s="7" t="s">
        <v>195</v>
      </c>
      <c r="P81" s="7"/>
      <c r="Q81" s="7" t="s">
        <v>305</v>
      </c>
      <c r="R81" s="7" t="s">
        <v>896</v>
      </c>
    </row>
    <row r="82" spans="1:18">
      <c r="A82" s="7" t="s">
        <v>1092</v>
      </c>
      <c r="B82" s="7" t="s">
        <v>902</v>
      </c>
      <c r="C82" s="7" t="s">
        <v>954</v>
      </c>
      <c r="D82" s="7" t="s">
        <v>344</v>
      </c>
      <c r="E82" s="7" t="s">
        <v>255</v>
      </c>
      <c r="F82" s="7" t="s">
        <v>269</v>
      </c>
      <c r="G82" s="7" t="s">
        <v>391</v>
      </c>
      <c r="H82" s="7" t="s">
        <v>122</v>
      </c>
      <c r="I82" s="7" t="s">
        <v>299</v>
      </c>
      <c r="J82" s="7" t="s">
        <v>525</v>
      </c>
      <c r="K82" s="7"/>
      <c r="L82" s="7"/>
      <c r="M82" s="7" t="s">
        <v>260</v>
      </c>
      <c r="N82" s="7" t="s">
        <v>276</v>
      </c>
      <c r="O82" s="7" t="s">
        <v>169</v>
      </c>
      <c r="P82" s="7"/>
      <c r="Q82" s="7" t="s">
        <v>262</v>
      </c>
      <c r="R82" s="7" t="s">
        <v>896</v>
      </c>
    </row>
    <row r="83" spans="1:18">
      <c r="A83" s="7" t="s">
        <v>1093</v>
      </c>
      <c r="B83" s="7" t="s">
        <v>920</v>
      </c>
      <c r="C83" s="7" t="s">
        <v>464</v>
      </c>
      <c r="D83" s="7" t="s">
        <v>857</v>
      </c>
      <c r="E83" s="7" t="s">
        <v>255</v>
      </c>
      <c r="F83" s="7" t="s">
        <v>256</v>
      </c>
      <c r="G83" s="7" t="s">
        <v>398</v>
      </c>
      <c r="H83" s="7" t="s">
        <v>115</v>
      </c>
      <c r="I83" s="7" t="s">
        <v>316</v>
      </c>
      <c r="J83" s="7" t="s">
        <v>469</v>
      </c>
      <c r="K83" s="7" t="s">
        <v>471</v>
      </c>
      <c r="L83" s="7" t="s">
        <v>1090</v>
      </c>
      <c r="M83" s="7" t="s">
        <v>335</v>
      </c>
      <c r="N83" s="7" t="s">
        <v>261</v>
      </c>
      <c r="O83" s="7" t="s">
        <v>195</v>
      </c>
      <c r="P83" s="7" t="s">
        <v>14</v>
      </c>
      <c r="Q83" s="7" t="s">
        <v>262</v>
      </c>
      <c r="R83" s="7" t="s">
        <v>896</v>
      </c>
    </row>
    <row r="84" spans="1:18">
      <c r="A84" s="7" t="s">
        <v>1094</v>
      </c>
      <c r="B84" s="7" t="s">
        <v>981</v>
      </c>
      <c r="C84" s="7" t="s">
        <v>328</v>
      </c>
      <c r="D84" s="7" t="s">
        <v>731</v>
      </c>
      <c r="E84" s="7" t="s">
        <v>255</v>
      </c>
      <c r="F84" s="7"/>
      <c r="G84" s="7" t="s">
        <v>542</v>
      </c>
      <c r="H84" s="7" t="s">
        <v>115</v>
      </c>
      <c r="I84" s="7" t="s">
        <v>258</v>
      </c>
      <c r="J84" s="7" t="s">
        <v>447</v>
      </c>
      <c r="K84" s="7" t="s">
        <v>1095</v>
      </c>
      <c r="L84" s="7" t="s">
        <v>965</v>
      </c>
      <c r="M84" s="7" t="s">
        <v>293</v>
      </c>
      <c r="N84" s="7" t="s">
        <v>276</v>
      </c>
      <c r="O84" s="7" t="s">
        <v>195</v>
      </c>
      <c r="P84" s="7" t="s">
        <v>17</v>
      </c>
      <c r="Q84" s="7" t="s">
        <v>262</v>
      </c>
      <c r="R84" s="7" t="s">
        <v>896</v>
      </c>
    </row>
    <row r="85" spans="1:18">
      <c r="A85" s="7" t="s">
        <v>1096</v>
      </c>
      <c r="B85" s="7" t="s">
        <v>957</v>
      </c>
      <c r="C85" s="7" t="s">
        <v>396</v>
      </c>
      <c r="D85" s="7" t="s">
        <v>1097</v>
      </c>
      <c r="E85" s="7" t="s">
        <v>339</v>
      </c>
      <c r="F85" s="7" t="s">
        <v>297</v>
      </c>
      <c r="G85" s="7" t="s">
        <v>780</v>
      </c>
      <c r="H85" s="7" t="s">
        <v>115</v>
      </c>
      <c r="I85" s="7" t="s">
        <v>299</v>
      </c>
      <c r="J85" s="7" t="s">
        <v>469</v>
      </c>
      <c r="K85" s="7" t="s">
        <v>1098</v>
      </c>
      <c r="L85" s="7" t="s">
        <v>1099</v>
      </c>
      <c r="M85" s="7" t="s">
        <v>303</v>
      </c>
      <c r="N85" s="7" t="s">
        <v>304</v>
      </c>
      <c r="O85" s="7" t="s">
        <v>195</v>
      </c>
      <c r="P85" s="7" t="s">
        <v>8</v>
      </c>
      <c r="Q85" s="7" t="s">
        <v>326</v>
      </c>
      <c r="R85" s="7" t="s">
        <v>896</v>
      </c>
    </row>
    <row r="86" spans="1:18">
      <c r="A86" s="7" t="s">
        <v>1100</v>
      </c>
      <c r="B86" s="7" t="s">
        <v>898</v>
      </c>
      <c r="C86" s="7" t="s">
        <v>474</v>
      </c>
      <c r="D86" s="7" t="s">
        <v>372</v>
      </c>
      <c r="E86" s="7" t="s">
        <v>268</v>
      </c>
      <c r="F86" s="7" t="s">
        <v>409</v>
      </c>
      <c r="G86" s="7" t="s">
        <v>587</v>
      </c>
      <c r="H86" s="7" t="s">
        <v>115</v>
      </c>
      <c r="I86" s="7" t="s">
        <v>271</v>
      </c>
      <c r="J86" s="7" t="s">
        <v>392</v>
      </c>
      <c r="K86" s="7" t="s">
        <v>1101</v>
      </c>
      <c r="L86" s="7" t="s">
        <v>456</v>
      </c>
      <c r="M86" s="7" t="s">
        <v>293</v>
      </c>
      <c r="N86" s="7" t="s">
        <v>412</v>
      </c>
      <c r="O86" s="7" t="s">
        <v>195</v>
      </c>
      <c r="P86" s="7" t="s">
        <v>8</v>
      </c>
      <c r="Q86" s="7" t="s">
        <v>262</v>
      </c>
      <c r="R86" s="7" t="s">
        <v>896</v>
      </c>
    </row>
    <row r="87" spans="1:18">
      <c r="A87" s="7" t="s">
        <v>1102</v>
      </c>
      <c r="B87" s="7" t="s">
        <v>914</v>
      </c>
      <c r="C87" s="7" t="s">
        <v>401</v>
      </c>
      <c r="D87" s="7" t="s">
        <v>1103</v>
      </c>
      <c r="E87" s="7" t="s">
        <v>281</v>
      </c>
      <c r="F87" s="7" t="s">
        <v>282</v>
      </c>
      <c r="G87" s="7" t="s">
        <v>283</v>
      </c>
      <c r="H87" s="7" t="s">
        <v>115</v>
      </c>
      <c r="I87" s="7" t="s">
        <v>316</v>
      </c>
      <c r="J87" s="7" t="s">
        <v>525</v>
      </c>
      <c r="K87" s="7" t="s">
        <v>1104</v>
      </c>
      <c r="L87" s="7" t="s">
        <v>1105</v>
      </c>
      <c r="M87" s="7" t="s">
        <v>275</v>
      </c>
      <c r="N87" s="7" t="s">
        <v>284</v>
      </c>
      <c r="O87" s="7" t="s">
        <v>195</v>
      </c>
      <c r="P87" s="7" t="s">
        <v>17</v>
      </c>
      <c r="Q87" s="7" t="s">
        <v>326</v>
      </c>
      <c r="R87" s="7" t="s">
        <v>896</v>
      </c>
    </row>
    <row r="88" spans="1:18">
      <c r="A88" s="7" t="s">
        <v>1106</v>
      </c>
      <c r="B88" s="7" t="s">
        <v>913</v>
      </c>
      <c r="C88" s="7" t="s">
        <v>948</v>
      </c>
      <c r="D88" s="7" t="s">
        <v>1022</v>
      </c>
      <c r="E88" s="7" t="s">
        <v>281</v>
      </c>
      <c r="F88" s="7" t="s">
        <v>269</v>
      </c>
      <c r="G88" s="7" t="s">
        <v>363</v>
      </c>
      <c r="H88" s="7" t="s">
        <v>115</v>
      </c>
      <c r="I88" s="7" t="s">
        <v>299</v>
      </c>
      <c r="J88" s="7" t="s">
        <v>469</v>
      </c>
      <c r="K88" s="7" t="s">
        <v>470</v>
      </c>
      <c r="L88" s="7" t="s">
        <v>1107</v>
      </c>
      <c r="M88" s="7" t="s">
        <v>303</v>
      </c>
      <c r="N88" s="7" t="s">
        <v>276</v>
      </c>
      <c r="O88" s="7" t="s">
        <v>195</v>
      </c>
      <c r="P88" s="7" t="s">
        <v>664</v>
      </c>
      <c r="Q88" s="7" t="s">
        <v>262</v>
      </c>
      <c r="R88" s="7" t="s">
        <v>896</v>
      </c>
    </row>
    <row r="89" spans="1:18">
      <c r="A89" s="7" t="s">
        <v>1108</v>
      </c>
      <c r="B89" s="7" t="s">
        <v>933</v>
      </c>
      <c r="C89" s="7" t="s">
        <v>265</v>
      </c>
      <c r="D89" s="7" t="s">
        <v>978</v>
      </c>
      <c r="E89" s="7" t="s">
        <v>268</v>
      </c>
      <c r="F89" s="7" t="s">
        <v>256</v>
      </c>
      <c r="G89" s="7" t="s">
        <v>886</v>
      </c>
      <c r="H89" s="7" t="s">
        <v>466</v>
      </c>
      <c r="I89" s="7" t="s">
        <v>258</v>
      </c>
      <c r="J89" s="7" t="s">
        <v>404</v>
      </c>
      <c r="K89" s="7"/>
      <c r="L89" s="7"/>
      <c r="M89" s="7" t="s">
        <v>260</v>
      </c>
      <c r="N89" s="7" t="s">
        <v>261</v>
      </c>
      <c r="O89" s="7" t="s">
        <v>195</v>
      </c>
      <c r="P89" s="7"/>
      <c r="Q89" s="7" t="s">
        <v>305</v>
      </c>
      <c r="R89" s="7" t="s">
        <v>896</v>
      </c>
    </row>
    <row r="90" spans="1:18">
      <c r="A90" s="7" t="s">
        <v>1109</v>
      </c>
      <c r="B90" s="7" t="s">
        <v>908</v>
      </c>
      <c r="C90" s="7" t="s">
        <v>401</v>
      </c>
      <c r="D90" s="7" t="s">
        <v>1110</v>
      </c>
      <c r="E90" s="7" t="s">
        <v>268</v>
      </c>
      <c r="F90" s="7" t="s">
        <v>256</v>
      </c>
      <c r="G90" s="7" t="s">
        <v>886</v>
      </c>
      <c r="H90" s="7" t="s">
        <v>115</v>
      </c>
      <c r="I90" s="7" t="s">
        <v>316</v>
      </c>
      <c r="J90" s="7" t="s">
        <v>341</v>
      </c>
      <c r="K90" s="7" t="s">
        <v>1111</v>
      </c>
      <c r="L90" s="7" t="s">
        <v>671</v>
      </c>
      <c r="M90" s="7" t="s">
        <v>303</v>
      </c>
      <c r="N90" s="7" t="s">
        <v>261</v>
      </c>
      <c r="O90" s="7" t="s">
        <v>169</v>
      </c>
      <c r="P90" s="7" t="s">
        <v>14</v>
      </c>
      <c r="Q90" s="7" t="s">
        <v>305</v>
      </c>
      <c r="R90" s="7" t="s">
        <v>896</v>
      </c>
    </row>
    <row r="91" spans="1:18">
      <c r="A91" s="7" t="s">
        <v>1112</v>
      </c>
      <c r="B91" s="7" t="s">
        <v>957</v>
      </c>
      <c r="C91" s="7" t="s">
        <v>356</v>
      </c>
      <c r="D91" s="7" t="s">
        <v>386</v>
      </c>
      <c r="E91" s="7" t="s">
        <v>268</v>
      </c>
      <c r="F91" s="7" t="s">
        <v>269</v>
      </c>
      <c r="G91" s="7" t="s">
        <v>270</v>
      </c>
      <c r="H91" s="7" t="s">
        <v>115</v>
      </c>
      <c r="I91" s="7" t="s">
        <v>271</v>
      </c>
      <c r="J91" s="7" t="s">
        <v>399</v>
      </c>
      <c r="K91" s="7" t="s">
        <v>1113</v>
      </c>
      <c r="L91" s="7" t="s">
        <v>1114</v>
      </c>
      <c r="M91" s="7" t="s">
        <v>303</v>
      </c>
      <c r="N91" s="7" t="s">
        <v>276</v>
      </c>
      <c r="O91" s="7" t="s">
        <v>169</v>
      </c>
      <c r="P91" s="7" t="s">
        <v>14</v>
      </c>
      <c r="Q91" s="7" t="s">
        <v>305</v>
      </c>
      <c r="R91" s="7" t="s">
        <v>896</v>
      </c>
    </row>
    <row r="92" spans="1:18">
      <c r="A92" s="7" t="s">
        <v>1115</v>
      </c>
      <c r="B92" s="7" t="s">
        <v>1003</v>
      </c>
      <c r="C92" s="7" t="s">
        <v>940</v>
      </c>
      <c r="D92" s="7" t="s">
        <v>1116</v>
      </c>
      <c r="E92" s="7" t="s">
        <v>339</v>
      </c>
      <c r="F92" s="7" t="s">
        <v>297</v>
      </c>
      <c r="G92" s="7" t="s">
        <v>780</v>
      </c>
      <c r="H92" s="7" t="s">
        <v>127</v>
      </c>
      <c r="I92" s="7" t="s">
        <v>299</v>
      </c>
      <c r="J92" s="7" t="s">
        <v>358</v>
      </c>
      <c r="K92" s="7"/>
      <c r="L92" s="7"/>
      <c r="M92" s="7" t="s">
        <v>260</v>
      </c>
      <c r="N92" s="7" t="s">
        <v>304</v>
      </c>
      <c r="O92" s="7" t="s">
        <v>169</v>
      </c>
      <c r="P92" s="7"/>
      <c r="Q92" s="7" t="s">
        <v>318</v>
      </c>
      <c r="R92" s="7" t="s">
        <v>896</v>
      </c>
    </row>
    <row r="93" spans="1:18">
      <c r="A93" s="7" t="s">
        <v>1117</v>
      </c>
      <c r="B93" s="7" t="s">
        <v>914</v>
      </c>
      <c r="C93" s="7" t="s">
        <v>633</v>
      </c>
      <c r="D93" s="7" t="s">
        <v>315</v>
      </c>
      <c r="E93" s="7" t="s">
        <v>268</v>
      </c>
      <c r="F93" s="7" t="s">
        <v>409</v>
      </c>
      <c r="G93" s="7" t="s">
        <v>587</v>
      </c>
      <c r="H93" s="7" t="s">
        <v>115</v>
      </c>
      <c r="I93" s="7" t="s">
        <v>258</v>
      </c>
      <c r="J93" s="7" t="s">
        <v>411</v>
      </c>
      <c r="K93" s="7" t="s">
        <v>1118</v>
      </c>
      <c r="L93" s="7" t="s">
        <v>1119</v>
      </c>
      <c r="M93" s="7" t="s">
        <v>303</v>
      </c>
      <c r="N93" s="7" t="s">
        <v>412</v>
      </c>
      <c r="O93" s="7" t="s">
        <v>195</v>
      </c>
      <c r="P93" s="7" t="s">
        <v>17</v>
      </c>
      <c r="Q93" s="7" t="s">
        <v>318</v>
      </c>
      <c r="R93" s="7" t="s">
        <v>896</v>
      </c>
    </row>
    <row r="94" spans="1:18">
      <c r="A94" s="7" t="s">
        <v>1120</v>
      </c>
      <c r="B94" s="7" t="s">
        <v>1087</v>
      </c>
      <c r="C94" s="7" t="s">
        <v>936</v>
      </c>
      <c r="D94" s="7" t="s">
        <v>408</v>
      </c>
      <c r="E94" s="7" t="s">
        <v>339</v>
      </c>
      <c r="F94" s="7" t="s">
        <v>256</v>
      </c>
      <c r="G94" s="7" t="s">
        <v>403</v>
      </c>
      <c r="H94" s="7" t="s">
        <v>115</v>
      </c>
      <c r="I94" s="7" t="s">
        <v>299</v>
      </c>
      <c r="J94" s="7" t="s">
        <v>341</v>
      </c>
      <c r="K94" s="7" t="s">
        <v>1121</v>
      </c>
      <c r="L94" s="7" t="s">
        <v>644</v>
      </c>
      <c r="M94" s="7" t="s">
        <v>686</v>
      </c>
      <c r="N94" s="7" t="s">
        <v>261</v>
      </c>
      <c r="O94" s="7" t="s">
        <v>169</v>
      </c>
      <c r="P94" s="7" t="s">
        <v>8</v>
      </c>
      <c r="Q94" s="7" t="s">
        <v>305</v>
      </c>
      <c r="R94" s="7" t="s">
        <v>896</v>
      </c>
    </row>
    <row r="95" spans="1:18">
      <c r="A95" s="7" t="s">
        <v>1122</v>
      </c>
      <c r="B95" s="7" t="s">
        <v>974</v>
      </c>
      <c r="C95" s="7" t="s">
        <v>561</v>
      </c>
      <c r="D95" s="7" t="s">
        <v>1123</v>
      </c>
      <c r="E95" s="7" t="s">
        <v>255</v>
      </c>
      <c r="F95" s="7" t="s">
        <v>297</v>
      </c>
      <c r="G95" s="7" t="s">
        <v>331</v>
      </c>
      <c r="H95" s="7" t="s">
        <v>122</v>
      </c>
      <c r="I95" s="7" t="s">
        <v>316</v>
      </c>
      <c r="J95" s="7" t="s">
        <v>346</v>
      </c>
      <c r="K95" s="7"/>
      <c r="L95" s="7"/>
      <c r="M95" s="7" t="s">
        <v>260</v>
      </c>
      <c r="N95" s="7" t="s">
        <v>304</v>
      </c>
      <c r="O95" s="7" t="s">
        <v>195</v>
      </c>
      <c r="P95" s="7"/>
      <c r="Q95" s="7" t="s">
        <v>318</v>
      </c>
      <c r="R95" s="7" t="s">
        <v>896</v>
      </c>
    </row>
    <row r="96" spans="1:18">
      <c r="A96" s="7" t="s">
        <v>1124</v>
      </c>
      <c r="B96" s="7" t="s">
        <v>1125</v>
      </c>
      <c r="C96" s="7" t="s">
        <v>388</v>
      </c>
      <c r="D96" s="7" t="s">
        <v>1126</v>
      </c>
      <c r="E96" s="7" t="s">
        <v>255</v>
      </c>
      <c r="F96" s="7" t="s">
        <v>409</v>
      </c>
      <c r="G96" s="7" t="s">
        <v>648</v>
      </c>
      <c r="H96" s="7" t="s">
        <v>115</v>
      </c>
      <c r="I96" s="7" t="s">
        <v>316</v>
      </c>
      <c r="J96" s="7" t="s">
        <v>332</v>
      </c>
      <c r="K96" s="7" t="s">
        <v>918</v>
      </c>
      <c r="L96" s="7" t="s">
        <v>333</v>
      </c>
      <c r="M96" s="7" t="s">
        <v>275</v>
      </c>
      <c r="N96" s="7" t="s">
        <v>412</v>
      </c>
      <c r="O96" s="7" t="s">
        <v>195</v>
      </c>
      <c r="P96" s="7" t="s">
        <v>14</v>
      </c>
      <c r="Q96" s="7" t="s">
        <v>318</v>
      </c>
      <c r="R96" s="7" t="s">
        <v>896</v>
      </c>
    </row>
    <row r="97" spans="1:18">
      <c r="A97" s="7" t="s">
        <v>1127</v>
      </c>
      <c r="B97" s="7" t="s">
        <v>945</v>
      </c>
      <c r="C97" s="7" t="s">
        <v>585</v>
      </c>
      <c r="D97" s="7" t="s">
        <v>779</v>
      </c>
      <c r="E97" s="7" t="s">
        <v>268</v>
      </c>
      <c r="F97" s="7" t="s">
        <v>269</v>
      </c>
      <c r="G97" s="7" t="s">
        <v>435</v>
      </c>
      <c r="H97" s="7" t="s">
        <v>115</v>
      </c>
      <c r="I97" s="7" t="s">
        <v>271</v>
      </c>
      <c r="J97" s="7" t="s">
        <v>358</v>
      </c>
      <c r="K97" s="7" t="s">
        <v>497</v>
      </c>
      <c r="L97" s="7" t="s">
        <v>1128</v>
      </c>
      <c r="M97" s="7" t="s">
        <v>303</v>
      </c>
      <c r="N97" s="7" t="s">
        <v>276</v>
      </c>
      <c r="O97" s="7" t="s">
        <v>195</v>
      </c>
      <c r="P97" s="7" t="s">
        <v>17</v>
      </c>
      <c r="Q97" s="7" t="s">
        <v>285</v>
      </c>
      <c r="R97" s="7" t="s">
        <v>896</v>
      </c>
    </row>
    <row r="98" spans="1:18">
      <c r="A98" s="7" t="s">
        <v>1129</v>
      </c>
      <c r="B98" s="7" t="s">
        <v>908</v>
      </c>
      <c r="C98" s="7" t="s">
        <v>960</v>
      </c>
      <c r="D98" s="7" t="s">
        <v>1130</v>
      </c>
      <c r="E98" s="7" t="s">
        <v>339</v>
      </c>
      <c r="F98" s="7" t="s">
        <v>409</v>
      </c>
      <c r="G98" s="7" t="s">
        <v>476</v>
      </c>
      <c r="H98" s="7" t="s">
        <v>451</v>
      </c>
      <c r="I98" s="7" t="s">
        <v>271</v>
      </c>
      <c r="J98" s="7" t="s">
        <v>259</v>
      </c>
      <c r="K98" s="7" t="s">
        <v>311</v>
      </c>
      <c r="L98" s="7" t="s">
        <v>1131</v>
      </c>
      <c r="M98" s="7" t="s">
        <v>293</v>
      </c>
      <c r="N98" s="7" t="s">
        <v>412</v>
      </c>
      <c r="O98" s="7" t="s">
        <v>195</v>
      </c>
      <c r="P98" s="7" t="s">
        <v>14</v>
      </c>
      <c r="Q98" s="7" t="s">
        <v>326</v>
      </c>
      <c r="R98" s="7" t="s">
        <v>896</v>
      </c>
    </row>
    <row r="99" spans="1:18">
      <c r="A99" s="7" t="s">
        <v>1132</v>
      </c>
      <c r="B99" s="7" t="s">
        <v>898</v>
      </c>
      <c r="C99" s="7" t="s">
        <v>646</v>
      </c>
      <c r="D99" s="7" t="s">
        <v>930</v>
      </c>
      <c r="E99" s="7" t="s">
        <v>281</v>
      </c>
      <c r="F99" s="7" t="s">
        <v>256</v>
      </c>
      <c r="G99" s="7" t="s">
        <v>429</v>
      </c>
      <c r="H99" s="7" t="s">
        <v>115</v>
      </c>
      <c r="I99" s="7" t="s">
        <v>1133</v>
      </c>
      <c r="J99" s="7" t="s">
        <v>411</v>
      </c>
      <c r="K99" s="7" t="s">
        <v>1134</v>
      </c>
      <c r="L99" s="7" t="s">
        <v>536</v>
      </c>
      <c r="M99" s="7" t="s">
        <v>275</v>
      </c>
      <c r="N99" s="7" t="s">
        <v>261</v>
      </c>
      <c r="O99" s="7" t="s">
        <v>195</v>
      </c>
      <c r="P99" s="7" t="s">
        <v>14</v>
      </c>
      <c r="Q99" s="7" t="s">
        <v>305</v>
      </c>
      <c r="R99" s="7" t="s">
        <v>896</v>
      </c>
    </row>
    <row r="100" spans="1:18">
      <c r="A100" s="7" t="s">
        <v>1135</v>
      </c>
      <c r="B100" s="7" t="s">
        <v>903</v>
      </c>
      <c r="C100" s="7" t="s">
        <v>401</v>
      </c>
      <c r="D100" s="7" t="s">
        <v>1136</v>
      </c>
      <c r="E100" s="7" t="s">
        <v>255</v>
      </c>
      <c r="F100" s="7" t="s">
        <v>269</v>
      </c>
      <c r="G100" s="7" t="s">
        <v>542</v>
      </c>
      <c r="H100" s="7" t="s">
        <v>127</v>
      </c>
      <c r="I100" s="7" t="s">
        <v>258</v>
      </c>
      <c r="J100" s="7" t="s">
        <v>525</v>
      </c>
      <c r="K100" s="7"/>
      <c r="L100" s="7"/>
      <c r="M100" s="7" t="s">
        <v>260</v>
      </c>
      <c r="N100" s="7" t="s">
        <v>276</v>
      </c>
      <c r="O100" s="7" t="s">
        <v>195</v>
      </c>
      <c r="P100" s="7"/>
      <c r="Q100" s="7" t="s">
        <v>285</v>
      </c>
      <c r="R100" s="7" t="s">
        <v>896</v>
      </c>
    </row>
    <row r="101" spans="1:18">
      <c r="A101" s="7" t="s">
        <v>1137</v>
      </c>
      <c r="B101" s="7" t="s">
        <v>957</v>
      </c>
      <c r="C101" s="7" t="s">
        <v>307</v>
      </c>
      <c r="D101" s="7" t="s">
        <v>1138</v>
      </c>
      <c r="E101" s="7" t="s">
        <v>268</v>
      </c>
      <c r="F101" s="7" t="s">
        <v>297</v>
      </c>
      <c r="G101" s="7" t="s">
        <v>628</v>
      </c>
      <c r="H101" s="7" t="s">
        <v>115</v>
      </c>
      <c r="I101" s="7" t="s">
        <v>316</v>
      </c>
      <c r="J101" s="7" t="s">
        <v>341</v>
      </c>
      <c r="K101" s="7" t="s">
        <v>1139</v>
      </c>
      <c r="L101" s="7" t="s">
        <v>1140</v>
      </c>
      <c r="M101" s="7" t="s">
        <v>293</v>
      </c>
      <c r="N101" s="7" t="s">
        <v>304</v>
      </c>
      <c r="O101" s="7" t="s">
        <v>195</v>
      </c>
      <c r="P101" s="7" t="s">
        <v>8</v>
      </c>
      <c r="Q101" s="7" t="s">
        <v>285</v>
      </c>
      <c r="R101" s="7" t="s">
        <v>896</v>
      </c>
    </row>
    <row r="102" spans="1:18">
      <c r="A102" s="7" t="s">
        <v>1141</v>
      </c>
      <c r="B102" s="7" t="s">
        <v>709</v>
      </c>
      <c r="C102" s="7" t="s">
        <v>490</v>
      </c>
      <c r="D102" s="7" t="s">
        <v>594</v>
      </c>
      <c r="E102" s="7" t="s">
        <v>281</v>
      </c>
      <c r="F102" s="7" t="s">
        <v>269</v>
      </c>
      <c r="G102" s="7" t="s">
        <v>322</v>
      </c>
      <c r="H102" s="7" t="s">
        <v>115</v>
      </c>
      <c r="I102" s="7" t="s">
        <v>316</v>
      </c>
      <c r="J102" s="7" t="s">
        <v>399</v>
      </c>
      <c r="K102" s="7" t="s">
        <v>1038</v>
      </c>
      <c r="L102" s="7" t="s">
        <v>1142</v>
      </c>
      <c r="M102" s="7" t="s">
        <v>335</v>
      </c>
      <c r="N102" s="7" t="s">
        <v>276</v>
      </c>
      <c r="O102" s="7" t="s">
        <v>195</v>
      </c>
      <c r="P102" s="7" t="s">
        <v>17</v>
      </c>
      <c r="Q102" s="7" t="s">
        <v>262</v>
      </c>
      <c r="R102" s="7" t="s">
        <v>896</v>
      </c>
    </row>
    <row r="103" spans="1:18">
      <c r="A103" s="7" t="s">
        <v>1143</v>
      </c>
      <c r="B103" s="7" t="s">
        <v>948</v>
      </c>
      <c r="C103" s="7" t="s">
        <v>307</v>
      </c>
      <c r="D103" s="7" t="s">
        <v>1144</v>
      </c>
      <c r="E103" s="7" t="s">
        <v>339</v>
      </c>
      <c r="F103" s="7" t="s">
        <v>256</v>
      </c>
      <c r="G103" s="7" t="s">
        <v>403</v>
      </c>
      <c r="H103" s="7" t="s">
        <v>115</v>
      </c>
      <c r="I103" s="7" t="s">
        <v>316</v>
      </c>
      <c r="J103" s="7" t="s">
        <v>469</v>
      </c>
      <c r="K103" s="7" t="s">
        <v>1145</v>
      </c>
      <c r="L103" s="7" t="s">
        <v>469</v>
      </c>
      <c r="M103" s="7" t="s">
        <v>303</v>
      </c>
      <c r="N103" s="7" t="s">
        <v>261</v>
      </c>
      <c r="O103" s="7" t="s">
        <v>169</v>
      </c>
      <c r="P103" s="7" t="s">
        <v>8</v>
      </c>
      <c r="Q103" s="7" t="s">
        <v>262</v>
      </c>
      <c r="R103" s="7" t="s">
        <v>896</v>
      </c>
    </row>
    <row r="104" spans="1:18">
      <c r="A104" s="7" t="s">
        <v>1146</v>
      </c>
      <c r="B104" s="7" t="s">
        <v>1030</v>
      </c>
      <c r="C104" s="7" t="s">
        <v>936</v>
      </c>
      <c r="D104" s="7" t="s">
        <v>402</v>
      </c>
      <c r="E104" s="7" t="s">
        <v>339</v>
      </c>
      <c r="F104" s="7" t="s">
        <v>409</v>
      </c>
      <c r="G104" s="7" t="s">
        <v>476</v>
      </c>
      <c r="H104" s="7" t="s">
        <v>122</v>
      </c>
      <c r="I104" s="7" t="s">
        <v>316</v>
      </c>
      <c r="J104" s="7" t="s">
        <v>346</v>
      </c>
      <c r="K104" s="7"/>
      <c r="L104" s="7"/>
      <c r="M104" s="7" t="s">
        <v>260</v>
      </c>
      <c r="N104" s="7" t="s">
        <v>412</v>
      </c>
      <c r="O104" s="7" t="s">
        <v>195</v>
      </c>
      <c r="P104" s="7"/>
      <c r="Q104" s="7" t="s">
        <v>305</v>
      </c>
      <c r="R104" s="7" t="s">
        <v>896</v>
      </c>
    </row>
    <row r="105" spans="1:18">
      <c r="A105" s="7" t="s">
        <v>1147</v>
      </c>
      <c r="B105" s="7" t="s">
        <v>902</v>
      </c>
      <c r="C105" s="7" t="s">
        <v>356</v>
      </c>
      <c r="D105" s="7" t="s">
        <v>441</v>
      </c>
      <c r="E105" s="7" t="s">
        <v>339</v>
      </c>
      <c r="F105" s="7" t="s">
        <v>269</v>
      </c>
      <c r="G105" s="7" t="s">
        <v>340</v>
      </c>
      <c r="H105" s="7" t="s">
        <v>115</v>
      </c>
      <c r="I105" s="7" t="s">
        <v>271</v>
      </c>
      <c r="J105" s="7" t="s">
        <v>529</v>
      </c>
      <c r="K105" s="7" t="s">
        <v>1148</v>
      </c>
      <c r="L105" s="7" t="s">
        <v>1149</v>
      </c>
      <c r="M105" s="7" t="s">
        <v>293</v>
      </c>
      <c r="N105" s="7" t="s">
        <v>276</v>
      </c>
      <c r="O105" s="7" t="s">
        <v>169</v>
      </c>
      <c r="P105" s="7" t="s">
        <v>17</v>
      </c>
      <c r="Q105" s="7" t="s">
        <v>305</v>
      </c>
      <c r="R105" s="7" t="s">
        <v>896</v>
      </c>
    </row>
    <row r="106" spans="1:18">
      <c r="A106" s="7" t="s">
        <v>1150</v>
      </c>
      <c r="B106" s="7" t="s">
        <v>894</v>
      </c>
      <c r="C106" s="7" t="s">
        <v>960</v>
      </c>
      <c r="D106" s="7" t="s">
        <v>727</v>
      </c>
      <c r="E106" s="7" t="s">
        <v>339</v>
      </c>
      <c r="F106" s="7" t="s">
        <v>409</v>
      </c>
      <c r="G106" s="7" t="s">
        <v>725</v>
      </c>
      <c r="H106" s="7" t="s">
        <v>115</v>
      </c>
      <c r="I106" s="7" t="s">
        <v>316</v>
      </c>
      <c r="J106" s="7" t="s">
        <v>341</v>
      </c>
      <c r="K106" s="7" t="s">
        <v>928</v>
      </c>
      <c r="L106" s="7" t="s">
        <v>1151</v>
      </c>
      <c r="M106" s="7" t="s">
        <v>335</v>
      </c>
      <c r="N106" s="7" t="s">
        <v>412</v>
      </c>
      <c r="O106" s="7" t="s">
        <v>195</v>
      </c>
      <c r="P106" s="7" t="s">
        <v>14</v>
      </c>
      <c r="Q106" s="7" t="s">
        <v>318</v>
      </c>
      <c r="R106" s="7" t="s">
        <v>896</v>
      </c>
    </row>
    <row r="107" spans="1:18">
      <c r="A107" s="7" t="s">
        <v>1152</v>
      </c>
      <c r="B107" s="7" t="s">
        <v>924</v>
      </c>
      <c r="C107" s="7" t="s">
        <v>401</v>
      </c>
      <c r="D107" s="7" t="s">
        <v>592</v>
      </c>
      <c r="E107" s="7" t="s">
        <v>268</v>
      </c>
      <c r="F107" s="7" t="s">
        <v>282</v>
      </c>
      <c r="G107" s="7" t="s">
        <v>505</v>
      </c>
      <c r="H107" s="7" t="s">
        <v>466</v>
      </c>
      <c r="I107" s="7" t="s">
        <v>271</v>
      </c>
      <c r="J107" s="7" t="s">
        <v>323</v>
      </c>
      <c r="K107" s="7"/>
      <c r="L107" s="7"/>
      <c r="M107" s="7" t="s">
        <v>260</v>
      </c>
      <c r="N107" s="7" t="s">
        <v>284</v>
      </c>
      <c r="O107" s="7" t="s">
        <v>195</v>
      </c>
      <c r="P107" s="7"/>
      <c r="Q107" s="7" t="s">
        <v>326</v>
      </c>
      <c r="R107" s="7" t="s">
        <v>896</v>
      </c>
    </row>
    <row r="108" spans="1:18">
      <c r="A108" s="7" t="s">
        <v>1153</v>
      </c>
      <c r="B108" s="7" t="s">
        <v>1125</v>
      </c>
      <c r="C108" s="7" t="s">
        <v>1087</v>
      </c>
      <c r="D108" s="7" t="s">
        <v>1154</v>
      </c>
      <c r="E108" s="7" t="s">
        <v>339</v>
      </c>
      <c r="F108" s="7" t="s">
        <v>269</v>
      </c>
      <c r="G108" s="7" t="s">
        <v>528</v>
      </c>
      <c r="H108" s="7" t="s">
        <v>115</v>
      </c>
      <c r="I108" s="7" t="s">
        <v>258</v>
      </c>
      <c r="J108" s="7" t="s">
        <v>404</v>
      </c>
      <c r="K108" s="7" t="s">
        <v>1155</v>
      </c>
      <c r="L108" s="7" t="s">
        <v>997</v>
      </c>
      <c r="M108" s="7" t="s">
        <v>303</v>
      </c>
      <c r="N108" s="7" t="s">
        <v>276</v>
      </c>
      <c r="O108" s="7" t="s">
        <v>195</v>
      </c>
      <c r="P108" s="7" t="s">
        <v>17</v>
      </c>
      <c r="Q108" s="7" t="s">
        <v>285</v>
      </c>
      <c r="R108" s="7" t="s">
        <v>896</v>
      </c>
    </row>
    <row r="109" spans="1:18">
      <c r="A109" s="7" t="s">
        <v>1156</v>
      </c>
      <c r="B109" s="7" t="s">
        <v>908</v>
      </c>
      <c r="C109" s="7" t="s">
        <v>401</v>
      </c>
      <c r="D109" s="7" t="s">
        <v>1157</v>
      </c>
      <c r="E109" s="7" t="s">
        <v>255</v>
      </c>
      <c r="F109" s="7" t="s">
        <v>282</v>
      </c>
      <c r="G109" s="7" t="s">
        <v>424</v>
      </c>
      <c r="H109" s="7" t="s">
        <v>115</v>
      </c>
      <c r="I109" s="7" t="s">
        <v>258</v>
      </c>
      <c r="J109" s="7" t="s">
        <v>392</v>
      </c>
      <c r="K109" s="7" t="s">
        <v>1158</v>
      </c>
      <c r="L109" s="7" t="s">
        <v>792</v>
      </c>
      <c r="M109" s="7" t="s">
        <v>303</v>
      </c>
      <c r="N109" s="7" t="s">
        <v>284</v>
      </c>
      <c r="O109" s="7" t="s">
        <v>195</v>
      </c>
      <c r="P109" s="7" t="s">
        <v>14</v>
      </c>
      <c r="Q109" s="7" t="s">
        <v>326</v>
      </c>
      <c r="R109" s="7" t="s">
        <v>896</v>
      </c>
    </row>
    <row r="110" spans="1:18">
      <c r="A110" s="7" t="s">
        <v>1159</v>
      </c>
      <c r="B110" s="7" t="s">
        <v>981</v>
      </c>
      <c r="C110" s="7" t="s">
        <v>266</v>
      </c>
      <c r="D110" s="7" t="s">
        <v>402</v>
      </c>
      <c r="E110" s="7" t="s">
        <v>268</v>
      </c>
      <c r="F110" s="7" t="s">
        <v>256</v>
      </c>
      <c r="G110" s="7" t="s">
        <v>419</v>
      </c>
      <c r="H110" s="7" t="s">
        <v>115</v>
      </c>
      <c r="I110" s="7" t="s">
        <v>299</v>
      </c>
      <c r="J110" s="7" t="s">
        <v>272</v>
      </c>
      <c r="K110" s="7" t="s">
        <v>698</v>
      </c>
      <c r="L110" s="7" t="s">
        <v>1160</v>
      </c>
      <c r="M110" s="7" t="s">
        <v>303</v>
      </c>
      <c r="N110" s="7" t="s">
        <v>261</v>
      </c>
      <c r="O110" s="7" t="s">
        <v>169</v>
      </c>
      <c r="P110" s="7" t="s">
        <v>8</v>
      </c>
      <c r="Q110" s="7" t="s">
        <v>305</v>
      </c>
      <c r="R110" s="7" t="s">
        <v>896</v>
      </c>
    </row>
    <row r="111" spans="1:18">
      <c r="A111" s="7" t="s">
        <v>1161</v>
      </c>
      <c r="B111" s="7" t="s">
        <v>993</v>
      </c>
      <c r="C111" s="7" t="s">
        <v>449</v>
      </c>
      <c r="D111" s="7" t="s">
        <v>1162</v>
      </c>
      <c r="E111" s="7" t="s">
        <v>255</v>
      </c>
      <c r="F111" s="7" t="s">
        <v>297</v>
      </c>
      <c r="G111" s="7" t="s">
        <v>331</v>
      </c>
      <c r="H111" s="7" t="s">
        <v>127</v>
      </c>
      <c r="I111" s="7" t="s">
        <v>316</v>
      </c>
      <c r="J111" s="7" t="s">
        <v>358</v>
      </c>
      <c r="K111" s="7"/>
      <c r="L111" s="7"/>
      <c r="M111" s="7" t="s">
        <v>260</v>
      </c>
      <c r="N111" s="7" t="s">
        <v>1163</v>
      </c>
      <c r="O111" s="7" t="s">
        <v>195</v>
      </c>
      <c r="P111" s="7"/>
      <c r="Q111" s="7" t="s">
        <v>262</v>
      </c>
      <c r="R111" s="7" t="s">
        <v>896</v>
      </c>
    </row>
    <row r="112" spans="1:18">
      <c r="A112" s="7" t="s">
        <v>1164</v>
      </c>
      <c r="B112" s="7" t="s">
        <v>957</v>
      </c>
      <c r="C112" s="7" t="s">
        <v>422</v>
      </c>
      <c r="D112" s="7" t="s">
        <v>999</v>
      </c>
      <c r="E112" s="7" t="s">
        <v>281</v>
      </c>
      <c r="F112" s="7" t="s">
        <v>409</v>
      </c>
      <c r="G112" s="7" t="s">
        <v>535</v>
      </c>
      <c r="H112" s="7" t="s">
        <v>115</v>
      </c>
      <c r="I112" s="7" t="s">
        <v>316</v>
      </c>
      <c r="J112" s="7" t="s">
        <v>358</v>
      </c>
      <c r="K112" s="7" t="s">
        <v>1165</v>
      </c>
      <c r="L112" s="7" t="s">
        <v>1166</v>
      </c>
      <c r="M112" s="7" t="s">
        <v>275</v>
      </c>
      <c r="N112" s="7" t="s">
        <v>686</v>
      </c>
      <c r="O112" s="7" t="s">
        <v>195</v>
      </c>
      <c r="P112" s="7" t="s">
        <v>14</v>
      </c>
      <c r="Q112" s="7" t="s">
        <v>285</v>
      </c>
      <c r="R112" s="7" t="s">
        <v>896</v>
      </c>
    </row>
    <row r="113" spans="1:18">
      <c r="A113" s="7" t="s">
        <v>1167</v>
      </c>
      <c r="B113" s="7" t="s">
        <v>913</v>
      </c>
      <c r="C113" s="7" t="s">
        <v>328</v>
      </c>
      <c r="D113" s="7" t="s">
        <v>1138</v>
      </c>
      <c r="E113" s="7" t="s">
        <v>255</v>
      </c>
      <c r="F113" s="7" t="s">
        <v>256</v>
      </c>
      <c r="G113" s="7" t="s">
        <v>257</v>
      </c>
      <c r="H113" s="7" t="s">
        <v>115</v>
      </c>
      <c r="I113" s="7" t="s">
        <v>258</v>
      </c>
      <c r="J113" s="7" t="s">
        <v>272</v>
      </c>
      <c r="K113" s="7" t="s">
        <v>1168</v>
      </c>
      <c r="L113" s="7" t="s">
        <v>943</v>
      </c>
      <c r="M113" s="7" t="s">
        <v>293</v>
      </c>
      <c r="N113" s="7" t="s">
        <v>261</v>
      </c>
      <c r="O113" s="7" t="s">
        <v>169</v>
      </c>
      <c r="P113" s="7" t="s">
        <v>17</v>
      </c>
      <c r="Q113" s="7" t="s">
        <v>262</v>
      </c>
      <c r="R113" s="7" t="s">
        <v>896</v>
      </c>
    </row>
    <row r="114" spans="1:18">
      <c r="A114" s="7" t="s">
        <v>1169</v>
      </c>
      <c r="B114" s="7" t="s">
        <v>945</v>
      </c>
      <c r="C114" s="7" t="s">
        <v>389</v>
      </c>
      <c r="D114" s="7"/>
      <c r="E114" s="7" t="s">
        <v>255</v>
      </c>
      <c r="F114" s="7" t="s">
        <v>269</v>
      </c>
      <c r="G114" s="7" t="s">
        <v>542</v>
      </c>
      <c r="H114" s="7" t="s">
        <v>127</v>
      </c>
      <c r="I114" s="7" t="s">
        <v>258</v>
      </c>
      <c r="J114" s="7" t="s">
        <v>447</v>
      </c>
      <c r="K114" s="7"/>
      <c r="L114" s="7"/>
      <c r="M114" s="7" t="s">
        <v>260</v>
      </c>
      <c r="N114" s="7" t="s">
        <v>276</v>
      </c>
      <c r="O114" s="7" t="s">
        <v>169</v>
      </c>
      <c r="P114" s="7"/>
      <c r="Q114" s="7" t="s">
        <v>262</v>
      </c>
      <c r="R114" s="7" t="s">
        <v>896</v>
      </c>
    </row>
    <row r="115" spans="1:18">
      <c r="A115" s="7" t="s">
        <v>1170</v>
      </c>
      <c r="B115" s="7" t="s">
        <v>1125</v>
      </c>
      <c r="C115" s="7" t="s">
        <v>898</v>
      </c>
      <c r="D115" s="7" t="s">
        <v>441</v>
      </c>
      <c r="E115" s="7" t="s">
        <v>255</v>
      </c>
      <c r="F115" s="7" t="s">
        <v>409</v>
      </c>
      <c r="G115" s="7" t="s">
        <v>648</v>
      </c>
      <c r="H115" s="7" t="s">
        <v>127</v>
      </c>
      <c r="I115" s="7" t="s">
        <v>258</v>
      </c>
      <c r="J115" s="7" t="s">
        <v>323</v>
      </c>
      <c r="K115" s="7"/>
      <c r="L115" s="7"/>
      <c r="M115" s="7" t="s">
        <v>260</v>
      </c>
      <c r="N115" s="7" t="s">
        <v>412</v>
      </c>
      <c r="O115" s="7" t="s">
        <v>169</v>
      </c>
      <c r="P115" s="7"/>
      <c r="Q115" s="7" t="s">
        <v>326</v>
      </c>
      <c r="R115" s="7" t="s">
        <v>896</v>
      </c>
    </row>
    <row r="116" spans="1:18">
      <c r="A116" s="7" t="s">
        <v>1171</v>
      </c>
      <c r="B116" s="7" t="s">
        <v>981</v>
      </c>
      <c r="C116" s="7" t="s">
        <v>585</v>
      </c>
      <c r="D116" s="7" t="s">
        <v>786</v>
      </c>
      <c r="E116" s="7" t="s">
        <v>255</v>
      </c>
      <c r="F116" s="7" t="s">
        <v>409</v>
      </c>
      <c r="G116" s="7" t="s">
        <v>410</v>
      </c>
      <c r="H116" s="7" t="s">
        <v>115</v>
      </c>
      <c r="I116" s="7" t="s">
        <v>316</v>
      </c>
      <c r="J116" s="7" t="s">
        <v>392</v>
      </c>
      <c r="K116" s="7" t="s">
        <v>1172</v>
      </c>
      <c r="L116" s="7" t="s">
        <v>1173</v>
      </c>
      <c r="M116" s="7" t="s">
        <v>335</v>
      </c>
      <c r="N116" s="7" t="s">
        <v>412</v>
      </c>
      <c r="O116" s="7" t="s">
        <v>631</v>
      </c>
      <c r="P116" s="7" t="s">
        <v>8</v>
      </c>
      <c r="Q116" s="7" t="s">
        <v>262</v>
      </c>
      <c r="R116" s="7" t="s">
        <v>896</v>
      </c>
    </row>
    <row r="117" spans="1:18">
      <c r="A117" s="7" t="s">
        <v>1174</v>
      </c>
      <c r="B117" s="7" t="s">
        <v>920</v>
      </c>
      <c r="C117" s="7" t="s">
        <v>522</v>
      </c>
      <c r="D117" s="7" t="s">
        <v>1088</v>
      </c>
      <c r="E117" s="7" t="s">
        <v>281</v>
      </c>
      <c r="F117" s="7" t="s">
        <v>409</v>
      </c>
      <c r="G117" s="7" t="s">
        <v>496</v>
      </c>
      <c r="H117" s="7" t="s">
        <v>115</v>
      </c>
      <c r="I117" s="7" t="s">
        <v>271</v>
      </c>
      <c r="J117" s="7" t="s">
        <v>525</v>
      </c>
      <c r="K117" s="7" t="s">
        <v>1175</v>
      </c>
      <c r="L117" s="7" t="s">
        <v>1176</v>
      </c>
      <c r="M117" s="7" t="s">
        <v>303</v>
      </c>
      <c r="N117" s="7" t="s">
        <v>412</v>
      </c>
      <c r="O117" s="7" t="s">
        <v>195</v>
      </c>
      <c r="P117" s="7" t="s">
        <v>17</v>
      </c>
      <c r="Q117" s="7" t="s">
        <v>305</v>
      </c>
      <c r="R117" s="7" t="s">
        <v>896</v>
      </c>
    </row>
    <row r="118" spans="1:18">
      <c r="A118" s="7" t="s">
        <v>1177</v>
      </c>
      <c r="B118" s="7" t="s">
        <v>940</v>
      </c>
      <c r="C118" s="7" t="s">
        <v>755</v>
      </c>
      <c r="D118" s="7" t="s">
        <v>1162</v>
      </c>
      <c r="E118" s="7" t="s">
        <v>339</v>
      </c>
      <c r="F118" s="7" t="s">
        <v>269</v>
      </c>
      <c r="G118" s="7" t="s">
        <v>528</v>
      </c>
      <c r="H118" s="7" t="s">
        <v>122</v>
      </c>
      <c r="I118" s="7" t="s">
        <v>299</v>
      </c>
      <c r="J118" s="7" t="s">
        <v>323</v>
      </c>
      <c r="K118" s="7"/>
      <c r="L118" s="7"/>
      <c r="M118" s="7" t="s">
        <v>260</v>
      </c>
      <c r="N118" s="7" t="s">
        <v>276</v>
      </c>
      <c r="O118" s="7" t="s">
        <v>195</v>
      </c>
      <c r="P118" s="7"/>
      <c r="Q118" s="7" t="s">
        <v>326</v>
      </c>
      <c r="R118" s="7" t="s">
        <v>896</v>
      </c>
    </row>
    <row r="119" spans="1:18">
      <c r="A119" s="7" t="s">
        <v>1178</v>
      </c>
      <c r="B119" s="7" t="s">
        <v>948</v>
      </c>
      <c r="C119" s="7" t="s">
        <v>401</v>
      </c>
      <c r="D119" s="7" t="s">
        <v>1179</v>
      </c>
      <c r="E119" s="7" t="s">
        <v>281</v>
      </c>
      <c r="F119" s="7" t="s">
        <v>282</v>
      </c>
      <c r="G119" s="7" t="s">
        <v>446</v>
      </c>
      <c r="H119" s="7" t="s">
        <v>115</v>
      </c>
      <c r="I119" s="7" t="s">
        <v>316</v>
      </c>
      <c r="J119" s="7" t="s">
        <v>351</v>
      </c>
      <c r="K119" s="7" t="s">
        <v>917</v>
      </c>
      <c r="L119" s="7" t="s">
        <v>373</v>
      </c>
      <c r="M119" s="7" t="s">
        <v>303</v>
      </c>
      <c r="N119" s="7" t="s">
        <v>284</v>
      </c>
      <c r="O119" s="7" t="s">
        <v>195</v>
      </c>
      <c r="P119" s="7" t="s">
        <v>14</v>
      </c>
      <c r="Q119" s="7" t="s">
        <v>305</v>
      </c>
      <c r="R119" s="7" t="s">
        <v>896</v>
      </c>
    </row>
    <row r="120" spans="1:18">
      <c r="A120" s="7" t="s">
        <v>1180</v>
      </c>
      <c r="B120" s="7" t="s">
        <v>1125</v>
      </c>
      <c r="C120" s="7" t="s">
        <v>307</v>
      </c>
      <c r="D120" s="7" t="s">
        <v>1181</v>
      </c>
      <c r="E120" s="7" t="s">
        <v>281</v>
      </c>
      <c r="F120" s="7" t="s">
        <v>256</v>
      </c>
      <c r="G120" s="7" t="s">
        <v>796</v>
      </c>
      <c r="H120" s="7" t="s">
        <v>115</v>
      </c>
      <c r="I120" s="7" t="s">
        <v>316</v>
      </c>
      <c r="J120" s="7" t="s">
        <v>300</v>
      </c>
      <c r="K120" s="7" t="s">
        <v>482</v>
      </c>
      <c r="L120" s="7" t="s">
        <v>1182</v>
      </c>
      <c r="M120" s="7" t="s">
        <v>335</v>
      </c>
      <c r="N120" s="7" t="s">
        <v>261</v>
      </c>
      <c r="O120" s="7" t="s">
        <v>169</v>
      </c>
      <c r="P120" s="7" t="s">
        <v>14</v>
      </c>
      <c r="Q120" s="7" t="s">
        <v>305</v>
      </c>
      <c r="R120" s="7" t="s">
        <v>896</v>
      </c>
    </row>
    <row r="121" spans="1:18">
      <c r="A121" s="7" t="s">
        <v>1183</v>
      </c>
      <c r="B121" s="7" t="s">
        <v>898</v>
      </c>
      <c r="C121" s="7" t="s">
        <v>252</v>
      </c>
      <c r="D121" s="7" t="s">
        <v>1154</v>
      </c>
      <c r="E121" s="7" t="s">
        <v>281</v>
      </c>
      <c r="F121" s="7" t="s">
        <v>269</v>
      </c>
      <c r="G121" s="7" t="s">
        <v>363</v>
      </c>
      <c r="H121" s="7" t="s">
        <v>115</v>
      </c>
      <c r="I121" s="7" t="s">
        <v>258</v>
      </c>
      <c r="J121" s="7" t="s">
        <v>346</v>
      </c>
      <c r="K121" s="7" t="s">
        <v>477</v>
      </c>
      <c r="L121" s="7" t="s">
        <v>1184</v>
      </c>
      <c r="M121" s="7" t="s">
        <v>303</v>
      </c>
      <c r="N121" s="7" t="s">
        <v>276</v>
      </c>
      <c r="O121" s="7" t="s">
        <v>169</v>
      </c>
      <c r="P121" s="7" t="s">
        <v>14</v>
      </c>
      <c r="Q121" s="7" t="s">
        <v>305</v>
      </c>
      <c r="R121" s="7" t="s">
        <v>896</v>
      </c>
    </row>
    <row r="122" spans="1:18">
      <c r="A122" s="7" t="s">
        <v>1185</v>
      </c>
      <c r="B122" s="7" t="s">
        <v>898</v>
      </c>
      <c r="C122" s="7" t="s">
        <v>936</v>
      </c>
      <c r="D122" s="7" t="s">
        <v>820</v>
      </c>
      <c r="E122" s="7" t="s">
        <v>255</v>
      </c>
      <c r="F122" s="7" t="s">
        <v>297</v>
      </c>
      <c r="G122" s="7" t="s">
        <v>331</v>
      </c>
      <c r="H122" s="7" t="s">
        <v>122</v>
      </c>
      <c r="I122" s="7" t="s">
        <v>299</v>
      </c>
      <c r="J122" s="7" t="s">
        <v>525</v>
      </c>
      <c r="K122" s="7"/>
      <c r="L122" s="7"/>
      <c r="M122" s="7" t="s">
        <v>260</v>
      </c>
      <c r="N122" s="7" t="s">
        <v>304</v>
      </c>
      <c r="O122" s="7" t="s">
        <v>195</v>
      </c>
      <c r="P122" s="7"/>
      <c r="Q122" s="7" t="s">
        <v>262</v>
      </c>
      <c r="R122" s="7" t="s">
        <v>896</v>
      </c>
    </row>
    <row r="123" spans="1:18">
      <c r="A123" s="7" t="s">
        <v>1186</v>
      </c>
      <c r="B123" s="7" t="s">
        <v>1187</v>
      </c>
      <c r="C123" s="7" t="s">
        <v>993</v>
      </c>
      <c r="D123" s="7" t="s">
        <v>344</v>
      </c>
      <c r="E123" s="7" t="s">
        <v>255</v>
      </c>
      <c r="F123" s="7" t="s">
        <v>282</v>
      </c>
      <c r="G123" s="7" t="s">
        <v>290</v>
      </c>
      <c r="H123" s="7" t="s">
        <v>127</v>
      </c>
      <c r="I123" s="7" t="s">
        <v>316</v>
      </c>
      <c r="J123" s="7" t="s">
        <v>323</v>
      </c>
      <c r="K123" s="7"/>
      <c r="L123" s="7"/>
      <c r="M123" s="7" t="s">
        <v>260</v>
      </c>
      <c r="N123" s="7" t="s">
        <v>284</v>
      </c>
      <c r="O123" s="7" t="s">
        <v>169</v>
      </c>
      <c r="P123" s="7"/>
      <c r="Q123" s="7" t="s">
        <v>326</v>
      </c>
      <c r="R123" s="7" t="s">
        <v>896</v>
      </c>
    </row>
    <row r="124" spans="1:18">
      <c r="A124" s="7" t="s">
        <v>1188</v>
      </c>
      <c r="B124" s="7" t="s">
        <v>993</v>
      </c>
      <c r="C124" s="7" t="s">
        <v>253</v>
      </c>
      <c r="D124" s="7" t="s">
        <v>1189</v>
      </c>
      <c r="E124" s="7" t="s">
        <v>255</v>
      </c>
      <c r="F124" s="7" t="s">
        <v>256</v>
      </c>
      <c r="G124" s="7" t="s">
        <v>398</v>
      </c>
      <c r="H124" s="7" t="s">
        <v>115</v>
      </c>
      <c r="I124" s="7" t="s">
        <v>271</v>
      </c>
      <c r="J124" s="7" t="s">
        <v>272</v>
      </c>
      <c r="K124" s="7" t="s">
        <v>1190</v>
      </c>
      <c r="L124" s="7" t="s">
        <v>849</v>
      </c>
      <c r="M124" s="7" t="s">
        <v>335</v>
      </c>
      <c r="N124" s="7" t="s">
        <v>261</v>
      </c>
      <c r="O124" s="7" t="s">
        <v>195</v>
      </c>
      <c r="P124" s="7" t="s">
        <v>14</v>
      </c>
      <c r="Q124" s="7" t="s">
        <v>285</v>
      </c>
      <c r="R124" s="7" t="s">
        <v>896</v>
      </c>
    </row>
    <row r="125" spans="1:18">
      <c r="A125" s="7" t="s">
        <v>1191</v>
      </c>
      <c r="B125" s="7" t="s">
        <v>940</v>
      </c>
      <c r="C125" s="7" t="s">
        <v>422</v>
      </c>
      <c r="D125" s="7" t="s">
        <v>377</v>
      </c>
      <c r="E125" s="7" t="s">
        <v>339</v>
      </c>
      <c r="F125" s="7" t="s">
        <v>269</v>
      </c>
      <c r="G125" s="7" t="s">
        <v>528</v>
      </c>
      <c r="H125" s="7" t="s">
        <v>127</v>
      </c>
      <c r="I125" s="7" t="s">
        <v>316</v>
      </c>
      <c r="J125" s="7" t="s">
        <v>447</v>
      </c>
      <c r="K125" s="7"/>
      <c r="L125" s="7"/>
      <c r="M125" s="7" t="s">
        <v>260</v>
      </c>
      <c r="N125" s="7" t="s">
        <v>276</v>
      </c>
      <c r="O125" s="7" t="s">
        <v>169</v>
      </c>
      <c r="P125" s="7"/>
      <c r="Q125" s="7" t="s">
        <v>326</v>
      </c>
      <c r="R125" s="7" t="s">
        <v>896</v>
      </c>
    </row>
    <row r="126" spans="1:18">
      <c r="A126" s="7" t="s">
        <v>1192</v>
      </c>
      <c r="B126" s="7" t="s">
        <v>920</v>
      </c>
      <c r="C126" s="7" t="s">
        <v>493</v>
      </c>
      <c r="D126" s="7" t="s">
        <v>1193</v>
      </c>
      <c r="E126" s="7" t="s">
        <v>339</v>
      </c>
      <c r="F126" s="7" t="s">
        <v>297</v>
      </c>
      <c r="G126" s="7" t="s">
        <v>569</v>
      </c>
      <c r="H126" s="7" t="s">
        <v>115</v>
      </c>
      <c r="I126" s="7" t="s">
        <v>258</v>
      </c>
      <c r="J126" s="7" t="s">
        <v>529</v>
      </c>
      <c r="K126" s="7" t="s">
        <v>1194</v>
      </c>
      <c r="L126" s="7" t="s">
        <v>1195</v>
      </c>
      <c r="M126" s="7" t="s">
        <v>303</v>
      </c>
      <c r="N126" s="7" t="s">
        <v>304</v>
      </c>
      <c r="O126" s="7" t="s">
        <v>169</v>
      </c>
      <c r="P126" s="7" t="s">
        <v>8</v>
      </c>
      <c r="Q126" s="7" t="s">
        <v>262</v>
      </c>
      <c r="R126" s="7" t="s">
        <v>896</v>
      </c>
    </row>
    <row r="127" spans="1:18">
      <c r="A127" s="7" t="s">
        <v>1196</v>
      </c>
      <c r="B127" s="7" t="s">
        <v>913</v>
      </c>
      <c r="C127" s="7" t="s">
        <v>962</v>
      </c>
      <c r="D127" s="7" t="s">
        <v>592</v>
      </c>
      <c r="E127" s="7" t="s">
        <v>255</v>
      </c>
      <c r="F127" s="7" t="s">
        <v>1057</v>
      </c>
      <c r="G127" s="7" t="s">
        <v>290</v>
      </c>
      <c r="H127" s="7" t="s">
        <v>115</v>
      </c>
      <c r="I127" s="7" t="s">
        <v>316</v>
      </c>
      <c r="J127" s="7" t="s">
        <v>346</v>
      </c>
      <c r="K127" s="7" t="s">
        <v>1197</v>
      </c>
      <c r="L127" s="7" t="s">
        <v>1198</v>
      </c>
      <c r="M127" s="7" t="s">
        <v>335</v>
      </c>
      <c r="N127" s="7" t="s">
        <v>284</v>
      </c>
      <c r="O127" s="7" t="s">
        <v>195</v>
      </c>
      <c r="P127" s="7" t="s">
        <v>11</v>
      </c>
      <c r="Q127" s="7" t="s">
        <v>318</v>
      </c>
      <c r="R127" s="7" t="s">
        <v>896</v>
      </c>
    </row>
    <row r="128" spans="1:18">
      <c r="A128" s="7" t="s">
        <v>1199</v>
      </c>
      <c r="B128" s="7" t="s">
        <v>960</v>
      </c>
      <c r="C128" s="7" t="s">
        <v>614</v>
      </c>
      <c r="D128" s="7" t="s">
        <v>495</v>
      </c>
      <c r="E128" s="7" t="s">
        <v>255</v>
      </c>
      <c r="F128" s="7" t="s">
        <v>282</v>
      </c>
      <c r="G128" s="7" t="s">
        <v>290</v>
      </c>
      <c r="H128" s="7" t="s">
        <v>115</v>
      </c>
      <c r="I128" s="7" t="s">
        <v>316</v>
      </c>
      <c r="J128" s="7" t="s">
        <v>323</v>
      </c>
      <c r="K128" s="7" t="s">
        <v>1200</v>
      </c>
      <c r="L128" s="7" t="s">
        <v>983</v>
      </c>
      <c r="M128" s="7" t="s">
        <v>335</v>
      </c>
      <c r="N128" s="7" t="s">
        <v>284</v>
      </c>
      <c r="O128" s="7" t="s">
        <v>195</v>
      </c>
      <c r="P128" s="7" t="s">
        <v>11</v>
      </c>
      <c r="Q128" s="7" t="s">
        <v>285</v>
      </c>
      <c r="R128" s="7" t="s">
        <v>896</v>
      </c>
    </row>
    <row r="129" spans="1:18">
      <c r="A129" s="7" t="s">
        <v>1201</v>
      </c>
      <c r="B129" s="7" t="s">
        <v>974</v>
      </c>
      <c r="C129" s="7" t="s">
        <v>1030</v>
      </c>
      <c r="D129" s="7" t="s">
        <v>941</v>
      </c>
      <c r="E129" s="7" t="s">
        <v>281</v>
      </c>
      <c r="F129" s="7" t="s">
        <v>256</v>
      </c>
      <c r="G129" s="7" t="s">
        <v>796</v>
      </c>
      <c r="H129" s="7" t="s">
        <v>1202</v>
      </c>
      <c r="I129" s="7" t="s">
        <v>299</v>
      </c>
      <c r="J129" s="7" t="s">
        <v>346</v>
      </c>
      <c r="K129" s="7" t="s">
        <v>1203</v>
      </c>
      <c r="L129" s="7" t="s">
        <v>1204</v>
      </c>
      <c r="M129" s="7" t="s">
        <v>335</v>
      </c>
      <c r="N129" s="7" t="s">
        <v>261</v>
      </c>
      <c r="O129" s="7" t="s">
        <v>195</v>
      </c>
      <c r="P129" s="7" t="s">
        <v>17</v>
      </c>
      <c r="Q129" s="7" t="s">
        <v>326</v>
      </c>
      <c r="R129" s="7" t="s">
        <v>896</v>
      </c>
    </row>
    <row r="130" spans="1:18">
      <c r="A130" s="7" t="s">
        <v>1205</v>
      </c>
      <c r="B130" s="7" t="s">
        <v>974</v>
      </c>
      <c r="C130" s="7" t="s">
        <v>1030</v>
      </c>
      <c r="D130" s="7" t="s">
        <v>1206</v>
      </c>
      <c r="E130" s="7" t="s">
        <v>255</v>
      </c>
      <c r="F130" s="7" t="s">
        <v>256</v>
      </c>
      <c r="G130" s="7" t="s">
        <v>257</v>
      </c>
      <c r="H130" s="7" t="s">
        <v>115</v>
      </c>
      <c r="I130" s="7" t="s">
        <v>316</v>
      </c>
      <c r="J130" s="7" t="s">
        <v>392</v>
      </c>
      <c r="K130" s="7" t="s">
        <v>833</v>
      </c>
      <c r="L130" s="7" t="s">
        <v>1063</v>
      </c>
      <c r="M130" s="7" t="s">
        <v>293</v>
      </c>
      <c r="N130" s="7" t="s">
        <v>261</v>
      </c>
      <c r="O130" s="7" t="s">
        <v>195</v>
      </c>
      <c r="P130" s="7" t="s">
        <v>17</v>
      </c>
      <c r="Q130" s="7" t="s">
        <v>285</v>
      </c>
      <c r="R130" s="7" t="s">
        <v>896</v>
      </c>
    </row>
    <row r="131" spans="1:18">
      <c r="A131" s="7" t="s">
        <v>1207</v>
      </c>
      <c r="B131" s="7" t="s">
        <v>898</v>
      </c>
      <c r="C131" s="7" t="s">
        <v>562</v>
      </c>
      <c r="D131" s="7" t="s">
        <v>504</v>
      </c>
      <c r="E131" s="7" t="s">
        <v>255</v>
      </c>
      <c r="F131" s="7" t="s">
        <v>297</v>
      </c>
      <c r="G131" s="7" t="s">
        <v>331</v>
      </c>
      <c r="H131" s="7" t="s">
        <v>122</v>
      </c>
      <c r="I131" s="7" t="s">
        <v>258</v>
      </c>
      <c r="J131" s="7" t="s">
        <v>323</v>
      </c>
      <c r="K131" s="7"/>
      <c r="L131" s="7"/>
      <c r="M131" s="7" t="s">
        <v>260</v>
      </c>
      <c r="N131" s="7" t="s">
        <v>304</v>
      </c>
      <c r="O131" s="7" t="s">
        <v>195</v>
      </c>
      <c r="P131" s="7"/>
      <c r="Q131" s="7" t="s">
        <v>262</v>
      </c>
      <c r="R131" s="7" t="s">
        <v>896</v>
      </c>
    </row>
    <row r="132" spans="1:18">
      <c r="A132" s="7" t="s">
        <v>1208</v>
      </c>
      <c r="B132" s="7" t="s">
        <v>899</v>
      </c>
      <c r="C132" s="7" t="s">
        <v>473</v>
      </c>
      <c r="D132" s="7" t="s">
        <v>1209</v>
      </c>
      <c r="E132" s="7" t="s">
        <v>268</v>
      </c>
      <c r="F132" s="7" t="s">
        <v>409</v>
      </c>
      <c r="G132" s="7" t="s">
        <v>587</v>
      </c>
      <c r="H132" s="7" t="s">
        <v>122</v>
      </c>
      <c r="I132" s="7" t="s">
        <v>258</v>
      </c>
      <c r="J132" s="7" t="s">
        <v>323</v>
      </c>
      <c r="K132" s="7"/>
      <c r="L132" s="7"/>
      <c r="M132" s="7" t="s">
        <v>260</v>
      </c>
      <c r="N132" s="7" t="s">
        <v>412</v>
      </c>
      <c r="O132" s="7" t="s">
        <v>169</v>
      </c>
      <c r="P132" s="7" t="s">
        <v>260</v>
      </c>
      <c r="Q132" s="7" t="s">
        <v>326</v>
      </c>
      <c r="R132" s="7" t="s">
        <v>896</v>
      </c>
    </row>
    <row r="133" spans="1:18">
      <c r="A133" s="7" t="s">
        <v>1210</v>
      </c>
      <c r="B133" s="7" t="s">
        <v>974</v>
      </c>
      <c r="C133" s="7" t="s">
        <v>459</v>
      </c>
      <c r="D133" s="7" t="s">
        <v>1065</v>
      </c>
      <c r="E133" s="7" t="s">
        <v>339</v>
      </c>
      <c r="F133" s="7" t="s">
        <v>269</v>
      </c>
      <c r="G133" s="7" t="s">
        <v>340</v>
      </c>
      <c r="H133" s="7" t="s">
        <v>115</v>
      </c>
      <c r="I133" s="7" t="s">
        <v>258</v>
      </c>
      <c r="J133" s="7" t="s">
        <v>332</v>
      </c>
      <c r="K133" s="7" t="s">
        <v>369</v>
      </c>
      <c r="L133" s="7" t="s">
        <v>370</v>
      </c>
      <c r="M133" s="7" t="s">
        <v>275</v>
      </c>
      <c r="N133" s="7" t="s">
        <v>276</v>
      </c>
      <c r="O133" s="7" t="s">
        <v>169</v>
      </c>
      <c r="P133" s="7" t="s">
        <v>11</v>
      </c>
      <c r="Q133" s="7" t="s">
        <v>326</v>
      </c>
      <c r="R133" s="7" t="s">
        <v>896</v>
      </c>
    </row>
    <row r="134" spans="1:18">
      <c r="A134" s="7" t="s">
        <v>1211</v>
      </c>
      <c r="B134" s="7" t="s">
        <v>899</v>
      </c>
      <c r="C134" s="7" t="s">
        <v>606</v>
      </c>
      <c r="D134" s="7" t="s">
        <v>685</v>
      </c>
      <c r="E134" s="7" t="s">
        <v>281</v>
      </c>
      <c r="F134" s="7" t="s">
        <v>282</v>
      </c>
      <c r="G134" s="7" t="s">
        <v>446</v>
      </c>
      <c r="H134" s="7" t="s">
        <v>127</v>
      </c>
      <c r="I134" s="7" t="s">
        <v>316</v>
      </c>
      <c r="J134" s="7" t="s">
        <v>259</v>
      </c>
      <c r="K134" s="7"/>
      <c r="L134" s="7"/>
      <c r="M134" s="7" t="s">
        <v>260</v>
      </c>
      <c r="N134" s="7" t="s">
        <v>284</v>
      </c>
      <c r="O134" s="7" t="s">
        <v>169</v>
      </c>
      <c r="P134" s="7"/>
      <c r="Q134" s="7" t="s">
        <v>326</v>
      </c>
      <c r="R134" s="7" t="s">
        <v>896</v>
      </c>
    </row>
    <row r="135" spans="1:18">
      <c r="A135" s="7" t="s">
        <v>1212</v>
      </c>
      <c r="B135" s="7" t="s">
        <v>933</v>
      </c>
      <c r="C135" s="7" t="s">
        <v>666</v>
      </c>
      <c r="D135" s="7" t="s">
        <v>946</v>
      </c>
      <c r="E135" s="7" t="s">
        <v>281</v>
      </c>
      <c r="F135" s="7" t="s">
        <v>269</v>
      </c>
      <c r="G135" s="7" t="s">
        <v>322</v>
      </c>
      <c r="H135" s="7" t="s">
        <v>115</v>
      </c>
      <c r="I135" s="7" t="s">
        <v>271</v>
      </c>
      <c r="J135" s="7" t="s">
        <v>411</v>
      </c>
      <c r="K135" s="7" t="s">
        <v>595</v>
      </c>
      <c r="L135" s="7" t="s">
        <v>411</v>
      </c>
      <c r="M135" s="7" t="s">
        <v>275</v>
      </c>
      <c r="N135" s="7" t="s">
        <v>276</v>
      </c>
      <c r="O135" s="7" t="s">
        <v>195</v>
      </c>
      <c r="P135" s="7" t="s">
        <v>17</v>
      </c>
      <c r="Q135" s="7" t="s">
        <v>318</v>
      </c>
      <c r="R135" s="7" t="s">
        <v>896</v>
      </c>
    </row>
    <row r="136" spans="1:18">
      <c r="A136" s="7" t="s">
        <v>1213</v>
      </c>
      <c r="B136" s="7" t="s">
        <v>945</v>
      </c>
      <c r="C136" s="7" t="s">
        <v>407</v>
      </c>
      <c r="D136" s="7" t="s">
        <v>813</v>
      </c>
      <c r="E136" s="7" t="s">
        <v>281</v>
      </c>
      <c r="F136" s="7" t="s">
        <v>269</v>
      </c>
      <c r="G136" s="7" t="s">
        <v>322</v>
      </c>
      <c r="H136" s="7" t="s">
        <v>127</v>
      </c>
      <c r="I136" s="7" t="s">
        <v>316</v>
      </c>
      <c r="J136" s="7" t="s">
        <v>351</v>
      </c>
      <c r="K136" s="7"/>
      <c r="L136" s="7"/>
      <c r="M136" s="7" t="s">
        <v>260</v>
      </c>
      <c r="N136" s="7" t="s">
        <v>276</v>
      </c>
      <c r="O136" s="7" t="s">
        <v>195</v>
      </c>
      <c r="P136" s="7"/>
      <c r="Q136" s="7" t="s">
        <v>262</v>
      </c>
      <c r="R136" s="7" t="s">
        <v>896</v>
      </c>
    </row>
    <row r="137" spans="1:18">
      <c r="A137" s="7" t="s">
        <v>1214</v>
      </c>
      <c r="B137" s="7" t="s">
        <v>940</v>
      </c>
      <c r="C137" s="7" t="s">
        <v>485</v>
      </c>
      <c r="D137" s="7" t="s">
        <v>1215</v>
      </c>
      <c r="E137" s="7" t="s">
        <v>255</v>
      </c>
      <c r="F137" s="7" t="s">
        <v>256</v>
      </c>
      <c r="G137" s="7" t="s">
        <v>257</v>
      </c>
      <c r="H137" s="7" t="s">
        <v>122</v>
      </c>
      <c r="I137" s="7" t="s">
        <v>299</v>
      </c>
      <c r="J137" s="7" t="s">
        <v>529</v>
      </c>
      <c r="K137" s="7"/>
      <c r="L137" s="7"/>
      <c r="M137" s="7" t="s">
        <v>260</v>
      </c>
      <c r="N137" s="7" t="s">
        <v>261</v>
      </c>
      <c r="O137" s="7" t="s">
        <v>169</v>
      </c>
      <c r="P137" s="7"/>
      <c r="Q137" s="7" t="s">
        <v>285</v>
      </c>
      <c r="R137" s="7" t="s">
        <v>896</v>
      </c>
    </row>
    <row r="138" spans="1:18">
      <c r="A138" s="7" t="s">
        <v>1216</v>
      </c>
      <c r="B138" s="7" t="s">
        <v>962</v>
      </c>
      <c r="C138" s="7" t="s">
        <v>614</v>
      </c>
      <c r="D138" s="7" t="s">
        <v>624</v>
      </c>
      <c r="E138" s="7" t="s">
        <v>255</v>
      </c>
      <c r="F138" s="7" t="s">
        <v>297</v>
      </c>
      <c r="G138" s="7" t="s">
        <v>331</v>
      </c>
      <c r="H138" s="7" t="s">
        <v>466</v>
      </c>
      <c r="I138" s="7" t="s">
        <v>258</v>
      </c>
      <c r="J138" s="7" t="s">
        <v>392</v>
      </c>
      <c r="K138" s="7"/>
      <c r="L138" s="7"/>
      <c r="M138" s="7" t="s">
        <v>260</v>
      </c>
      <c r="N138" s="7" t="s">
        <v>304</v>
      </c>
      <c r="O138" s="7" t="s">
        <v>195</v>
      </c>
      <c r="P138" s="7"/>
      <c r="Q138" s="7" t="s">
        <v>318</v>
      </c>
      <c r="R138" s="7" t="s">
        <v>896</v>
      </c>
    </row>
    <row r="139" spans="1:18">
      <c r="A139" s="7" t="s">
        <v>1217</v>
      </c>
      <c r="B139" s="7" t="s">
        <v>924</v>
      </c>
      <c r="C139" s="7" t="s">
        <v>278</v>
      </c>
      <c r="D139" s="7" t="s">
        <v>685</v>
      </c>
      <c r="E139" s="7" t="s">
        <v>268</v>
      </c>
      <c r="F139" s="7" t="s">
        <v>282</v>
      </c>
      <c r="G139" s="7" t="s">
        <v>505</v>
      </c>
      <c r="H139" s="7" t="s">
        <v>115</v>
      </c>
      <c r="I139" s="7" t="s">
        <v>316</v>
      </c>
      <c r="J139" s="7" t="s">
        <v>332</v>
      </c>
      <c r="K139" s="7" t="s">
        <v>1218</v>
      </c>
      <c r="L139" s="7" t="s">
        <v>1219</v>
      </c>
      <c r="M139" s="7" t="s">
        <v>604</v>
      </c>
      <c r="N139" s="7" t="s">
        <v>284</v>
      </c>
      <c r="O139" s="7" t="s">
        <v>195</v>
      </c>
      <c r="P139" s="7" t="s">
        <v>14</v>
      </c>
      <c r="Q139" s="7" t="s">
        <v>326</v>
      </c>
      <c r="R139" s="7" t="s">
        <v>896</v>
      </c>
    </row>
    <row r="140" spans="1:18">
      <c r="A140" s="7" t="s">
        <v>1220</v>
      </c>
      <c r="B140" s="7" t="s">
        <v>993</v>
      </c>
      <c r="C140" s="7" t="s">
        <v>936</v>
      </c>
      <c r="D140" s="7" t="s">
        <v>397</v>
      </c>
      <c r="E140" s="7" t="s">
        <v>255</v>
      </c>
      <c r="F140" s="7" t="s">
        <v>297</v>
      </c>
      <c r="G140" s="7" t="s">
        <v>331</v>
      </c>
      <c r="H140" s="7" t="s">
        <v>127</v>
      </c>
      <c r="I140" s="7" t="s">
        <v>316</v>
      </c>
      <c r="J140" s="7" t="s">
        <v>529</v>
      </c>
      <c r="K140" s="7"/>
      <c r="L140" s="7"/>
      <c r="M140" s="7" t="s">
        <v>260</v>
      </c>
      <c r="N140" s="7" t="s">
        <v>304</v>
      </c>
      <c r="O140" s="7" t="s">
        <v>195</v>
      </c>
      <c r="P140" s="7"/>
      <c r="Q140" s="7" t="s">
        <v>305</v>
      </c>
      <c r="R140" s="7" t="s">
        <v>896</v>
      </c>
    </row>
    <row r="141" spans="1:18">
      <c r="A141" s="7" t="s">
        <v>1221</v>
      </c>
      <c r="B141" s="7" t="s">
        <v>957</v>
      </c>
      <c r="C141" s="7" t="s">
        <v>253</v>
      </c>
      <c r="D141" s="7" t="s">
        <v>1222</v>
      </c>
      <c r="E141" s="7" t="s">
        <v>268</v>
      </c>
      <c r="F141" s="7" t="s">
        <v>269</v>
      </c>
      <c r="G141" s="7" t="s">
        <v>435</v>
      </c>
      <c r="H141" s="7" t="s">
        <v>115</v>
      </c>
      <c r="I141" s="7" t="s">
        <v>299</v>
      </c>
      <c r="J141" s="7" t="s">
        <v>358</v>
      </c>
      <c r="K141" s="7" t="s">
        <v>1223</v>
      </c>
      <c r="L141" s="7" t="s">
        <v>1224</v>
      </c>
      <c r="M141" s="7" t="s">
        <v>293</v>
      </c>
      <c r="N141" s="7" t="s">
        <v>276</v>
      </c>
      <c r="O141" s="7" t="s">
        <v>169</v>
      </c>
      <c r="P141" s="7" t="s">
        <v>17</v>
      </c>
      <c r="Q141" s="7" t="s">
        <v>262</v>
      </c>
      <c r="R141" s="7" t="s">
        <v>896</v>
      </c>
    </row>
    <row r="142" spans="1:18">
      <c r="A142" s="7" t="s">
        <v>1225</v>
      </c>
      <c r="B142" s="7" t="s">
        <v>1087</v>
      </c>
      <c r="C142" s="7" t="s">
        <v>981</v>
      </c>
      <c r="D142" s="7" t="s">
        <v>362</v>
      </c>
      <c r="E142" s="7" t="s">
        <v>339</v>
      </c>
      <c r="F142" s="7" t="s">
        <v>256</v>
      </c>
      <c r="G142" s="7" t="s">
        <v>403</v>
      </c>
      <c r="H142" s="7" t="s">
        <v>122</v>
      </c>
      <c r="I142" s="7" t="s">
        <v>271</v>
      </c>
      <c r="J142" s="7" t="s">
        <v>469</v>
      </c>
      <c r="K142" s="7"/>
      <c r="L142" s="7"/>
      <c r="M142" s="7" t="s">
        <v>835</v>
      </c>
      <c r="N142" s="7" t="s">
        <v>261</v>
      </c>
      <c r="O142" s="7" t="s">
        <v>195</v>
      </c>
      <c r="P142" s="7"/>
      <c r="Q142" s="7" t="s">
        <v>326</v>
      </c>
      <c r="R142" s="7" t="s">
        <v>896</v>
      </c>
    </row>
    <row r="143" spans="1:18">
      <c r="A143" s="7" t="s">
        <v>1226</v>
      </c>
      <c r="B143" s="7" t="s">
        <v>981</v>
      </c>
      <c r="C143" s="7" t="s">
        <v>329</v>
      </c>
      <c r="D143" s="7" t="s">
        <v>1227</v>
      </c>
      <c r="E143" s="7" t="s">
        <v>255</v>
      </c>
      <c r="F143" s="7" t="s">
        <v>269</v>
      </c>
      <c r="G143" s="7" t="s">
        <v>542</v>
      </c>
      <c r="H143" s="7" t="s">
        <v>127</v>
      </c>
      <c r="I143" s="7" t="s">
        <v>271</v>
      </c>
      <c r="J143" s="7" t="s">
        <v>346</v>
      </c>
      <c r="K143" s="7"/>
      <c r="L143" s="7"/>
      <c r="M143" s="7" t="s">
        <v>260</v>
      </c>
      <c r="N143" s="7" t="s">
        <v>276</v>
      </c>
      <c r="O143" s="7" t="s">
        <v>195</v>
      </c>
      <c r="P143" s="7"/>
      <c r="Q143" s="7" t="s">
        <v>305</v>
      </c>
      <c r="R143" s="7" t="s">
        <v>896</v>
      </c>
    </row>
    <row r="144" spans="1:18">
      <c r="A144" s="7"/>
      <c r="B144" s="7" t="s">
        <v>913</v>
      </c>
      <c r="C144" s="7" t="s">
        <v>279</v>
      </c>
      <c r="D144" s="7" t="s">
        <v>837</v>
      </c>
      <c r="E144" s="7" t="s">
        <v>268</v>
      </c>
      <c r="F144" s="7" t="s">
        <v>256</v>
      </c>
      <c r="G144" s="7" t="s">
        <v>419</v>
      </c>
      <c r="H144" s="7" t="s">
        <v>115</v>
      </c>
      <c r="I144" s="7" t="s">
        <v>316</v>
      </c>
      <c r="J144" s="7" t="s">
        <v>351</v>
      </c>
      <c r="K144" s="7" t="s">
        <v>570</v>
      </c>
      <c r="L144" s="7" t="s">
        <v>656</v>
      </c>
      <c r="M144" s="7" t="s">
        <v>275</v>
      </c>
      <c r="N144" s="7" t="s">
        <v>261</v>
      </c>
      <c r="O144" s="7" t="s">
        <v>169</v>
      </c>
      <c r="P144" s="7" t="s">
        <v>14</v>
      </c>
      <c r="Q144" s="7" t="s">
        <v>318</v>
      </c>
      <c r="R144" s="7" t="s">
        <v>896</v>
      </c>
    </row>
    <row r="145" spans="1:18">
      <c r="A145" s="7" t="s">
        <v>1228</v>
      </c>
      <c r="B145" s="7" t="s">
        <v>914</v>
      </c>
      <c r="C145" s="7" t="s">
        <v>355</v>
      </c>
      <c r="D145" s="7" t="s">
        <v>963</v>
      </c>
      <c r="E145" s="7" t="s">
        <v>255</v>
      </c>
      <c r="F145" s="7" t="s">
        <v>256</v>
      </c>
      <c r="G145" s="7" t="s">
        <v>398</v>
      </c>
      <c r="H145" s="7" t="s">
        <v>115</v>
      </c>
      <c r="I145" s="7" t="s">
        <v>316</v>
      </c>
      <c r="J145" s="7" t="s">
        <v>358</v>
      </c>
      <c r="K145" s="7" t="s">
        <v>855</v>
      </c>
      <c r="L145" s="7" t="s">
        <v>1229</v>
      </c>
      <c r="M145" s="7" t="s">
        <v>293</v>
      </c>
      <c r="N145" s="7" t="s">
        <v>261</v>
      </c>
      <c r="O145" s="7" t="s">
        <v>195</v>
      </c>
      <c r="P145" s="7" t="s">
        <v>11</v>
      </c>
      <c r="Q145" s="7" t="s">
        <v>305</v>
      </c>
      <c r="R145" s="7" t="s">
        <v>896</v>
      </c>
    </row>
    <row r="146" spans="1:18">
      <c r="A146" s="7" t="s">
        <v>1230</v>
      </c>
      <c r="B146" s="7" t="s">
        <v>954</v>
      </c>
      <c r="C146" s="7" t="s">
        <v>401</v>
      </c>
      <c r="D146" s="7" t="s">
        <v>1231</v>
      </c>
      <c r="E146" s="7" t="s">
        <v>339</v>
      </c>
      <c r="F146" s="7" t="s">
        <v>282</v>
      </c>
      <c r="G146" s="7" t="s">
        <v>564</v>
      </c>
      <c r="H146" s="7" t="s">
        <v>115</v>
      </c>
      <c r="I146" s="7" t="s">
        <v>519</v>
      </c>
      <c r="J146" s="7" t="s">
        <v>358</v>
      </c>
      <c r="K146" s="7" t="s">
        <v>1232</v>
      </c>
      <c r="L146" s="7" t="s">
        <v>378</v>
      </c>
      <c r="M146" s="7" t="s">
        <v>303</v>
      </c>
      <c r="N146" s="7" t="s">
        <v>284</v>
      </c>
      <c r="O146" s="7" t="s">
        <v>195</v>
      </c>
      <c r="P146" s="7" t="s">
        <v>11</v>
      </c>
      <c r="Q146" s="7" t="s">
        <v>305</v>
      </c>
      <c r="R146" s="7" t="s">
        <v>896</v>
      </c>
    </row>
    <row r="147" spans="1:18">
      <c r="A147" s="7" t="s">
        <v>1233</v>
      </c>
      <c r="B147" s="7" t="s">
        <v>1030</v>
      </c>
      <c r="C147" s="7" t="s">
        <v>948</v>
      </c>
      <c r="D147" s="7" t="s">
        <v>1123</v>
      </c>
      <c r="E147" s="7" t="s">
        <v>339</v>
      </c>
      <c r="F147" s="7" t="s">
        <v>282</v>
      </c>
      <c r="G147" s="7" t="s">
        <v>461</v>
      </c>
      <c r="H147" s="7" t="s">
        <v>122</v>
      </c>
      <c r="I147" s="7" t="s">
        <v>258</v>
      </c>
      <c r="J147" s="7" t="s">
        <v>529</v>
      </c>
      <c r="K147" s="7"/>
      <c r="L147" s="7"/>
      <c r="M147" s="7" t="s">
        <v>260</v>
      </c>
      <c r="N147" s="7" t="s">
        <v>284</v>
      </c>
      <c r="O147" s="7" t="s">
        <v>195</v>
      </c>
      <c r="P147" s="7"/>
      <c r="Q147" s="7" t="s">
        <v>305</v>
      </c>
      <c r="R147" s="7" t="s">
        <v>896</v>
      </c>
    </row>
    <row r="148" spans="1:18">
      <c r="A148" s="7" t="s">
        <v>1234</v>
      </c>
      <c r="B148" s="7" t="s">
        <v>936</v>
      </c>
      <c r="C148" s="7" t="s">
        <v>278</v>
      </c>
      <c r="D148" s="7" t="s">
        <v>982</v>
      </c>
      <c r="E148" s="7" t="s">
        <v>281</v>
      </c>
      <c r="F148" s="7" t="s">
        <v>297</v>
      </c>
      <c r="G148" s="7" t="s">
        <v>298</v>
      </c>
      <c r="H148" s="7" t="s">
        <v>115</v>
      </c>
      <c r="I148" s="7" t="s">
        <v>316</v>
      </c>
      <c r="J148" s="7" t="s">
        <v>351</v>
      </c>
      <c r="K148" s="7" t="s">
        <v>1235</v>
      </c>
      <c r="L148" s="7" t="s">
        <v>373</v>
      </c>
      <c r="M148" s="7" t="s">
        <v>275</v>
      </c>
      <c r="N148" s="7" t="s">
        <v>304</v>
      </c>
      <c r="O148" s="7" t="s">
        <v>195</v>
      </c>
      <c r="P148" s="7" t="s">
        <v>14</v>
      </c>
      <c r="Q148" s="7" t="s">
        <v>305</v>
      </c>
      <c r="R148" s="7" t="s">
        <v>896</v>
      </c>
    </row>
    <row r="149" spans="1:18">
      <c r="A149" s="7" t="s">
        <v>1236</v>
      </c>
      <c r="B149" s="7" t="s">
        <v>920</v>
      </c>
      <c r="C149" s="7" t="s">
        <v>459</v>
      </c>
      <c r="D149" s="7" t="s">
        <v>1237</v>
      </c>
      <c r="E149" s="7" t="s">
        <v>268</v>
      </c>
      <c r="F149" s="7" t="s">
        <v>297</v>
      </c>
      <c r="G149" s="7" t="s">
        <v>583</v>
      </c>
      <c r="H149" s="7" t="s">
        <v>115</v>
      </c>
      <c r="I149" s="7" t="s">
        <v>299</v>
      </c>
      <c r="J149" s="7" t="s">
        <v>323</v>
      </c>
      <c r="K149" s="7" t="s">
        <v>737</v>
      </c>
      <c r="L149" s="7" t="s">
        <v>570</v>
      </c>
      <c r="M149" s="7" t="s">
        <v>303</v>
      </c>
      <c r="N149" s="7" t="s">
        <v>304</v>
      </c>
      <c r="O149" s="7" t="s">
        <v>195</v>
      </c>
      <c r="P149" s="7" t="s">
        <v>17</v>
      </c>
      <c r="Q149" s="7" t="s">
        <v>318</v>
      </c>
      <c r="R149" s="7" t="s">
        <v>896</v>
      </c>
    </row>
    <row r="150" spans="1:18">
      <c r="A150" s="7" t="s">
        <v>1238</v>
      </c>
      <c r="B150" s="7" t="s">
        <v>940</v>
      </c>
      <c r="C150" s="7" t="s">
        <v>417</v>
      </c>
      <c r="D150" s="7" t="s">
        <v>1239</v>
      </c>
      <c r="E150" s="7" t="s">
        <v>255</v>
      </c>
      <c r="F150" s="7" t="s">
        <v>256</v>
      </c>
      <c r="G150" s="7" t="s">
        <v>257</v>
      </c>
      <c r="H150" s="7" t="s">
        <v>115</v>
      </c>
      <c r="I150" s="7" t="s">
        <v>316</v>
      </c>
      <c r="J150" s="7" t="s">
        <v>392</v>
      </c>
      <c r="K150" s="7" t="s">
        <v>719</v>
      </c>
      <c r="L150" s="7" t="s">
        <v>1240</v>
      </c>
      <c r="M150" s="7" t="s">
        <v>303</v>
      </c>
      <c r="N150" s="7" t="s">
        <v>261</v>
      </c>
      <c r="O150" s="7" t="s">
        <v>169</v>
      </c>
      <c r="P150" s="7" t="s">
        <v>17</v>
      </c>
      <c r="Q150" s="7" t="s">
        <v>326</v>
      </c>
      <c r="R150" s="7" t="s">
        <v>896</v>
      </c>
    </row>
    <row r="151" spans="1:18">
      <c r="A151" s="7" t="s">
        <v>1241</v>
      </c>
      <c r="B151" s="7" t="s">
        <v>981</v>
      </c>
      <c r="C151" s="7" t="s">
        <v>287</v>
      </c>
      <c r="D151" s="7" t="s">
        <v>967</v>
      </c>
      <c r="E151" s="7" t="s">
        <v>268</v>
      </c>
      <c r="F151" s="7" t="s">
        <v>256</v>
      </c>
      <c r="G151" s="7" t="s">
        <v>886</v>
      </c>
      <c r="H151" s="7" t="s">
        <v>115</v>
      </c>
      <c r="I151" s="7" t="s">
        <v>299</v>
      </c>
      <c r="J151" s="7" t="s">
        <v>529</v>
      </c>
      <c r="K151" s="7" t="s">
        <v>1242</v>
      </c>
      <c r="L151" s="7" t="s">
        <v>529</v>
      </c>
      <c r="M151" s="7" t="s">
        <v>335</v>
      </c>
      <c r="N151" s="7" t="s">
        <v>261</v>
      </c>
      <c r="O151" s="7" t="s">
        <v>195</v>
      </c>
      <c r="P151" s="7" t="s">
        <v>8</v>
      </c>
      <c r="Q151" s="7" t="s">
        <v>305</v>
      </c>
      <c r="R151" s="7" t="s">
        <v>896</v>
      </c>
    </row>
    <row r="152" spans="1:18">
      <c r="A152" s="7" t="s">
        <v>1243</v>
      </c>
      <c r="B152" s="7" t="s">
        <v>920</v>
      </c>
      <c r="C152" s="7" t="s">
        <v>522</v>
      </c>
      <c r="D152" s="7" t="s">
        <v>460</v>
      </c>
      <c r="E152" s="7" t="s">
        <v>268</v>
      </c>
      <c r="F152" s="7" t="s">
        <v>297</v>
      </c>
      <c r="G152" s="7" t="s">
        <v>628</v>
      </c>
      <c r="H152" s="7" t="s">
        <v>115</v>
      </c>
      <c r="I152" s="7" t="s">
        <v>258</v>
      </c>
      <c r="J152" s="7" t="s">
        <v>323</v>
      </c>
      <c r="K152" s="7" t="s">
        <v>1244</v>
      </c>
      <c r="L152" s="7" t="s">
        <v>325</v>
      </c>
      <c r="M152" s="7" t="s">
        <v>275</v>
      </c>
      <c r="N152" s="7" t="s">
        <v>304</v>
      </c>
      <c r="O152" s="7" t="s">
        <v>195</v>
      </c>
      <c r="P152" s="7" t="s">
        <v>14</v>
      </c>
      <c r="Q152" s="7" t="s">
        <v>262</v>
      </c>
      <c r="R152" s="7" t="s">
        <v>896</v>
      </c>
    </row>
    <row r="153" spans="1:18">
      <c r="A153" s="7" t="s">
        <v>1245</v>
      </c>
      <c r="B153" s="7" t="s">
        <v>898</v>
      </c>
      <c r="C153" s="7" t="s">
        <v>314</v>
      </c>
      <c r="D153" s="7" t="s">
        <v>1246</v>
      </c>
      <c r="E153" s="7" t="s">
        <v>268</v>
      </c>
      <c r="F153" s="7" t="s">
        <v>256</v>
      </c>
      <c r="G153" s="7" t="s">
        <v>886</v>
      </c>
      <c r="H153" s="7" t="s">
        <v>115</v>
      </c>
      <c r="I153" s="7" t="s">
        <v>271</v>
      </c>
      <c r="J153" s="7" t="s">
        <v>469</v>
      </c>
      <c r="K153" s="7" t="s">
        <v>1089</v>
      </c>
      <c r="L153" s="7" t="s">
        <v>1247</v>
      </c>
      <c r="M153" s="7" t="s">
        <v>275</v>
      </c>
      <c r="N153" s="7" t="s">
        <v>261</v>
      </c>
      <c r="O153" s="7" t="s">
        <v>1248</v>
      </c>
      <c r="P153" s="7" t="s">
        <v>17</v>
      </c>
      <c r="Q153" s="7" t="s">
        <v>262</v>
      </c>
      <c r="R153" s="7" t="s">
        <v>896</v>
      </c>
    </row>
    <row r="154" spans="1:18">
      <c r="A154" s="7" t="s">
        <v>1249</v>
      </c>
      <c r="B154" s="7" t="s">
        <v>902</v>
      </c>
      <c r="C154" s="7" t="s">
        <v>939</v>
      </c>
      <c r="D154" s="7" t="s">
        <v>423</v>
      </c>
      <c r="E154" s="7" t="s">
        <v>339</v>
      </c>
      <c r="F154" s="7" t="s">
        <v>269</v>
      </c>
      <c r="G154" s="7" t="s">
        <v>340</v>
      </c>
      <c r="H154" s="7" t="s">
        <v>122</v>
      </c>
      <c r="I154" s="7" t="s">
        <v>258</v>
      </c>
      <c r="J154" s="7" t="s">
        <v>272</v>
      </c>
      <c r="K154" s="7"/>
      <c r="L154" s="7"/>
      <c r="M154" s="7" t="s">
        <v>260</v>
      </c>
      <c r="N154" s="7"/>
      <c r="O154" s="7" t="s">
        <v>169</v>
      </c>
      <c r="P154" s="7"/>
      <c r="Q154" s="7" t="s">
        <v>305</v>
      </c>
      <c r="R154" s="7" t="s">
        <v>896</v>
      </c>
    </row>
    <row r="155" spans="1:18">
      <c r="A155" s="7" t="s">
        <v>1250</v>
      </c>
      <c r="B155" s="7" t="s">
        <v>898</v>
      </c>
      <c r="C155" s="7" t="s">
        <v>401</v>
      </c>
      <c r="D155" s="7" t="s">
        <v>1251</v>
      </c>
      <c r="E155" s="7" t="s">
        <v>255</v>
      </c>
      <c r="F155" s="7" t="s">
        <v>269</v>
      </c>
      <c r="G155" s="7" t="s">
        <v>542</v>
      </c>
      <c r="H155" s="7" t="s">
        <v>466</v>
      </c>
      <c r="I155" s="7" t="s">
        <v>299</v>
      </c>
      <c r="J155" s="7" t="s">
        <v>351</v>
      </c>
      <c r="K155" s="7"/>
      <c r="L155" s="7"/>
      <c r="M155" s="7" t="s">
        <v>260</v>
      </c>
      <c r="N155" s="7" t="s">
        <v>276</v>
      </c>
      <c r="O155" s="7" t="s">
        <v>169</v>
      </c>
      <c r="P155" s="7"/>
      <c r="Q155" s="7" t="s">
        <v>326</v>
      </c>
      <c r="R155" s="7" t="s">
        <v>896</v>
      </c>
    </row>
    <row r="156" spans="1:18">
      <c r="A156" s="7" t="s">
        <v>1252</v>
      </c>
      <c r="B156" s="7" t="s">
        <v>945</v>
      </c>
      <c r="C156" s="7" t="s">
        <v>859</v>
      </c>
      <c r="D156" s="7" t="s">
        <v>839</v>
      </c>
      <c r="E156" s="7" t="s">
        <v>255</v>
      </c>
      <c r="F156" s="7" t="s">
        <v>256</v>
      </c>
      <c r="G156" s="7" t="s">
        <v>257</v>
      </c>
      <c r="H156" s="7" t="s">
        <v>115</v>
      </c>
      <c r="I156" s="7" t="s">
        <v>258</v>
      </c>
      <c r="J156" s="7" t="s">
        <v>332</v>
      </c>
      <c r="K156" s="7" t="s">
        <v>452</v>
      </c>
      <c r="L156" s="7" t="s">
        <v>333</v>
      </c>
      <c r="M156" s="7" t="s">
        <v>275</v>
      </c>
      <c r="N156" s="7" t="s">
        <v>261</v>
      </c>
      <c r="O156" s="7" t="s">
        <v>169</v>
      </c>
      <c r="P156" s="7" t="s">
        <v>14</v>
      </c>
      <c r="Q156" s="7" t="s">
        <v>305</v>
      </c>
      <c r="R156" s="7" t="s">
        <v>896</v>
      </c>
    </row>
    <row r="157" spans="1:18">
      <c r="A157" s="7" t="s">
        <v>1253</v>
      </c>
      <c r="B157" s="7" t="s">
        <v>1030</v>
      </c>
      <c r="C157" s="7" t="s">
        <v>320</v>
      </c>
      <c r="D157" s="7" t="s">
        <v>579</v>
      </c>
      <c r="E157" s="7" t="s">
        <v>281</v>
      </c>
      <c r="F157" s="7" t="s">
        <v>297</v>
      </c>
      <c r="G157" s="7" t="s">
        <v>368</v>
      </c>
      <c r="H157" s="7" t="s">
        <v>122</v>
      </c>
      <c r="I157" s="7" t="s">
        <v>316</v>
      </c>
      <c r="J157" s="7" t="s">
        <v>300</v>
      </c>
      <c r="K157" s="7"/>
      <c r="L157" s="7"/>
      <c r="M157" s="7" t="s">
        <v>260</v>
      </c>
      <c r="N157" s="7" t="s">
        <v>304</v>
      </c>
      <c r="O157" s="7" t="s">
        <v>169</v>
      </c>
      <c r="P157" s="7"/>
      <c r="Q157" s="7" t="s">
        <v>318</v>
      </c>
      <c r="R157" s="7" t="s">
        <v>896</v>
      </c>
    </row>
    <row r="158" spans="1:18">
      <c r="A158" s="7" t="s">
        <v>1254</v>
      </c>
      <c r="B158" s="7" t="s">
        <v>913</v>
      </c>
      <c r="C158" s="7" t="s">
        <v>925</v>
      </c>
      <c r="D158" s="7" t="s">
        <v>495</v>
      </c>
      <c r="E158" s="7" t="s">
        <v>339</v>
      </c>
      <c r="F158" s="7" t="s">
        <v>409</v>
      </c>
      <c r="G158" s="7" t="s">
        <v>501</v>
      </c>
      <c r="H158" s="7" t="s">
        <v>115</v>
      </c>
      <c r="I158" s="7" t="s">
        <v>299</v>
      </c>
      <c r="J158" s="7" t="s">
        <v>404</v>
      </c>
      <c r="K158" s="7" t="s">
        <v>1255</v>
      </c>
      <c r="L158" s="7" t="s">
        <v>1256</v>
      </c>
      <c r="M158" s="7" t="s">
        <v>293</v>
      </c>
      <c r="N158" s="7" t="s">
        <v>412</v>
      </c>
      <c r="O158" s="7" t="s">
        <v>169</v>
      </c>
      <c r="P158" s="7" t="s">
        <v>17</v>
      </c>
      <c r="Q158" s="7" t="s">
        <v>305</v>
      </c>
      <c r="R158" s="7" t="s">
        <v>896</v>
      </c>
    </row>
    <row r="159" spans="1:18">
      <c r="A159" s="7" t="s">
        <v>1257</v>
      </c>
      <c r="B159" s="7" t="s">
        <v>933</v>
      </c>
      <c r="C159" s="7" t="s">
        <v>458</v>
      </c>
      <c r="D159" s="7" t="s">
        <v>454</v>
      </c>
      <c r="E159" s="7" t="s">
        <v>268</v>
      </c>
      <c r="F159" s="7" t="s">
        <v>269</v>
      </c>
      <c r="G159" s="7" t="s">
        <v>270</v>
      </c>
      <c r="H159" s="7" t="s">
        <v>115</v>
      </c>
      <c r="I159" s="7" t="s">
        <v>271</v>
      </c>
      <c r="J159" s="7" t="s">
        <v>404</v>
      </c>
      <c r="K159" s="7" t="s">
        <v>1258</v>
      </c>
      <c r="L159" s="7" t="s">
        <v>1151</v>
      </c>
      <c r="M159" s="7" t="s">
        <v>275</v>
      </c>
      <c r="N159" s="7" t="s">
        <v>276</v>
      </c>
      <c r="O159" s="7" t="s">
        <v>195</v>
      </c>
      <c r="P159" s="7" t="s">
        <v>8</v>
      </c>
      <c r="Q159" s="7" t="s">
        <v>285</v>
      </c>
      <c r="R159" s="7" t="s">
        <v>896</v>
      </c>
    </row>
    <row r="160" spans="1:18">
      <c r="A160" s="7" t="s">
        <v>1259</v>
      </c>
      <c r="B160" s="7" t="s">
        <v>1125</v>
      </c>
      <c r="C160" s="7" t="s">
        <v>278</v>
      </c>
      <c r="D160" s="7" t="s">
        <v>434</v>
      </c>
      <c r="E160" s="7" t="s">
        <v>339</v>
      </c>
      <c r="F160" s="7" t="s">
        <v>269</v>
      </c>
      <c r="G160" s="7" t="s">
        <v>340</v>
      </c>
      <c r="H160" s="7" t="s">
        <v>1202</v>
      </c>
      <c r="I160" s="7" t="s">
        <v>316</v>
      </c>
      <c r="J160" s="7" t="s">
        <v>447</v>
      </c>
      <c r="K160" s="7"/>
      <c r="L160" s="7"/>
      <c r="M160" s="7" t="s">
        <v>260</v>
      </c>
      <c r="N160" s="7" t="s">
        <v>276</v>
      </c>
      <c r="O160" s="7" t="s">
        <v>169</v>
      </c>
      <c r="P160" s="7"/>
      <c r="Q160" s="7" t="s">
        <v>305</v>
      </c>
      <c r="R160" s="7" t="s">
        <v>896</v>
      </c>
    </row>
    <row r="161" spans="1:18">
      <c r="A161" s="7" t="s">
        <v>1260</v>
      </c>
      <c r="B161" s="7" t="s">
        <v>933</v>
      </c>
      <c r="C161" s="7" t="s">
        <v>459</v>
      </c>
      <c r="D161" s="7" t="s">
        <v>582</v>
      </c>
      <c r="E161" s="7" t="s">
        <v>255</v>
      </c>
      <c r="F161" s="7" t="s">
        <v>297</v>
      </c>
      <c r="G161" s="7" t="s">
        <v>331</v>
      </c>
      <c r="H161" s="7" t="s">
        <v>115</v>
      </c>
      <c r="I161" s="7" t="s">
        <v>258</v>
      </c>
      <c r="J161" s="7" t="s">
        <v>346</v>
      </c>
      <c r="K161" s="7" t="s">
        <v>1203</v>
      </c>
      <c r="L161" s="7" t="s">
        <v>1203</v>
      </c>
      <c r="M161" s="7" t="s">
        <v>293</v>
      </c>
      <c r="N161" s="7" t="s">
        <v>304</v>
      </c>
      <c r="O161" s="7" t="s">
        <v>169</v>
      </c>
      <c r="P161" s="7" t="s">
        <v>14</v>
      </c>
      <c r="Q161" s="7" t="s">
        <v>305</v>
      </c>
      <c r="R161" s="7" t="s">
        <v>896</v>
      </c>
    </row>
    <row r="162" spans="1:18">
      <c r="A162" s="7" t="s">
        <v>1261</v>
      </c>
      <c r="B162" s="7" t="s">
        <v>902</v>
      </c>
      <c r="C162" s="7" t="s">
        <v>666</v>
      </c>
      <c r="D162" s="7" t="s">
        <v>1262</v>
      </c>
      <c r="E162" s="7" t="s">
        <v>281</v>
      </c>
      <c r="F162" s="7" t="s">
        <v>282</v>
      </c>
      <c r="G162" s="7" t="s">
        <v>446</v>
      </c>
      <c r="H162" s="7" t="s">
        <v>115</v>
      </c>
      <c r="I162" s="7" t="s">
        <v>258</v>
      </c>
      <c r="J162" s="7" t="s">
        <v>447</v>
      </c>
      <c r="K162" s="7" t="s">
        <v>547</v>
      </c>
      <c r="L162" s="7" t="s">
        <v>1263</v>
      </c>
      <c r="M162" s="7" t="s">
        <v>335</v>
      </c>
      <c r="N162" s="7" t="s">
        <v>284</v>
      </c>
      <c r="O162" s="7" t="s">
        <v>169</v>
      </c>
      <c r="P162" s="7" t="s">
        <v>14</v>
      </c>
      <c r="Q162" s="7" t="s">
        <v>326</v>
      </c>
      <c r="R162" s="7" t="s">
        <v>896</v>
      </c>
    </row>
    <row r="163" spans="1:18">
      <c r="A163" s="7" t="s">
        <v>1264</v>
      </c>
      <c r="B163" s="7" t="s">
        <v>894</v>
      </c>
      <c r="C163" s="7" t="s">
        <v>933</v>
      </c>
      <c r="D163" s="7" t="s">
        <v>441</v>
      </c>
      <c r="E163" s="7" t="s">
        <v>339</v>
      </c>
      <c r="F163" s="7"/>
      <c r="G163" s="7" t="s">
        <v>564</v>
      </c>
      <c r="H163" s="7" t="s">
        <v>115</v>
      </c>
      <c r="I163" s="7" t="s">
        <v>258</v>
      </c>
      <c r="J163" s="7" t="s">
        <v>341</v>
      </c>
      <c r="K163" s="7" t="s">
        <v>1121</v>
      </c>
      <c r="L163" s="7" t="s">
        <v>1265</v>
      </c>
      <c r="M163" s="7" t="s">
        <v>303</v>
      </c>
      <c r="N163" s="7" t="s">
        <v>284</v>
      </c>
      <c r="O163" s="7" t="s">
        <v>195</v>
      </c>
      <c r="P163" s="7" t="s">
        <v>11</v>
      </c>
      <c r="Q163" s="7" t="s">
        <v>318</v>
      </c>
      <c r="R163" s="7" t="s">
        <v>896</v>
      </c>
    </row>
    <row r="164" spans="1:18">
      <c r="A164" s="7" t="s">
        <v>1266</v>
      </c>
      <c r="B164" s="7" t="s">
        <v>933</v>
      </c>
      <c r="C164" s="7" t="s">
        <v>252</v>
      </c>
      <c r="D164" s="7" t="s">
        <v>1237</v>
      </c>
      <c r="E164" s="7" t="s">
        <v>339</v>
      </c>
      <c r="F164" s="7" t="s">
        <v>256</v>
      </c>
      <c r="G164" s="7" t="s">
        <v>345</v>
      </c>
      <c r="H164" s="7" t="s">
        <v>122</v>
      </c>
      <c r="I164" s="7" t="s">
        <v>258</v>
      </c>
      <c r="J164" s="7" t="s">
        <v>404</v>
      </c>
      <c r="K164" s="7"/>
      <c r="L164" s="7"/>
      <c r="M164" s="7" t="s">
        <v>260</v>
      </c>
      <c r="N164" s="7" t="s">
        <v>888</v>
      </c>
      <c r="O164" s="7" t="s">
        <v>169</v>
      </c>
      <c r="P164" s="7"/>
      <c r="Q164" s="7" t="s">
        <v>318</v>
      </c>
      <c r="R164" s="7" t="s">
        <v>896</v>
      </c>
    </row>
    <row r="165" spans="1:18">
      <c r="A165" s="7" t="s">
        <v>1267</v>
      </c>
      <c r="B165" s="7" t="s">
        <v>1030</v>
      </c>
      <c r="C165" s="7" t="s">
        <v>396</v>
      </c>
      <c r="D165" s="7" t="s">
        <v>1268</v>
      </c>
      <c r="E165" s="7" t="s">
        <v>339</v>
      </c>
      <c r="F165" s="7" t="s">
        <v>256</v>
      </c>
      <c r="G165" s="7" t="s">
        <v>345</v>
      </c>
      <c r="H165" s="7" t="s">
        <v>115</v>
      </c>
      <c r="I165" s="7" t="s">
        <v>271</v>
      </c>
      <c r="J165" s="7" t="s">
        <v>272</v>
      </c>
      <c r="K165" s="7" t="s">
        <v>671</v>
      </c>
      <c r="L165" s="7" t="s">
        <v>1269</v>
      </c>
      <c r="M165" s="7" t="s">
        <v>293</v>
      </c>
      <c r="N165" s="7" t="s">
        <v>261</v>
      </c>
      <c r="O165" s="7" t="s">
        <v>169</v>
      </c>
      <c r="P165" s="7" t="s">
        <v>8</v>
      </c>
      <c r="Q165" s="7" t="s">
        <v>305</v>
      </c>
      <c r="R165" s="7" t="s">
        <v>896</v>
      </c>
    </row>
    <row r="166" spans="1:18">
      <c r="A166" s="7" t="s">
        <v>915</v>
      </c>
      <c r="B166" s="7" t="s">
        <v>913</v>
      </c>
      <c r="C166" s="7" t="s">
        <v>899</v>
      </c>
      <c r="D166" s="7" t="s">
        <v>916</v>
      </c>
      <c r="E166" s="7" t="s">
        <v>339</v>
      </c>
      <c r="F166" s="7" t="s">
        <v>282</v>
      </c>
      <c r="G166" s="7" t="s">
        <v>461</v>
      </c>
      <c r="H166" s="7" t="s">
        <v>115</v>
      </c>
      <c r="I166" s="7" t="s">
        <v>258</v>
      </c>
      <c r="J166" s="7" t="s">
        <v>351</v>
      </c>
      <c r="K166" s="7" t="s">
        <v>917</v>
      </c>
      <c r="L166" s="7" t="s">
        <v>918</v>
      </c>
      <c r="M166" s="7" t="s">
        <v>293</v>
      </c>
      <c r="N166" s="7" t="s">
        <v>284</v>
      </c>
      <c r="O166" s="7" t="s">
        <v>195</v>
      </c>
      <c r="P166" s="7" t="s">
        <v>17</v>
      </c>
      <c r="Q166" s="7" t="s">
        <v>318</v>
      </c>
      <c r="R166" s="7" t="s">
        <v>896</v>
      </c>
    </row>
    <row r="167" spans="1:18">
      <c r="A167" s="7" t="s">
        <v>1045</v>
      </c>
      <c r="B167" s="7" t="s">
        <v>939</v>
      </c>
      <c r="C167" s="7" t="s">
        <v>898</v>
      </c>
      <c r="D167" s="7" t="s">
        <v>638</v>
      </c>
      <c r="E167" s="7" t="s">
        <v>339</v>
      </c>
      <c r="F167" s="7" t="s">
        <v>256</v>
      </c>
      <c r="G167" s="7" t="s">
        <v>403</v>
      </c>
      <c r="H167" s="7" t="s">
        <v>115</v>
      </c>
      <c r="I167" s="7" t="s">
        <v>316</v>
      </c>
      <c r="J167" s="7" t="s">
        <v>346</v>
      </c>
      <c r="K167" s="7" t="s">
        <v>1046</v>
      </c>
      <c r="L167" s="7" t="s">
        <v>1047</v>
      </c>
      <c r="M167" s="7" t="s">
        <v>335</v>
      </c>
      <c r="N167" s="7" t="s">
        <v>261</v>
      </c>
      <c r="O167" s="7" t="s">
        <v>169</v>
      </c>
      <c r="P167" s="7" t="s">
        <v>11</v>
      </c>
      <c r="Q167" s="7" t="s">
        <v>305</v>
      </c>
      <c r="R167" s="7" t="s">
        <v>896</v>
      </c>
    </row>
    <row r="168" spans="1:18">
      <c r="A168" s="7" t="s">
        <v>1161</v>
      </c>
      <c r="B168" s="7" t="s">
        <v>993</v>
      </c>
      <c r="C168" s="7" t="s">
        <v>449</v>
      </c>
      <c r="D168" s="7" t="s">
        <v>1162</v>
      </c>
      <c r="E168" s="7" t="s">
        <v>255</v>
      </c>
      <c r="F168" s="7" t="s">
        <v>297</v>
      </c>
      <c r="G168" s="7" t="s">
        <v>331</v>
      </c>
      <c r="H168" s="7" t="s">
        <v>127</v>
      </c>
      <c r="I168" s="7" t="s">
        <v>316</v>
      </c>
      <c r="J168" s="7" t="s">
        <v>358</v>
      </c>
      <c r="K168" s="7"/>
      <c r="L168" s="7"/>
      <c r="M168" s="7" t="s">
        <v>260</v>
      </c>
      <c r="N168" s="7" t="s">
        <v>1163</v>
      </c>
      <c r="O168" s="7" t="s">
        <v>195</v>
      </c>
      <c r="P168" s="7"/>
      <c r="Q168" s="7" t="s">
        <v>262</v>
      </c>
      <c r="R168" s="7" t="s">
        <v>896</v>
      </c>
    </row>
  </sheetData>
  <mergeCells count="2">
    <mergeCell ref="A1:R2"/>
    <mergeCell ref="A3:R3"/>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R168"/>
  <sheetViews>
    <sheetView showGridLines="0" workbookViewId="0">
      <selection activeCell="A7" sqref="A7"/>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49" t="s">
        <v>1270</v>
      </c>
      <c r="B1" s="49"/>
      <c r="C1" s="49"/>
      <c r="D1" s="49"/>
      <c r="E1" s="49"/>
      <c r="F1" s="49"/>
      <c r="G1" s="49"/>
      <c r="H1" s="49"/>
      <c r="I1" s="49"/>
      <c r="J1" s="49"/>
      <c r="K1" s="49"/>
      <c r="L1" s="49"/>
      <c r="M1" s="49"/>
      <c r="N1" s="49"/>
      <c r="O1" s="49"/>
      <c r="P1" s="49"/>
      <c r="Q1" s="49"/>
      <c r="R1" s="49"/>
    </row>
    <row r="2" spans="1:18">
      <c r="A2" s="49"/>
      <c r="B2" s="49"/>
      <c r="C2" s="49"/>
      <c r="D2" s="49"/>
      <c r="E2" s="49"/>
      <c r="F2" s="49"/>
      <c r="G2" s="49"/>
      <c r="H2" s="49"/>
      <c r="I2" s="49"/>
      <c r="J2" s="49"/>
      <c r="K2" s="49"/>
      <c r="L2" s="49"/>
      <c r="M2" s="49"/>
      <c r="N2" s="49"/>
      <c r="O2" s="49"/>
      <c r="P2" s="49"/>
      <c r="Q2" s="49"/>
      <c r="R2" s="49"/>
    </row>
    <row r="3" spans="1:18">
      <c r="A3" s="50" t="s">
        <v>250</v>
      </c>
      <c r="B3" s="50"/>
      <c r="C3" s="50"/>
      <c r="D3" s="50"/>
      <c r="E3" s="50"/>
      <c r="F3" s="50"/>
      <c r="G3" s="50"/>
      <c r="H3" s="50"/>
      <c r="I3" s="50"/>
      <c r="J3" s="50"/>
      <c r="K3" s="50"/>
      <c r="L3" s="50"/>
      <c r="M3" s="50"/>
      <c r="N3" s="50"/>
      <c r="O3" s="50"/>
      <c r="P3" s="50"/>
      <c r="Q3" s="50"/>
      <c r="R3" s="50"/>
    </row>
    <row r="4" spans="1:18" ht="14.5">
      <c r="A4" s="2"/>
      <c r="B4" s="2"/>
      <c r="C4" s="2"/>
      <c r="D4" s="2"/>
      <c r="E4" s="2"/>
      <c r="F4" s="2"/>
      <c r="G4" s="2"/>
      <c r="H4" s="2"/>
      <c r="I4" s="2"/>
      <c r="J4" s="2"/>
      <c r="K4" s="2"/>
      <c r="L4" s="2"/>
      <c r="M4" s="2"/>
      <c r="N4" s="2"/>
      <c r="O4" s="2"/>
      <c r="P4" s="2"/>
      <c r="Q4" s="2"/>
      <c r="R4" s="2"/>
    </row>
    <row r="5" spans="1:18" ht="29">
      <c r="A5" s="1" t="s">
        <v>166</v>
      </c>
      <c r="B5" s="1" t="s">
        <v>171</v>
      </c>
      <c r="C5" s="1" t="s">
        <v>175</v>
      </c>
      <c r="D5" s="1" t="s">
        <v>178</v>
      </c>
      <c r="E5" s="1" t="s">
        <v>181</v>
      </c>
      <c r="F5" s="1" t="s">
        <v>184</v>
      </c>
      <c r="G5" s="1" t="s">
        <v>187</v>
      </c>
      <c r="H5" s="1" t="s">
        <v>190</v>
      </c>
      <c r="I5" s="1" t="s">
        <v>193</v>
      </c>
      <c r="J5" s="1" t="s">
        <v>197</v>
      </c>
      <c r="K5" s="1" t="s">
        <v>201</v>
      </c>
      <c r="L5" s="1" t="s">
        <v>205</v>
      </c>
      <c r="M5" s="1" t="s">
        <v>207</v>
      </c>
      <c r="N5" s="1" t="s">
        <v>211</v>
      </c>
      <c r="O5" s="1" t="s">
        <v>215</v>
      </c>
      <c r="P5" s="1" t="s">
        <v>219</v>
      </c>
      <c r="Q5" s="1" t="s">
        <v>222</v>
      </c>
      <c r="R5" s="1" t="s">
        <v>225</v>
      </c>
    </row>
    <row r="6" spans="1:18">
      <c r="A6" s="7" t="s">
        <v>1271</v>
      </c>
      <c r="B6" s="7" t="s">
        <v>1272</v>
      </c>
      <c r="C6" s="7" t="s">
        <v>337</v>
      </c>
      <c r="D6" s="7" t="s">
        <v>518</v>
      </c>
      <c r="E6" s="7" t="s">
        <v>255</v>
      </c>
      <c r="F6" s="7" t="s">
        <v>256</v>
      </c>
      <c r="G6" s="7" t="s">
        <v>257</v>
      </c>
      <c r="H6" s="7" t="s">
        <v>122</v>
      </c>
      <c r="I6" s="7" t="s">
        <v>299</v>
      </c>
      <c r="J6" s="7" t="s">
        <v>525</v>
      </c>
      <c r="K6" s="7"/>
      <c r="L6" s="7"/>
      <c r="M6" s="7" t="s">
        <v>260</v>
      </c>
      <c r="N6" s="7" t="s">
        <v>261</v>
      </c>
      <c r="O6" s="7" t="s">
        <v>195</v>
      </c>
      <c r="P6" s="7"/>
      <c r="Q6" s="7" t="s">
        <v>326</v>
      </c>
      <c r="R6" s="7" t="s">
        <v>1273</v>
      </c>
    </row>
    <row r="7" spans="1:18">
      <c r="A7" s="7" t="s">
        <v>1274</v>
      </c>
      <c r="B7" s="7" t="s">
        <v>1275</v>
      </c>
      <c r="C7" s="7" t="s">
        <v>1087</v>
      </c>
      <c r="D7" s="7" t="s">
        <v>677</v>
      </c>
      <c r="E7" s="7" t="s">
        <v>281</v>
      </c>
      <c r="F7" s="7" t="s">
        <v>297</v>
      </c>
      <c r="G7" s="7" t="s">
        <v>368</v>
      </c>
      <c r="H7" s="7" t="s">
        <v>115</v>
      </c>
      <c r="I7" s="7" t="s">
        <v>299</v>
      </c>
      <c r="J7" s="7" t="s">
        <v>272</v>
      </c>
      <c r="K7" s="7" t="s">
        <v>644</v>
      </c>
      <c r="L7" s="7" t="s">
        <v>543</v>
      </c>
      <c r="M7" s="7" t="s">
        <v>275</v>
      </c>
      <c r="N7" s="7" t="s">
        <v>304</v>
      </c>
      <c r="O7" s="7" t="s">
        <v>195</v>
      </c>
      <c r="P7" s="7" t="s">
        <v>17</v>
      </c>
      <c r="Q7" s="7" t="s">
        <v>262</v>
      </c>
      <c r="R7" s="7" t="s">
        <v>1273</v>
      </c>
    </row>
    <row r="8" spans="1:18">
      <c r="A8" s="7" t="s">
        <v>1276</v>
      </c>
      <c r="B8" s="7" t="s">
        <v>1277</v>
      </c>
      <c r="C8" s="7" t="s">
        <v>406</v>
      </c>
      <c r="D8" s="7" t="s">
        <v>610</v>
      </c>
      <c r="E8" s="7" t="s">
        <v>268</v>
      </c>
      <c r="F8" s="7" t="s">
        <v>297</v>
      </c>
      <c r="G8" s="7" t="s">
        <v>583</v>
      </c>
      <c r="H8" s="7" t="s">
        <v>115</v>
      </c>
      <c r="I8" s="7" t="s">
        <v>271</v>
      </c>
      <c r="J8" s="7" t="s">
        <v>272</v>
      </c>
      <c r="K8" s="7" t="s">
        <v>698</v>
      </c>
      <c r="L8" s="7" t="s">
        <v>455</v>
      </c>
      <c r="M8" s="7" t="s">
        <v>293</v>
      </c>
      <c r="N8" s="7" t="s">
        <v>304</v>
      </c>
      <c r="O8" s="7" t="s">
        <v>195</v>
      </c>
      <c r="P8" s="7" t="s">
        <v>11</v>
      </c>
      <c r="Q8" s="7" t="s">
        <v>285</v>
      </c>
      <c r="R8" s="7" t="s">
        <v>1273</v>
      </c>
    </row>
    <row r="9" spans="1:18">
      <c r="A9" s="7" t="s">
        <v>1278</v>
      </c>
      <c r="B9" s="7" t="s">
        <v>1279</v>
      </c>
      <c r="C9" s="7" t="s">
        <v>522</v>
      </c>
      <c r="D9" s="7" t="s">
        <v>1280</v>
      </c>
      <c r="E9" s="7" t="s">
        <v>268</v>
      </c>
      <c r="F9" s="7" t="s">
        <v>256</v>
      </c>
      <c r="G9" s="7" t="s">
        <v>886</v>
      </c>
      <c r="H9" s="7" t="s">
        <v>115</v>
      </c>
      <c r="I9" s="7" t="s">
        <v>316</v>
      </c>
      <c r="J9" s="7" t="s">
        <v>399</v>
      </c>
      <c r="K9" s="7" t="s">
        <v>1281</v>
      </c>
      <c r="L9" s="7" t="s">
        <v>660</v>
      </c>
      <c r="M9" s="7" t="s">
        <v>293</v>
      </c>
      <c r="N9" s="7" t="s">
        <v>261</v>
      </c>
      <c r="O9" s="7" t="s">
        <v>169</v>
      </c>
      <c r="P9" s="7" t="s">
        <v>17</v>
      </c>
      <c r="Q9" s="7" t="s">
        <v>326</v>
      </c>
      <c r="R9" s="7" t="s">
        <v>1273</v>
      </c>
    </row>
    <row r="10" spans="1:18">
      <c r="A10" s="7" t="s">
        <v>1282</v>
      </c>
      <c r="B10" s="7" t="s">
        <v>1283</v>
      </c>
      <c r="C10" s="7" t="s">
        <v>993</v>
      </c>
      <c r="D10" s="7" t="s">
        <v>1193</v>
      </c>
      <c r="E10" s="7" t="s">
        <v>255</v>
      </c>
      <c r="F10" s="7" t="s">
        <v>409</v>
      </c>
      <c r="G10" s="7" t="s">
        <v>648</v>
      </c>
      <c r="H10" s="7" t="s">
        <v>122</v>
      </c>
      <c r="I10" s="7" t="s">
        <v>258</v>
      </c>
      <c r="J10" s="7" t="s">
        <v>346</v>
      </c>
      <c r="K10" s="7"/>
      <c r="L10" s="7"/>
      <c r="M10" s="7" t="s">
        <v>260</v>
      </c>
      <c r="N10" s="7" t="s">
        <v>412</v>
      </c>
      <c r="O10" s="7" t="s">
        <v>195</v>
      </c>
      <c r="P10" s="7"/>
      <c r="Q10" s="7" t="s">
        <v>262</v>
      </c>
      <c r="R10" s="7" t="s">
        <v>1273</v>
      </c>
    </row>
    <row r="11" spans="1:18">
      <c r="A11" s="7" t="s">
        <v>1284</v>
      </c>
      <c r="B11" s="7" t="s">
        <v>1285</v>
      </c>
      <c r="C11" s="7" t="s">
        <v>279</v>
      </c>
      <c r="D11" s="7" t="s">
        <v>579</v>
      </c>
      <c r="E11" s="7" t="s">
        <v>339</v>
      </c>
      <c r="F11" s="7" t="s">
        <v>409</v>
      </c>
      <c r="G11" s="7" t="s">
        <v>476</v>
      </c>
      <c r="H11" s="7" t="s">
        <v>115</v>
      </c>
      <c r="I11" s="7" t="s">
        <v>271</v>
      </c>
      <c r="J11" s="7" t="s">
        <v>351</v>
      </c>
      <c r="K11" s="7" t="s">
        <v>1286</v>
      </c>
      <c r="L11" s="7" t="s">
        <v>452</v>
      </c>
      <c r="M11" s="7" t="s">
        <v>275</v>
      </c>
      <c r="N11" s="7" t="s">
        <v>412</v>
      </c>
      <c r="O11" s="7" t="s">
        <v>169</v>
      </c>
      <c r="P11" s="7" t="s">
        <v>14</v>
      </c>
      <c r="Q11" s="7" t="s">
        <v>305</v>
      </c>
      <c r="R11" s="7" t="s">
        <v>1273</v>
      </c>
    </row>
    <row r="12" spans="1:18">
      <c r="A12" s="7" t="s">
        <v>1287</v>
      </c>
      <c r="B12" s="7" t="s">
        <v>1288</v>
      </c>
      <c r="C12" s="7" t="s">
        <v>320</v>
      </c>
      <c r="D12" s="7" t="s">
        <v>795</v>
      </c>
      <c r="E12" s="7" t="s">
        <v>268</v>
      </c>
      <c r="F12" s="7" t="s">
        <v>409</v>
      </c>
      <c r="G12" s="7" t="s">
        <v>552</v>
      </c>
      <c r="H12" s="7" t="s">
        <v>122</v>
      </c>
      <c r="I12" s="7" t="s">
        <v>299</v>
      </c>
      <c r="J12" s="7" t="s">
        <v>358</v>
      </c>
      <c r="K12" s="7"/>
      <c r="L12" s="7"/>
      <c r="M12" s="7" t="s">
        <v>260</v>
      </c>
      <c r="N12" s="7" t="s">
        <v>412</v>
      </c>
      <c r="O12" s="7" t="s">
        <v>195</v>
      </c>
      <c r="P12" s="7"/>
      <c r="Q12" s="7" t="s">
        <v>305</v>
      </c>
      <c r="R12" s="7" t="s">
        <v>1273</v>
      </c>
    </row>
    <row r="13" spans="1:18">
      <c r="A13" s="7" t="s">
        <v>1289</v>
      </c>
      <c r="B13" s="7" t="s">
        <v>1290</v>
      </c>
      <c r="C13" s="7" t="s">
        <v>417</v>
      </c>
      <c r="D13" s="7" t="s">
        <v>1097</v>
      </c>
      <c r="E13" s="7" t="s">
        <v>255</v>
      </c>
      <c r="F13" s="7" t="s">
        <v>256</v>
      </c>
      <c r="G13" s="7" t="s">
        <v>398</v>
      </c>
      <c r="H13" s="7" t="s">
        <v>115</v>
      </c>
      <c r="I13" s="7" t="s">
        <v>316</v>
      </c>
      <c r="J13" s="7" t="s">
        <v>332</v>
      </c>
      <c r="K13" s="7" t="s">
        <v>1218</v>
      </c>
      <c r="L13" s="7" t="s">
        <v>689</v>
      </c>
      <c r="M13" s="7" t="s">
        <v>303</v>
      </c>
      <c r="N13" s="7" t="s">
        <v>261</v>
      </c>
      <c r="O13" s="7" t="s">
        <v>169</v>
      </c>
      <c r="P13" s="7" t="s">
        <v>17</v>
      </c>
      <c r="Q13" s="7" t="s">
        <v>326</v>
      </c>
      <c r="R13" s="7" t="s">
        <v>1273</v>
      </c>
    </row>
    <row r="14" spans="1:18">
      <c r="A14" s="7" t="s">
        <v>1291</v>
      </c>
      <c r="B14" s="7" t="s">
        <v>1292</v>
      </c>
      <c r="C14" s="7" t="s">
        <v>960</v>
      </c>
      <c r="D14" s="7" t="s">
        <v>634</v>
      </c>
      <c r="E14" s="7" t="s">
        <v>281</v>
      </c>
      <c r="F14" s="7" t="s">
        <v>282</v>
      </c>
      <c r="G14" s="7" t="s">
        <v>446</v>
      </c>
      <c r="H14" s="7" t="s">
        <v>115</v>
      </c>
      <c r="I14" s="7" t="s">
        <v>316</v>
      </c>
      <c r="J14" s="7" t="s">
        <v>399</v>
      </c>
      <c r="K14" s="7" t="s">
        <v>1009</v>
      </c>
      <c r="L14" s="7" t="s">
        <v>1293</v>
      </c>
      <c r="M14" s="7" t="s">
        <v>303</v>
      </c>
      <c r="N14" s="7" t="s">
        <v>284</v>
      </c>
      <c r="O14" s="7" t="s">
        <v>195</v>
      </c>
      <c r="P14" s="7" t="s">
        <v>17</v>
      </c>
      <c r="Q14" s="7" t="s">
        <v>262</v>
      </c>
      <c r="R14" s="7" t="s">
        <v>1273</v>
      </c>
    </row>
    <row r="15" spans="1:18">
      <c r="A15" s="7" t="s">
        <v>1294</v>
      </c>
      <c r="B15" s="7" t="s">
        <v>1288</v>
      </c>
      <c r="C15" s="7" t="s">
        <v>960</v>
      </c>
      <c r="D15" s="7" t="s">
        <v>845</v>
      </c>
      <c r="E15" s="7" t="s">
        <v>268</v>
      </c>
      <c r="F15" s="7" t="s">
        <v>256</v>
      </c>
      <c r="G15" s="7" t="s">
        <v>419</v>
      </c>
      <c r="H15" s="7" t="s">
        <v>115</v>
      </c>
      <c r="I15" s="7" t="s">
        <v>271</v>
      </c>
      <c r="J15" s="7" t="s">
        <v>392</v>
      </c>
      <c r="K15" s="7" t="s">
        <v>833</v>
      </c>
      <c r="L15" s="7" t="s">
        <v>394</v>
      </c>
      <c r="M15" s="7" t="s">
        <v>275</v>
      </c>
      <c r="N15" s="7" t="s">
        <v>261</v>
      </c>
      <c r="O15" s="7" t="s">
        <v>169</v>
      </c>
      <c r="P15" s="7" t="s">
        <v>17</v>
      </c>
      <c r="Q15" s="7" t="s">
        <v>285</v>
      </c>
      <c r="R15" s="7" t="s">
        <v>1273</v>
      </c>
    </row>
    <row r="16" spans="1:18">
      <c r="A16" s="7" t="s">
        <v>1295</v>
      </c>
      <c r="B16" s="7" t="s">
        <v>1296</v>
      </c>
      <c r="C16" s="7" t="s">
        <v>493</v>
      </c>
      <c r="D16" s="7" t="s">
        <v>1297</v>
      </c>
      <c r="E16" s="7" t="s">
        <v>268</v>
      </c>
      <c r="F16" s="7" t="s">
        <v>297</v>
      </c>
      <c r="G16" s="7" t="s">
        <v>628</v>
      </c>
      <c r="H16" s="7" t="s">
        <v>115</v>
      </c>
      <c r="I16" s="7" t="s">
        <v>316</v>
      </c>
      <c r="J16" s="7" t="s">
        <v>332</v>
      </c>
      <c r="K16" s="7" t="s">
        <v>663</v>
      </c>
      <c r="L16" s="7" t="s">
        <v>332</v>
      </c>
      <c r="M16" s="7" t="s">
        <v>275</v>
      </c>
      <c r="N16" s="7" t="s">
        <v>304</v>
      </c>
      <c r="O16" s="7" t="s">
        <v>195</v>
      </c>
      <c r="P16" s="7" t="s">
        <v>17</v>
      </c>
      <c r="Q16" s="7" t="s">
        <v>285</v>
      </c>
      <c r="R16" s="7" t="s">
        <v>1273</v>
      </c>
    </row>
    <row r="17" spans="1:18">
      <c r="A17" s="7" t="s">
        <v>1298</v>
      </c>
      <c r="B17" s="7" t="s">
        <v>1288</v>
      </c>
      <c r="C17" s="7" t="s">
        <v>1290</v>
      </c>
      <c r="D17" s="7" t="s">
        <v>1299</v>
      </c>
      <c r="E17" s="7" t="s">
        <v>281</v>
      </c>
      <c r="F17" s="7" t="s">
        <v>269</v>
      </c>
      <c r="G17" s="7" t="s">
        <v>322</v>
      </c>
      <c r="H17" s="7" t="s">
        <v>115</v>
      </c>
      <c r="I17" s="7" t="s">
        <v>299</v>
      </c>
      <c r="J17" s="7" t="s">
        <v>259</v>
      </c>
      <c r="K17" s="7" t="s">
        <v>1058</v>
      </c>
      <c r="L17" s="7" t="s">
        <v>1300</v>
      </c>
      <c r="M17" s="7" t="s">
        <v>275</v>
      </c>
      <c r="N17" s="7" t="s">
        <v>276</v>
      </c>
      <c r="O17" s="7" t="s">
        <v>195</v>
      </c>
      <c r="P17" s="7" t="s">
        <v>14</v>
      </c>
      <c r="Q17" s="7" t="s">
        <v>305</v>
      </c>
      <c r="R17" s="7" t="s">
        <v>1273</v>
      </c>
    </row>
    <row r="18" spans="1:18">
      <c r="A18" s="7" t="s">
        <v>1301</v>
      </c>
      <c r="B18" s="7" t="s">
        <v>1283</v>
      </c>
      <c r="C18" s="7" t="s">
        <v>974</v>
      </c>
      <c r="D18" s="7" t="s">
        <v>1302</v>
      </c>
      <c r="E18" s="7" t="s">
        <v>255</v>
      </c>
      <c r="F18" s="7" t="s">
        <v>256</v>
      </c>
      <c r="G18" s="7" t="s">
        <v>398</v>
      </c>
      <c r="H18" s="7" t="s">
        <v>115</v>
      </c>
      <c r="I18" s="7" t="s">
        <v>271</v>
      </c>
      <c r="J18" s="7" t="s">
        <v>525</v>
      </c>
      <c r="K18" s="7" t="s">
        <v>431</v>
      </c>
      <c r="L18" s="7" t="s">
        <v>1303</v>
      </c>
      <c r="M18" s="7" t="s">
        <v>275</v>
      </c>
      <c r="N18" s="7" t="s">
        <v>261</v>
      </c>
      <c r="O18" s="7" t="s">
        <v>195</v>
      </c>
      <c r="P18" s="7" t="s">
        <v>8</v>
      </c>
      <c r="Q18" s="7" t="s">
        <v>305</v>
      </c>
      <c r="R18" s="7" t="s">
        <v>1273</v>
      </c>
    </row>
    <row r="19" spans="1:18">
      <c r="A19" s="7" t="s">
        <v>1304</v>
      </c>
      <c r="B19" s="7" t="s">
        <v>1305</v>
      </c>
      <c r="C19" s="7" t="s">
        <v>940</v>
      </c>
      <c r="D19" s="7" t="s">
        <v>882</v>
      </c>
      <c r="E19" s="7" t="s">
        <v>339</v>
      </c>
      <c r="F19" s="7" t="s">
        <v>282</v>
      </c>
      <c r="G19" s="7" t="s">
        <v>461</v>
      </c>
      <c r="H19" s="7" t="s">
        <v>115</v>
      </c>
      <c r="I19" s="7" t="s">
        <v>271</v>
      </c>
      <c r="J19" s="7" t="s">
        <v>399</v>
      </c>
      <c r="K19" s="7" t="s">
        <v>1306</v>
      </c>
      <c r="L19" s="7" t="s">
        <v>1307</v>
      </c>
      <c r="M19" s="7" t="s">
        <v>303</v>
      </c>
      <c r="N19" s="7" t="s">
        <v>284</v>
      </c>
      <c r="O19" s="7" t="s">
        <v>195</v>
      </c>
      <c r="P19" s="7" t="s">
        <v>17</v>
      </c>
      <c r="Q19" s="7" t="s">
        <v>318</v>
      </c>
      <c r="R19" s="7" t="s">
        <v>1273</v>
      </c>
    </row>
    <row r="20" spans="1:18">
      <c r="A20" s="7" t="s">
        <v>1308</v>
      </c>
      <c r="B20" s="7" t="s">
        <v>1309</v>
      </c>
      <c r="C20" s="7" t="s">
        <v>925</v>
      </c>
      <c r="D20" s="7" t="s">
        <v>601</v>
      </c>
      <c r="E20" s="7" t="s">
        <v>255</v>
      </c>
      <c r="F20" s="7" t="s">
        <v>256</v>
      </c>
      <c r="G20" s="7" t="s">
        <v>398</v>
      </c>
      <c r="H20" s="7" t="s">
        <v>466</v>
      </c>
      <c r="I20" s="7" t="s">
        <v>316</v>
      </c>
      <c r="J20" s="7" t="s">
        <v>529</v>
      </c>
      <c r="K20" s="7"/>
      <c r="L20" s="7"/>
      <c r="M20" s="7" t="s">
        <v>260</v>
      </c>
      <c r="N20" s="7" t="s">
        <v>261</v>
      </c>
      <c r="O20" s="7" t="s">
        <v>195</v>
      </c>
      <c r="P20" s="7"/>
      <c r="Q20" s="7" t="s">
        <v>318</v>
      </c>
      <c r="R20" s="7" t="s">
        <v>1273</v>
      </c>
    </row>
    <row r="21" spans="1:18">
      <c r="A21" s="7" t="s">
        <v>1310</v>
      </c>
      <c r="B21" s="7" t="s">
        <v>1311</v>
      </c>
      <c r="C21" s="7" t="s">
        <v>1087</v>
      </c>
      <c r="D21" s="7" t="s">
        <v>1222</v>
      </c>
      <c r="E21" s="7" t="s">
        <v>339</v>
      </c>
      <c r="F21" s="7" t="s">
        <v>409</v>
      </c>
      <c r="G21" s="7" t="s">
        <v>476</v>
      </c>
      <c r="H21" s="7" t="s">
        <v>115</v>
      </c>
      <c r="I21" s="7" t="s">
        <v>271</v>
      </c>
      <c r="J21" s="7" t="s">
        <v>323</v>
      </c>
      <c r="K21" s="7" t="s">
        <v>965</v>
      </c>
      <c r="L21" s="7" t="s">
        <v>1312</v>
      </c>
      <c r="M21" s="7" t="s">
        <v>303</v>
      </c>
      <c r="N21" s="7" t="s">
        <v>412</v>
      </c>
      <c r="O21" s="7" t="s">
        <v>195</v>
      </c>
      <c r="P21" s="7" t="s">
        <v>14</v>
      </c>
      <c r="Q21" s="7" t="s">
        <v>305</v>
      </c>
      <c r="R21" s="7" t="s">
        <v>1273</v>
      </c>
    </row>
    <row r="22" spans="1:18">
      <c r="A22" s="7" t="s">
        <v>1313</v>
      </c>
      <c r="B22" s="7" t="s">
        <v>1314</v>
      </c>
      <c r="C22" s="7" t="s">
        <v>902</v>
      </c>
      <c r="D22" s="7" t="s">
        <v>523</v>
      </c>
      <c r="E22" s="7" t="s">
        <v>268</v>
      </c>
      <c r="F22" s="7" t="s">
        <v>409</v>
      </c>
      <c r="G22" s="7" t="s">
        <v>552</v>
      </c>
      <c r="H22" s="7" t="s">
        <v>115</v>
      </c>
      <c r="I22" s="7" t="s">
        <v>299</v>
      </c>
      <c r="J22" s="7" t="s">
        <v>399</v>
      </c>
      <c r="K22" s="7" t="s">
        <v>1315</v>
      </c>
      <c r="L22" s="7" t="s">
        <v>1316</v>
      </c>
      <c r="M22" s="7" t="s">
        <v>293</v>
      </c>
      <c r="N22" s="7" t="s">
        <v>412</v>
      </c>
      <c r="O22" s="7" t="s">
        <v>195</v>
      </c>
      <c r="P22" s="7" t="s">
        <v>11</v>
      </c>
      <c r="Q22" s="7" t="s">
        <v>318</v>
      </c>
      <c r="R22" s="7" t="s">
        <v>1273</v>
      </c>
    </row>
    <row r="23" spans="1:18">
      <c r="A23" s="7" t="s">
        <v>1317</v>
      </c>
      <c r="B23" s="7" t="s">
        <v>1318</v>
      </c>
      <c r="C23" s="7" t="s">
        <v>1087</v>
      </c>
      <c r="D23" s="7" t="s">
        <v>963</v>
      </c>
      <c r="E23" s="7" t="s">
        <v>339</v>
      </c>
      <c r="F23" s="7" t="s">
        <v>269</v>
      </c>
      <c r="G23" s="7" t="s">
        <v>340</v>
      </c>
      <c r="H23" s="7" t="s">
        <v>122</v>
      </c>
      <c r="I23" s="7" t="s">
        <v>258</v>
      </c>
      <c r="J23" s="7" t="s">
        <v>469</v>
      </c>
      <c r="K23" s="7"/>
      <c r="L23" s="7"/>
      <c r="M23" s="7" t="s">
        <v>260</v>
      </c>
      <c r="N23" s="7" t="s">
        <v>276</v>
      </c>
      <c r="O23" s="7" t="s">
        <v>169</v>
      </c>
      <c r="P23" s="7"/>
      <c r="Q23" s="7" t="s">
        <v>262</v>
      </c>
      <c r="R23" s="7" t="s">
        <v>1273</v>
      </c>
    </row>
    <row r="24" spans="1:18">
      <c r="A24" s="7" t="s">
        <v>1319</v>
      </c>
      <c r="B24" s="7" t="s">
        <v>1320</v>
      </c>
      <c r="C24" s="7" t="s">
        <v>439</v>
      </c>
      <c r="D24" s="7" t="s">
        <v>1126</v>
      </c>
      <c r="E24" s="7" t="s">
        <v>339</v>
      </c>
      <c r="F24" s="7" t="s">
        <v>409</v>
      </c>
      <c r="G24" s="7" t="s">
        <v>476</v>
      </c>
      <c r="H24" s="7" t="s">
        <v>115</v>
      </c>
      <c r="I24" s="7" t="s">
        <v>271</v>
      </c>
      <c r="J24" s="7" t="s">
        <v>259</v>
      </c>
      <c r="K24" s="7" t="s">
        <v>259</v>
      </c>
      <c r="L24" s="7" t="s">
        <v>292</v>
      </c>
      <c r="M24" s="7" t="s">
        <v>335</v>
      </c>
      <c r="N24" s="7" t="s">
        <v>412</v>
      </c>
      <c r="O24" s="7" t="s">
        <v>195</v>
      </c>
      <c r="P24" s="7" t="s">
        <v>17</v>
      </c>
      <c r="Q24" s="7" t="s">
        <v>326</v>
      </c>
      <c r="R24" s="7" t="s">
        <v>1273</v>
      </c>
    </row>
    <row r="25" spans="1:18">
      <c r="A25" s="7" t="s">
        <v>1321</v>
      </c>
      <c r="B25" s="7" t="s">
        <v>1311</v>
      </c>
      <c r="C25" s="7" t="s">
        <v>666</v>
      </c>
      <c r="D25" s="7" t="s">
        <v>1322</v>
      </c>
      <c r="E25" s="7" t="s">
        <v>281</v>
      </c>
      <c r="F25" s="7" t="s">
        <v>297</v>
      </c>
      <c r="G25" s="7" t="s">
        <v>298</v>
      </c>
      <c r="H25" s="7" t="s">
        <v>115</v>
      </c>
      <c r="I25" s="7" t="s">
        <v>316</v>
      </c>
      <c r="J25" s="7" t="s">
        <v>399</v>
      </c>
      <c r="K25" s="7" t="s">
        <v>1323</v>
      </c>
      <c r="L25" s="7" t="s">
        <v>547</v>
      </c>
      <c r="M25" s="7" t="s">
        <v>303</v>
      </c>
      <c r="N25" s="7" t="s">
        <v>304</v>
      </c>
      <c r="O25" s="7" t="s">
        <v>195</v>
      </c>
      <c r="P25" s="7" t="s">
        <v>17</v>
      </c>
      <c r="Q25" s="7" t="s">
        <v>318</v>
      </c>
      <c r="R25" s="7" t="s">
        <v>1273</v>
      </c>
    </row>
    <row r="26" spans="1:18">
      <c r="A26" s="7" t="s">
        <v>1324</v>
      </c>
      <c r="B26" s="7" t="s">
        <v>1325</v>
      </c>
      <c r="C26" s="7" t="s">
        <v>1326</v>
      </c>
      <c r="D26" s="7" t="s">
        <v>1012</v>
      </c>
      <c r="E26" s="7" t="s">
        <v>339</v>
      </c>
      <c r="F26" s="7" t="s">
        <v>282</v>
      </c>
      <c r="G26" s="7" t="s">
        <v>461</v>
      </c>
      <c r="H26" s="7" t="s">
        <v>115</v>
      </c>
      <c r="I26" s="7" t="s">
        <v>299</v>
      </c>
      <c r="J26" s="7" t="s">
        <v>399</v>
      </c>
      <c r="K26" s="7" t="s">
        <v>302</v>
      </c>
      <c r="L26" s="7" t="s">
        <v>625</v>
      </c>
      <c r="M26" s="7" t="s">
        <v>303</v>
      </c>
      <c r="N26" s="7" t="s">
        <v>284</v>
      </c>
      <c r="O26" s="7" t="s">
        <v>195</v>
      </c>
      <c r="P26" s="7" t="s">
        <v>8</v>
      </c>
      <c r="Q26" s="7" t="s">
        <v>305</v>
      </c>
      <c r="R26" s="7" t="s">
        <v>1273</v>
      </c>
    </row>
    <row r="27" spans="1:18">
      <c r="A27" s="7" t="s">
        <v>1327</v>
      </c>
      <c r="B27" s="7" t="s">
        <v>1314</v>
      </c>
      <c r="C27" s="7" t="s">
        <v>1288</v>
      </c>
      <c r="D27" s="7" t="s">
        <v>1008</v>
      </c>
      <c r="E27" s="7" t="s">
        <v>268</v>
      </c>
      <c r="F27" s="7" t="s">
        <v>409</v>
      </c>
      <c r="G27" s="7" t="s">
        <v>552</v>
      </c>
      <c r="H27" s="7" t="s">
        <v>115</v>
      </c>
      <c r="I27" s="7" t="s">
        <v>258</v>
      </c>
      <c r="J27" s="7" t="s">
        <v>346</v>
      </c>
      <c r="K27" s="7" t="s">
        <v>478</v>
      </c>
      <c r="L27" s="7" t="s">
        <v>478</v>
      </c>
      <c r="M27" s="7" t="s">
        <v>303</v>
      </c>
      <c r="N27" s="7" t="s">
        <v>412</v>
      </c>
      <c r="O27" s="7" t="s">
        <v>195</v>
      </c>
      <c r="P27" s="7" t="s">
        <v>14</v>
      </c>
      <c r="Q27" s="7" t="s">
        <v>326</v>
      </c>
      <c r="R27" s="7" t="s">
        <v>1273</v>
      </c>
    </row>
    <row r="28" spans="1:18">
      <c r="A28" s="7" t="s">
        <v>1328</v>
      </c>
      <c r="B28" s="7" t="s">
        <v>1329</v>
      </c>
      <c r="C28" s="7" t="s">
        <v>1330</v>
      </c>
      <c r="D28" s="7" t="s">
        <v>711</v>
      </c>
      <c r="E28" s="7" t="s">
        <v>339</v>
      </c>
      <c r="F28" s="7" t="s">
        <v>297</v>
      </c>
      <c r="G28" s="7" t="s">
        <v>569</v>
      </c>
      <c r="H28" s="7" t="s">
        <v>127</v>
      </c>
      <c r="I28" s="7" t="s">
        <v>258</v>
      </c>
      <c r="J28" s="7" t="s">
        <v>525</v>
      </c>
      <c r="K28" s="7"/>
      <c r="L28" s="7"/>
      <c r="M28" s="7" t="s">
        <v>260</v>
      </c>
      <c r="N28" s="7" t="s">
        <v>304</v>
      </c>
      <c r="O28" s="7" t="s">
        <v>195</v>
      </c>
      <c r="P28" s="7"/>
      <c r="Q28" s="7" t="s">
        <v>262</v>
      </c>
      <c r="R28" s="7" t="s">
        <v>1273</v>
      </c>
    </row>
    <row r="29" spans="1:18">
      <c r="A29" s="7" t="s">
        <v>1331</v>
      </c>
      <c r="B29" s="7" t="s">
        <v>1326</v>
      </c>
      <c r="C29" s="7" t="s">
        <v>278</v>
      </c>
      <c r="D29" s="7" t="s">
        <v>408</v>
      </c>
      <c r="E29" s="7" t="s">
        <v>281</v>
      </c>
      <c r="F29" s="7" t="s">
        <v>297</v>
      </c>
      <c r="G29" s="7" t="s">
        <v>298</v>
      </c>
      <c r="H29" s="7" t="s">
        <v>115</v>
      </c>
      <c r="I29" s="7" t="s">
        <v>258</v>
      </c>
      <c r="J29" s="7" t="s">
        <v>341</v>
      </c>
      <c r="K29" s="7" t="s">
        <v>1332</v>
      </c>
      <c r="L29" s="7" t="s">
        <v>1333</v>
      </c>
      <c r="M29" s="7" t="s">
        <v>335</v>
      </c>
      <c r="N29" s="7" t="s">
        <v>304</v>
      </c>
      <c r="O29" s="7" t="s">
        <v>169</v>
      </c>
      <c r="P29" s="7" t="s">
        <v>8</v>
      </c>
      <c r="Q29" s="7" t="s">
        <v>285</v>
      </c>
      <c r="R29" s="7" t="s">
        <v>1273</v>
      </c>
    </row>
    <row r="30" spans="1:18">
      <c r="A30" s="7" t="s">
        <v>1334</v>
      </c>
      <c r="B30" s="7" t="s">
        <v>1296</v>
      </c>
      <c r="C30" s="7" t="s">
        <v>1030</v>
      </c>
      <c r="D30" s="7" t="s">
        <v>837</v>
      </c>
      <c r="E30" s="7" t="s">
        <v>268</v>
      </c>
      <c r="F30" s="7" t="s">
        <v>282</v>
      </c>
      <c r="G30" s="7" t="s">
        <v>505</v>
      </c>
      <c r="H30" s="7" t="s">
        <v>115</v>
      </c>
      <c r="I30" s="7" t="s">
        <v>299</v>
      </c>
      <c r="J30" s="7" t="s">
        <v>300</v>
      </c>
      <c r="K30" s="7" t="s">
        <v>443</v>
      </c>
      <c r="L30" s="7" t="s">
        <v>757</v>
      </c>
      <c r="M30" s="7" t="s">
        <v>303</v>
      </c>
      <c r="N30" s="7" t="s">
        <v>284</v>
      </c>
      <c r="O30" s="7" t="s">
        <v>169</v>
      </c>
      <c r="P30" s="7" t="s">
        <v>17</v>
      </c>
      <c r="Q30" s="7" t="s">
        <v>305</v>
      </c>
      <c r="R30" s="7" t="s">
        <v>1273</v>
      </c>
    </row>
    <row r="31" spans="1:18">
      <c r="A31" s="7" t="s">
        <v>1335</v>
      </c>
      <c r="B31" s="7" t="s">
        <v>1277</v>
      </c>
      <c r="C31" s="7" t="s">
        <v>981</v>
      </c>
      <c r="D31" s="7" t="s">
        <v>475</v>
      </c>
      <c r="E31" s="7" t="s">
        <v>339</v>
      </c>
      <c r="F31" s="7" t="s">
        <v>297</v>
      </c>
      <c r="G31" s="7" t="s">
        <v>780</v>
      </c>
      <c r="H31" s="7" t="s">
        <v>122</v>
      </c>
      <c r="I31" s="7" t="s">
        <v>258</v>
      </c>
      <c r="J31" s="7" t="s">
        <v>447</v>
      </c>
      <c r="K31" s="7"/>
      <c r="L31" s="7"/>
      <c r="M31" s="7" t="s">
        <v>260</v>
      </c>
      <c r="N31" s="7" t="s">
        <v>304</v>
      </c>
      <c r="O31" s="7" t="s">
        <v>169</v>
      </c>
      <c r="P31" s="7"/>
      <c r="Q31" s="7" t="s">
        <v>262</v>
      </c>
      <c r="R31" s="7" t="s">
        <v>1273</v>
      </c>
    </row>
    <row r="32" spans="1:18">
      <c r="A32" s="7" t="s">
        <v>1336</v>
      </c>
      <c r="B32" s="7" t="s">
        <v>1279</v>
      </c>
      <c r="C32" s="7" t="s">
        <v>1087</v>
      </c>
      <c r="D32" s="7" t="s">
        <v>1071</v>
      </c>
      <c r="E32" s="7" t="s">
        <v>268</v>
      </c>
      <c r="F32" s="7" t="s">
        <v>256</v>
      </c>
      <c r="G32" s="7" t="s">
        <v>886</v>
      </c>
      <c r="H32" s="7" t="s">
        <v>115</v>
      </c>
      <c r="I32" s="7" t="s">
        <v>271</v>
      </c>
      <c r="J32" s="7" t="s">
        <v>399</v>
      </c>
      <c r="K32" s="7" t="s">
        <v>511</v>
      </c>
      <c r="L32" s="7" t="s">
        <v>1142</v>
      </c>
      <c r="M32" s="7" t="s">
        <v>275</v>
      </c>
      <c r="N32" s="7" t="s">
        <v>261</v>
      </c>
      <c r="O32" s="7" t="s">
        <v>195</v>
      </c>
      <c r="P32" s="7" t="s">
        <v>14</v>
      </c>
      <c r="Q32" s="7" t="s">
        <v>262</v>
      </c>
      <c r="R32" s="7" t="s">
        <v>1273</v>
      </c>
    </row>
    <row r="33" spans="1:18">
      <c r="A33" s="7" t="s">
        <v>1337</v>
      </c>
      <c r="B33" s="7" t="s">
        <v>1338</v>
      </c>
      <c r="C33" s="7" t="s">
        <v>940</v>
      </c>
      <c r="D33" s="7" t="s">
        <v>1280</v>
      </c>
      <c r="E33" s="7" t="s">
        <v>268</v>
      </c>
      <c r="F33" s="7" t="s">
        <v>256</v>
      </c>
      <c r="G33" s="7" t="s">
        <v>886</v>
      </c>
      <c r="H33" s="7" t="s">
        <v>115</v>
      </c>
      <c r="I33" s="7" t="s">
        <v>316</v>
      </c>
      <c r="J33" s="7" t="s">
        <v>346</v>
      </c>
      <c r="K33" s="7" t="s">
        <v>753</v>
      </c>
      <c r="L33" s="7" t="s">
        <v>1339</v>
      </c>
      <c r="M33" s="7" t="s">
        <v>335</v>
      </c>
      <c r="N33" s="7" t="s">
        <v>261</v>
      </c>
      <c r="O33" s="7" t="s">
        <v>169</v>
      </c>
      <c r="P33" s="7" t="s">
        <v>17</v>
      </c>
      <c r="Q33" s="7" t="s">
        <v>305</v>
      </c>
      <c r="R33" s="7" t="s">
        <v>1273</v>
      </c>
    </row>
    <row r="34" spans="1:18">
      <c r="A34" s="7" t="s">
        <v>1340</v>
      </c>
      <c r="B34" s="7" t="s">
        <v>1341</v>
      </c>
      <c r="C34" s="7" t="s">
        <v>1030</v>
      </c>
      <c r="D34" s="7" t="s">
        <v>731</v>
      </c>
      <c r="E34" s="7" t="s">
        <v>339</v>
      </c>
      <c r="F34" s="7" t="s">
        <v>269</v>
      </c>
      <c r="G34" s="7" t="s">
        <v>528</v>
      </c>
      <c r="H34" s="7" t="s">
        <v>127</v>
      </c>
      <c r="I34" s="7" t="s">
        <v>299</v>
      </c>
      <c r="J34" s="7" t="s">
        <v>351</v>
      </c>
      <c r="K34" s="7"/>
      <c r="L34" s="7"/>
      <c r="M34" s="7" t="s">
        <v>260</v>
      </c>
      <c r="N34" s="7" t="s">
        <v>276</v>
      </c>
      <c r="O34" s="7" t="s">
        <v>195</v>
      </c>
      <c r="P34" s="7"/>
      <c r="Q34" s="7" t="s">
        <v>326</v>
      </c>
      <c r="R34" s="7" t="s">
        <v>1273</v>
      </c>
    </row>
    <row r="35" spans="1:18">
      <c r="A35" s="7" t="s">
        <v>1342</v>
      </c>
      <c r="B35" s="7" t="s">
        <v>1343</v>
      </c>
      <c r="C35" s="7" t="s">
        <v>898</v>
      </c>
      <c r="D35" s="7" t="s">
        <v>1344</v>
      </c>
      <c r="E35" s="7" t="s">
        <v>281</v>
      </c>
      <c r="F35" s="7" t="s">
        <v>297</v>
      </c>
      <c r="G35" s="7" t="s">
        <v>368</v>
      </c>
      <c r="H35" s="7" t="s">
        <v>115</v>
      </c>
      <c r="I35" s="7" t="s">
        <v>299</v>
      </c>
      <c r="J35" s="7" t="s">
        <v>341</v>
      </c>
      <c r="K35" s="7" t="s">
        <v>831</v>
      </c>
      <c r="L35" s="7" t="s">
        <v>698</v>
      </c>
      <c r="M35" s="7" t="s">
        <v>335</v>
      </c>
      <c r="N35" s="7" t="s">
        <v>304</v>
      </c>
      <c r="O35" s="7" t="s">
        <v>169</v>
      </c>
      <c r="P35" s="7" t="s">
        <v>14</v>
      </c>
      <c r="Q35" s="7" t="s">
        <v>285</v>
      </c>
      <c r="R35" s="7" t="s">
        <v>1273</v>
      </c>
    </row>
    <row r="36" spans="1:18">
      <c r="A36" s="7" t="s">
        <v>1345</v>
      </c>
      <c r="B36" s="7" t="s">
        <v>1290</v>
      </c>
      <c r="C36" s="7" t="s">
        <v>278</v>
      </c>
      <c r="D36" s="7" t="s">
        <v>622</v>
      </c>
      <c r="E36" s="7" t="s">
        <v>255</v>
      </c>
      <c r="F36" s="7" t="s">
        <v>256</v>
      </c>
      <c r="G36" s="7" t="s">
        <v>398</v>
      </c>
      <c r="H36" s="7" t="s">
        <v>696</v>
      </c>
      <c r="I36" s="7" t="s">
        <v>316</v>
      </c>
      <c r="J36" s="7" t="s">
        <v>411</v>
      </c>
      <c r="K36" s="7"/>
      <c r="L36" s="7"/>
      <c r="M36" s="7" t="s">
        <v>260</v>
      </c>
      <c r="N36" s="7" t="s">
        <v>261</v>
      </c>
      <c r="O36" s="7" t="s">
        <v>169</v>
      </c>
      <c r="P36" s="7"/>
      <c r="Q36" s="7" t="s">
        <v>326</v>
      </c>
      <c r="R36" s="7" t="s">
        <v>1273</v>
      </c>
    </row>
    <row r="37" spans="1:18">
      <c r="A37" s="7" t="s">
        <v>1346</v>
      </c>
      <c r="B37" s="7" t="s">
        <v>1343</v>
      </c>
      <c r="C37" s="7" t="s">
        <v>730</v>
      </c>
      <c r="D37" s="7" t="s">
        <v>330</v>
      </c>
      <c r="E37" s="7" t="s">
        <v>255</v>
      </c>
      <c r="F37" s="7" t="s">
        <v>282</v>
      </c>
      <c r="G37" s="7" t="s">
        <v>424</v>
      </c>
      <c r="H37" s="7" t="s">
        <v>115</v>
      </c>
      <c r="I37" s="7" t="s">
        <v>271</v>
      </c>
      <c r="J37" s="7" t="s">
        <v>351</v>
      </c>
      <c r="K37" s="7" t="s">
        <v>917</v>
      </c>
      <c r="L37" s="7" t="s">
        <v>1019</v>
      </c>
      <c r="M37" s="7" t="s">
        <v>303</v>
      </c>
      <c r="N37" s="7" t="s">
        <v>284</v>
      </c>
      <c r="O37" s="7" t="s">
        <v>169</v>
      </c>
      <c r="P37" s="7" t="s">
        <v>8</v>
      </c>
      <c r="Q37" s="7" t="s">
        <v>318</v>
      </c>
      <c r="R37" s="7" t="s">
        <v>1273</v>
      </c>
    </row>
    <row r="38" spans="1:18">
      <c r="A38" s="7" t="s">
        <v>1347</v>
      </c>
      <c r="B38" s="7" t="s">
        <v>1283</v>
      </c>
      <c r="C38" s="7" t="s">
        <v>993</v>
      </c>
      <c r="D38" s="7" t="s">
        <v>875</v>
      </c>
      <c r="E38" s="7" t="s">
        <v>339</v>
      </c>
      <c r="F38" s="7" t="s">
        <v>269</v>
      </c>
      <c r="G38" s="7" t="s">
        <v>340</v>
      </c>
      <c r="H38" s="7" t="s">
        <v>115</v>
      </c>
      <c r="I38" s="7" t="s">
        <v>271</v>
      </c>
      <c r="J38" s="7" t="s">
        <v>411</v>
      </c>
      <c r="K38" s="7" t="s">
        <v>808</v>
      </c>
      <c r="L38" s="7" t="s">
        <v>1348</v>
      </c>
      <c r="M38" s="7" t="s">
        <v>293</v>
      </c>
      <c r="N38" s="7" t="s">
        <v>276</v>
      </c>
      <c r="O38" s="7" t="s">
        <v>195</v>
      </c>
      <c r="P38" s="7" t="s">
        <v>17</v>
      </c>
      <c r="Q38" s="7" t="s">
        <v>262</v>
      </c>
      <c r="R38" s="7" t="s">
        <v>1273</v>
      </c>
    </row>
    <row r="39" spans="1:18">
      <c r="A39" s="7" t="s">
        <v>1349</v>
      </c>
      <c r="B39" s="7" t="s">
        <v>1343</v>
      </c>
      <c r="C39" s="7" t="s">
        <v>902</v>
      </c>
      <c r="D39" s="7" t="s">
        <v>468</v>
      </c>
      <c r="E39" s="7" t="s">
        <v>268</v>
      </c>
      <c r="F39" s="7" t="s">
        <v>256</v>
      </c>
      <c r="G39" s="7" t="s">
        <v>886</v>
      </c>
      <c r="H39" s="7" t="s">
        <v>115</v>
      </c>
      <c r="I39" s="7" t="s">
        <v>271</v>
      </c>
      <c r="J39" s="7" t="s">
        <v>399</v>
      </c>
      <c r="K39" s="7" t="s">
        <v>1350</v>
      </c>
      <c r="L39" s="7" t="s">
        <v>1351</v>
      </c>
      <c r="M39" s="7" t="s">
        <v>335</v>
      </c>
      <c r="N39" s="7" t="s">
        <v>261</v>
      </c>
      <c r="O39" s="7" t="s">
        <v>195</v>
      </c>
      <c r="P39" s="7" t="s">
        <v>14</v>
      </c>
      <c r="Q39" s="7" t="s">
        <v>318</v>
      </c>
      <c r="R39" s="7" t="s">
        <v>1273</v>
      </c>
    </row>
    <row r="40" spans="1:18">
      <c r="A40" s="7" t="s">
        <v>1352</v>
      </c>
      <c r="B40" s="7" t="s">
        <v>1275</v>
      </c>
      <c r="C40" s="7" t="s">
        <v>957</v>
      </c>
      <c r="D40" s="7" t="s">
        <v>1042</v>
      </c>
      <c r="E40" s="7" t="s">
        <v>268</v>
      </c>
      <c r="F40" s="7" t="s">
        <v>297</v>
      </c>
      <c r="G40" s="7" t="s">
        <v>628</v>
      </c>
      <c r="H40" s="7" t="s">
        <v>115</v>
      </c>
      <c r="I40" s="7" t="s">
        <v>299</v>
      </c>
      <c r="J40" s="7" t="s">
        <v>411</v>
      </c>
      <c r="K40" s="7" t="s">
        <v>442</v>
      </c>
      <c r="L40" s="7" t="s">
        <v>1353</v>
      </c>
      <c r="M40" s="7" t="s">
        <v>275</v>
      </c>
      <c r="N40" s="7" t="s">
        <v>304</v>
      </c>
      <c r="O40" s="7" t="s">
        <v>195</v>
      </c>
      <c r="P40" s="7" t="s">
        <v>17</v>
      </c>
      <c r="Q40" s="7" t="s">
        <v>262</v>
      </c>
      <c r="R40" s="7" t="s">
        <v>1273</v>
      </c>
    </row>
    <row r="41" spans="1:18">
      <c r="A41" s="7" t="s">
        <v>1354</v>
      </c>
      <c r="B41" s="7" t="s">
        <v>1309</v>
      </c>
      <c r="C41" s="7" t="s">
        <v>1355</v>
      </c>
      <c r="D41" s="7" t="s">
        <v>465</v>
      </c>
      <c r="E41" s="7" t="s">
        <v>255</v>
      </c>
      <c r="F41" s="7" t="s">
        <v>256</v>
      </c>
      <c r="G41" s="7" t="s">
        <v>398</v>
      </c>
      <c r="H41" s="7" t="s">
        <v>127</v>
      </c>
      <c r="I41" s="7" t="s">
        <v>316</v>
      </c>
      <c r="J41" s="7" t="s">
        <v>447</v>
      </c>
      <c r="K41" s="7"/>
      <c r="L41" s="7"/>
      <c r="M41" s="7" t="s">
        <v>260</v>
      </c>
      <c r="N41" s="7" t="s">
        <v>261</v>
      </c>
      <c r="O41" s="7" t="s">
        <v>169</v>
      </c>
      <c r="P41" s="7"/>
      <c r="Q41" s="7" t="s">
        <v>305</v>
      </c>
      <c r="R41" s="7" t="s">
        <v>1273</v>
      </c>
    </row>
    <row r="42" spans="1:18">
      <c r="A42" s="7" t="s">
        <v>1356</v>
      </c>
      <c r="B42" s="7" t="s">
        <v>1330</v>
      </c>
      <c r="C42" s="7" t="s">
        <v>902</v>
      </c>
      <c r="D42" s="7" t="s">
        <v>711</v>
      </c>
      <c r="E42" s="7" t="s">
        <v>339</v>
      </c>
      <c r="F42" s="7" t="s">
        <v>282</v>
      </c>
      <c r="G42" s="7" t="s">
        <v>461</v>
      </c>
      <c r="H42" s="7" t="s">
        <v>115</v>
      </c>
      <c r="I42" s="7" t="s">
        <v>316</v>
      </c>
      <c r="J42" s="7" t="s">
        <v>259</v>
      </c>
      <c r="K42" s="7" t="s">
        <v>1357</v>
      </c>
      <c r="L42" s="7" t="s">
        <v>383</v>
      </c>
      <c r="M42" s="7" t="s">
        <v>335</v>
      </c>
      <c r="N42" s="7" t="s">
        <v>284</v>
      </c>
      <c r="O42" s="7" t="s">
        <v>631</v>
      </c>
      <c r="P42" s="7" t="s">
        <v>8</v>
      </c>
      <c r="Q42" s="7" t="s">
        <v>305</v>
      </c>
      <c r="R42" s="7" t="s">
        <v>1273</v>
      </c>
    </row>
    <row r="43" spans="1:18">
      <c r="A43" s="7" t="s">
        <v>1358</v>
      </c>
      <c r="B43" s="7" t="s">
        <v>1359</v>
      </c>
      <c r="C43" s="7" t="s">
        <v>925</v>
      </c>
      <c r="D43" s="7" t="s">
        <v>450</v>
      </c>
      <c r="E43" s="7" t="s">
        <v>339</v>
      </c>
      <c r="F43" s="7" t="s">
        <v>409</v>
      </c>
      <c r="G43" s="7" t="s">
        <v>476</v>
      </c>
      <c r="H43" s="7" t="s">
        <v>115</v>
      </c>
      <c r="I43" s="7" t="s">
        <v>316</v>
      </c>
      <c r="J43" s="7" t="s">
        <v>272</v>
      </c>
      <c r="K43" s="7" t="s">
        <v>644</v>
      </c>
      <c r="L43" s="7" t="s">
        <v>559</v>
      </c>
      <c r="M43" s="7" t="s">
        <v>275</v>
      </c>
      <c r="N43" s="7" t="s">
        <v>412</v>
      </c>
      <c r="O43" s="7" t="s">
        <v>195</v>
      </c>
      <c r="P43" s="7" t="s">
        <v>11</v>
      </c>
      <c r="Q43" s="7" t="s">
        <v>285</v>
      </c>
      <c r="R43" s="7" t="s">
        <v>1273</v>
      </c>
    </row>
    <row r="44" spans="1:18">
      <c r="A44" s="7" t="s">
        <v>1360</v>
      </c>
      <c r="B44" s="7" t="s">
        <v>1314</v>
      </c>
      <c r="C44" s="7" t="s">
        <v>933</v>
      </c>
      <c r="D44" s="7" t="s">
        <v>1361</v>
      </c>
      <c r="E44" s="7" t="s">
        <v>339</v>
      </c>
      <c r="F44" s="7" t="s">
        <v>269</v>
      </c>
      <c r="G44" s="7" t="s">
        <v>340</v>
      </c>
      <c r="H44" s="7" t="s">
        <v>127</v>
      </c>
      <c r="I44" s="7" t="s">
        <v>258</v>
      </c>
      <c r="J44" s="7" t="s">
        <v>341</v>
      </c>
      <c r="K44" s="7"/>
      <c r="L44" s="7"/>
      <c r="M44" s="7" t="s">
        <v>260</v>
      </c>
      <c r="N44" s="7" t="s">
        <v>276</v>
      </c>
      <c r="O44" s="7" t="s">
        <v>169</v>
      </c>
      <c r="P44" s="7"/>
      <c r="Q44" s="7" t="s">
        <v>318</v>
      </c>
      <c r="R44" s="7" t="s">
        <v>1273</v>
      </c>
    </row>
    <row r="45" spans="1:18">
      <c r="A45" s="7" t="s">
        <v>1362</v>
      </c>
      <c r="B45" s="7" t="s">
        <v>1363</v>
      </c>
      <c r="C45" s="7" t="s">
        <v>1364</v>
      </c>
      <c r="D45" s="7" t="s">
        <v>865</v>
      </c>
      <c r="E45" s="7" t="s">
        <v>268</v>
      </c>
      <c r="F45" s="7" t="s">
        <v>269</v>
      </c>
      <c r="G45" s="7" t="s">
        <v>435</v>
      </c>
      <c r="H45" s="7" t="s">
        <v>115</v>
      </c>
      <c r="I45" s="7" t="s">
        <v>316</v>
      </c>
      <c r="J45" s="7" t="s">
        <v>411</v>
      </c>
      <c r="K45" s="7" t="s">
        <v>411</v>
      </c>
      <c r="L45" s="7" t="s">
        <v>1037</v>
      </c>
      <c r="M45" s="7" t="s">
        <v>275</v>
      </c>
      <c r="N45" s="7" t="s">
        <v>276</v>
      </c>
      <c r="O45" s="7" t="s">
        <v>195</v>
      </c>
      <c r="P45" s="7" t="s">
        <v>11</v>
      </c>
      <c r="Q45" s="7" t="s">
        <v>285</v>
      </c>
      <c r="R45" s="7" t="s">
        <v>1273</v>
      </c>
    </row>
    <row r="46" spans="1:18">
      <c r="A46" s="7" t="s">
        <v>1365</v>
      </c>
      <c r="B46" s="7" t="s">
        <v>1330</v>
      </c>
      <c r="C46" s="7" t="s">
        <v>924</v>
      </c>
      <c r="D46" s="7" t="s">
        <v>1366</v>
      </c>
      <c r="E46" s="7" t="s">
        <v>281</v>
      </c>
      <c r="F46" s="7" t="s">
        <v>269</v>
      </c>
      <c r="G46" s="7" t="s">
        <v>322</v>
      </c>
      <c r="H46" s="7" t="s">
        <v>115</v>
      </c>
      <c r="I46" s="7" t="s">
        <v>299</v>
      </c>
      <c r="J46" s="7" t="s">
        <v>351</v>
      </c>
      <c r="K46" s="7" t="s">
        <v>688</v>
      </c>
      <c r="L46" s="7" t="s">
        <v>373</v>
      </c>
      <c r="M46" s="7" t="s">
        <v>293</v>
      </c>
      <c r="N46" s="7" t="s">
        <v>276</v>
      </c>
      <c r="O46" s="7" t="s">
        <v>195</v>
      </c>
      <c r="P46" s="7" t="s">
        <v>14</v>
      </c>
      <c r="Q46" s="7" t="s">
        <v>285</v>
      </c>
      <c r="R46" s="7" t="s">
        <v>1273</v>
      </c>
    </row>
    <row r="47" spans="1:18">
      <c r="A47" s="7" t="s">
        <v>1367</v>
      </c>
      <c r="B47" s="7" t="s">
        <v>1363</v>
      </c>
      <c r="C47" s="7" t="s">
        <v>1368</v>
      </c>
      <c r="D47" s="7" t="s">
        <v>823</v>
      </c>
      <c r="E47" s="7" t="s">
        <v>339</v>
      </c>
      <c r="F47" s="7" t="s">
        <v>297</v>
      </c>
      <c r="G47" s="7" t="s">
        <v>780</v>
      </c>
      <c r="H47" s="7" t="s">
        <v>115</v>
      </c>
      <c r="I47" s="7" t="s">
        <v>271</v>
      </c>
      <c r="J47" s="7" t="s">
        <v>469</v>
      </c>
      <c r="K47" s="7" t="s">
        <v>1098</v>
      </c>
      <c r="L47" s="7" t="s">
        <v>470</v>
      </c>
      <c r="M47" s="7" t="s">
        <v>303</v>
      </c>
      <c r="N47" s="7" t="s">
        <v>304</v>
      </c>
      <c r="O47" s="7" t="s">
        <v>195</v>
      </c>
      <c r="P47" s="7" t="s">
        <v>8</v>
      </c>
      <c r="Q47" s="7" t="s">
        <v>326</v>
      </c>
      <c r="R47" s="7" t="s">
        <v>1273</v>
      </c>
    </row>
    <row r="48" spans="1:18">
      <c r="A48" s="7" t="s">
        <v>1369</v>
      </c>
      <c r="B48" s="7" t="s">
        <v>1283</v>
      </c>
      <c r="C48" s="7" t="s">
        <v>920</v>
      </c>
      <c r="D48" s="7" t="s">
        <v>795</v>
      </c>
      <c r="E48" s="7" t="s">
        <v>339</v>
      </c>
      <c r="F48" s="7" t="s">
        <v>297</v>
      </c>
      <c r="G48" s="7" t="s">
        <v>780</v>
      </c>
      <c r="H48" s="7" t="s">
        <v>115</v>
      </c>
      <c r="I48" s="7" t="s">
        <v>299</v>
      </c>
      <c r="J48" s="7" t="s">
        <v>447</v>
      </c>
      <c r="K48" s="7" t="s">
        <v>1370</v>
      </c>
      <c r="L48" s="7" t="s">
        <v>626</v>
      </c>
      <c r="M48" s="7" t="s">
        <v>293</v>
      </c>
      <c r="N48" s="7" t="s">
        <v>304</v>
      </c>
      <c r="O48" s="7" t="s">
        <v>195</v>
      </c>
      <c r="P48" s="7" t="s">
        <v>17</v>
      </c>
      <c r="Q48" s="7" t="s">
        <v>262</v>
      </c>
      <c r="R48" s="7" t="s">
        <v>1273</v>
      </c>
    </row>
    <row r="49" spans="1:18">
      <c r="A49" s="7" t="s">
        <v>1371</v>
      </c>
      <c r="B49" s="7" t="s">
        <v>1277</v>
      </c>
      <c r="C49" s="7" t="s">
        <v>902</v>
      </c>
      <c r="D49" s="7" t="s">
        <v>1227</v>
      </c>
      <c r="E49" s="7" t="s">
        <v>255</v>
      </c>
      <c r="F49" s="7" t="s">
        <v>269</v>
      </c>
      <c r="G49" s="7" t="s">
        <v>542</v>
      </c>
      <c r="H49" s="7" t="s">
        <v>115</v>
      </c>
      <c r="I49" s="7" t="s">
        <v>299</v>
      </c>
      <c r="J49" s="7" t="s">
        <v>300</v>
      </c>
      <c r="K49" s="7" t="s">
        <v>612</v>
      </c>
      <c r="L49" s="7" t="s">
        <v>482</v>
      </c>
      <c r="M49" s="7" t="s">
        <v>335</v>
      </c>
      <c r="N49" s="7" t="s">
        <v>276</v>
      </c>
      <c r="O49" s="7" t="s">
        <v>169</v>
      </c>
      <c r="P49" s="7" t="s">
        <v>17</v>
      </c>
      <c r="Q49" s="7" t="s">
        <v>326</v>
      </c>
      <c r="R49" s="7" t="s">
        <v>1273</v>
      </c>
    </row>
    <row r="50" spans="1:18">
      <c r="A50" s="7" t="s">
        <v>1372</v>
      </c>
      <c r="B50" s="7" t="s">
        <v>1330</v>
      </c>
      <c r="C50" s="7" t="s">
        <v>1283</v>
      </c>
      <c r="D50" s="7" t="s">
        <v>1022</v>
      </c>
      <c r="E50" s="7" t="s">
        <v>339</v>
      </c>
      <c r="F50" s="7" t="s">
        <v>256</v>
      </c>
      <c r="G50" s="7" t="s">
        <v>345</v>
      </c>
      <c r="H50" s="7" t="s">
        <v>115</v>
      </c>
      <c r="I50" s="7" t="s">
        <v>299</v>
      </c>
      <c r="J50" s="7" t="s">
        <v>332</v>
      </c>
      <c r="K50" s="7" t="s">
        <v>918</v>
      </c>
      <c r="L50" s="7" t="s">
        <v>1219</v>
      </c>
      <c r="M50" s="7" t="s">
        <v>335</v>
      </c>
      <c r="N50" s="7" t="s">
        <v>261</v>
      </c>
      <c r="O50" s="7" t="s">
        <v>169</v>
      </c>
      <c r="P50" s="7" t="s">
        <v>11</v>
      </c>
      <c r="Q50" s="7" t="s">
        <v>262</v>
      </c>
      <c r="R50" s="7" t="s">
        <v>1273</v>
      </c>
    </row>
    <row r="51" spans="1:18">
      <c r="A51" s="7" t="s">
        <v>1373</v>
      </c>
      <c r="B51" s="7" t="s">
        <v>1325</v>
      </c>
      <c r="C51" s="7" t="s">
        <v>1338</v>
      </c>
      <c r="D51" s="7" t="s">
        <v>682</v>
      </c>
      <c r="E51" s="7" t="s">
        <v>281</v>
      </c>
      <c r="F51" s="7" t="s">
        <v>269</v>
      </c>
      <c r="G51" s="7" t="s">
        <v>322</v>
      </c>
      <c r="H51" s="7" t="s">
        <v>122</v>
      </c>
      <c r="I51" s="7" t="s">
        <v>299</v>
      </c>
      <c r="J51" s="7" t="s">
        <v>447</v>
      </c>
      <c r="K51" s="7"/>
      <c r="L51" s="7"/>
      <c r="M51" s="7" t="s">
        <v>260</v>
      </c>
      <c r="N51" s="7" t="s">
        <v>276</v>
      </c>
      <c r="O51" s="7" t="s">
        <v>195</v>
      </c>
      <c r="P51" s="7"/>
      <c r="Q51" s="7" t="s">
        <v>305</v>
      </c>
      <c r="R51" s="7" t="s">
        <v>1273</v>
      </c>
    </row>
    <row r="52" spans="1:18">
      <c r="A52" s="7" t="s">
        <v>1374</v>
      </c>
      <c r="B52" s="7" t="s">
        <v>1368</v>
      </c>
      <c r="C52" s="7" t="s">
        <v>933</v>
      </c>
      <c r="D52" s="7" t="s">
        <v>254</v>
      </c>
      <c r="E52" s="7" t="s">
        <v>268</v>
      </c>
      <c r="F52" s="7" t="s">
        <v>269</v>
      </c>
      <c r="G52" s="7" t="s">
        <v>270</v>
      </c>
      <c r="H52" s="7" t="s">
        <v>122</v>
      </c>
      <c r="I52" s="7" t="s">
        <v>846</v>
      </c>
      <c r="J52" s="7" t="s">
        <v>399</v>
      </c>
      <c r="K52" s="7"/>
      <c r="L52" s="7"/>
      <c r="M52" s="7" t="s">
        <v>260</v>
      </c>
      <c r="N52" s="7" t="s">
        <v>276</v>
      </c>
      <c r="O52" s="7" t="s">
        <v>195</v>
      </c>
      <c r="P52" s="7"/>
      <c r="Q52" s="7" t="s">
        <v>318</v>
      </c>
      <c r="R52" s="7" t="s">
        <v>1273</v>
      </c>
    </row>
    <row r="53" spans="1:18">
      <c r="A53" s="7" t="s">
        <v>1375</v>
      </c>
      <c r="B53" s="7" t="s">
        <v>1329</v>
      </c>
      <c r="C53" s="7" t="s">
        <v>473</v>
      </c>
      <c r="D53" s="7" t="s">
        <v>418</v>
      </c>
      <c r="E53" s="7" t="s">
        <v>255</v>
      </c>
      <c r="F53" s="7" t="s">
        <v>297</v>
      </c>
      <c r="G53" s="7" t="s">
        <v>639</v>
      </c>
      <c r="H53" s="7" t="s">
        <v>115</v>
      </c>
      <c r="I53" s="7" t="s">
        <v>299</v>
      </c>
      <c r="J53" s="7" t="s">
        <v>272</v>
      </c>
      <c r="K53" s="7" t="s">
        <v>1376</v>
      </c>
      <c r="L53" s="7" t="s">
        <v>849</v>
      </c>
      <c r="M53" s="7" t="s">
        <v>303</v>
      </c>
      <c r="N53" s="7" t="s">
        <v>304</v>
      </c>
      <c r="O53" s="7" t="s">
        <v>195</v>
      </c>
      <c r="P53" s="7" t="s">
        <v>8</v>
      </c>
      <c r="Q53" s="7" t="s">
        <v>262</v>
      </c>
      <c r="R53" s="7" t="s">
        <v>1273</v>
      </c>
    </row>
    <row r="54" spans="1:18">
      <c r="A54" s="7" t="s">
        <v>1377</v>
      </c>
      <c r="B54" s="7" t="s">
        <v>1277</v>
      </c>
      <c r="C54" s="7" t="s">
        <v>439</v>
      </c>
      <c r="D54" s="7" t="s">
        <v>1378</v>
      </c>
      <c r="E54" s="7" t="s">
        <v>255</v>
      </c>
      <c r="F54" s="7" t="s">
        <v>297</v>
      </c>
      <c r="G54" s="7" t="s">
        <v>331</v>
      </c>
      <c r="H54" s="7" t="s">
        <v>115</v>
      </c>
      <c r="I54" s="7" t="s">
        <v>258</v>
      </c>
      <c r="J54" s="7" t="s">
        <v>341</v>
      </c>
      <c r="K54" s="7" t="s">
        <v>1379</v>
      </c>
      <c r="L54" s="7" t="s">
        <v>365</v>
      </c>
      <c r="M54" s="7" t="s">
        <v>293</v>
      </c>
      <c r="N54" s="7" t="s">
        <v>304</v>
      </c>
      <c r="O54" s="7" t="s">
        <v>169</v>
      </c>
      <c r="P54" s="7" t="s">
        <v>14</v>
      </c>
      <c r="Q54" s="7" t="s">
        <v>285</v>
      </c>
      <c r="R54" s="7" t="s">
        <v>1273</v>
      </c>
    </row>
    <row r="55" spans="1:18">
      <c r="A55" s="7" t="s">
        <v>1380</v>
      </c>
      <c r="B55" s="7" t="s">
        <v>1381</v>
      </c>
      <c r="C55" s="7" t="s">
        <v>279</v>
      </c>
      <c r="D55" s="7" t="s">
        <v>575</v>
      </c>
      <c r="E55" s="7" t="s">
        <v>339</v>
      </c>
      <c r="F55" s="7" t="s">
        <v>409</v>
      </c>
      <c r="G55" s="7" t="s">
        <v>501</v>
      </c>
      <c r="H55" s="7" t="s">
        <v>127</v>
      </c>
      <c r="I55" s="7" t="s">
        <v>299</v>
      </c>
      <c r="J55" s="7" t="s">
        <v>351</v>
      </c>
      <c r="K55" s="7"/>
      <c r="L55" s="7"/>
      <c r="M55" s="7" t="s">
        <v>260</v>
      </c>
      <c r="N55" s="7" t="s">
        <v>412</v>
      </c>
      <c r="O55" s="7" t="s">
        <v>195</v>
      </c>
      <c r="P55" s="7"/>
      <c r="Q55" s="7" t="s">
        <v>318</v>
      </c>
      <c r="R55" s="7" t="s">
        <v>1273</v>
      </c>
    </row>
    <row r="56" spans="1:18">
      <c r="A56" s="7" t="s">
        <v>1382</v>
      </c>
      <c r="B56" s="7" t="s">
        <v>1341</v>
      </c>
      <c r="C56" s="7" t="s">
        <v>981</v>
      </c>
      <c r="D56" s="7" t="s">
        <v>1383</v>
      </c>
      <c r="E56" s="7" t="s">
        <v>281</v>
      </c>
      <c r="F56" s="7" t="s">
        <v>409</v>
      </c>
      <c r="G56" s="7" t="s">
        <v>535</v>
      </c>
      <c r="H56" s="7" t="s">
        <v>122</v>
      </c>
      <c r="I56" s="7" t="s">
        <v>258</v>
      </c>
      <c r="J56" s="7" t="s">
        <v>351</v>
      </c>
      <c r="K56" s="7"/>
      <c r="L56" s="7"/>
      <c r="M56" s="7" t="s">
        <v>260</v>
      </c>
      <c r="N56" s="7" t="s">
        <v>412</v>
      </c>
      <c r="O56" s="7" t="s">
        <v>169</v>
      </c>
      <c r="P56" s="7"/>
      <c r="Q56" s="7" t="s">
        <v>326</v>
      </c>
      <c r="R56" s="7" t="s">
        <v>1273</v>
      </c>
    </row>
    <row r="57" spans="1:18">
      <c r="A57" s="7" t="s">
        <v>1384</v>
      </c>
      <c r="B57" s="7" t="s">
        <v>1341</v>
      </c>
      <c r="C57" s="7" t="s">
        <v>899</v>
      </c>
      <c r="D57" s="7" t="s">
        <v>765</v>
      </c>
      <c r="E57" s="7" t="s">
        <v>268</v>
      </c>
      <c r="F57" s="7" t="s">
        <v>282</v>
      </c>
      <c r="G57" s="7" t="s">
        <v>505</v>
      </c>
      <c r="H57" s="7" t="s">
        <v>115</v>
      </c>
      <c r="I57" s="7" t="s">
        <v>271</v>
      </c>
      <c r="J57" s="7" t="s">
        <v>404</v>
      </c>
      <c r="K57" s="7" t="s">
        <v>649</v>
      </c>
      <c r="L57" s="7" t="s">
        <v>1385</v>
      </c>
      <c r="M57" s="7" t="s">
        <v>275</v>
      </c>
      <c r="N57" s="7" t="s">
        <v>284</v>
      </c>
      <c r="O57" s="7" t="s">
        <v>195</v>
      </c>
      <c r="P57" s="7" t="s">
        <v>8</v>
      </c>
      <c r="Q57" s="7" t="s">
        <v>326</v>
      </c>
      <c r="R57" s="7" t="s">
        <v>1273</v>
      </c>
    </row>
    <row r="58" spans="1:18">
      <c r="A58" s="7" t="s">
        <v>1386</v>
      </c>
      <c r="B58" s="7" t="s">
        <v>1326</v>
      </c>
      <c r="C58" s="7" t="s">
        <v>1329</v>
      </c>
      <c r="D58" s="7" t="s">
        <v>1387</v>
      </c>
      <c r="E58" s="7" t="s">
        <v>281</v>
      </c>
      <c r="F58" s="7" t="s">
        <v>256</v>
      </c>
      <c r="G58" s="7" t="s">
        <v>429</v>
      </c>
      <c r="H58" s="7" t="s">
        <v>115</v>
      </c>
      <c r="I58" s="7" t="s">
        <v>258</v>
      </c>
      <c r="J58" s="7" t="s">
        <v>411</v>
      </c>
      <c r="K58" s="7" t="s">
        <v>1075</v>
      </c>
      <c r="L58" s="7" t="s">
        <v>1119</v>
      </c>
      <c r="M58" s="7" t="s">
        <v>335</v>
      </c>
      <c r="N58" s="7" t="s">
        <v>888</v>
      </c>
      <c r="O58" s="7" t="s">
        <v>195</v>
      </c>
      <c r="P58" s="7" t="s">
        <v>14</v>
      </c>
      <c r="Q58" s="7" t="s">
        <v>326</v>
      </c>
      <c r="R58" s="7" t="s">
        <v>1273</v>
      </c>
    </row>
    <row r="59" spans="1:18">
      <c r="A59" s="7" t="s">
        <v>1388</v>
      </c>
      <c r="B59" s="7" t="s">
        <v>1320</v>
      </c>
      <c r="C59" s="7" t="s">
        <v>1272</v>
      </c>
      <c r="D59" s="7" t="s">
        <v>667</v>
      </c>
      <c r="E59" s="7" t="s">
        <v>268</v>
      </c>
      <c r="F59" s="7" t="s">
        <v>297</v>
      </c>
      <c r="G59" s="7" t="s">
        <v>583</v>
      </c>
      <c r="H59" s="7" t="s">
        <v>115</v>
      </c>
      <c r="I59" s="7" t="s">
        <v>299</v>
      </c>
      <c r="J59" s="7" t="s">
        <v>323</v>
      </c>
      <c r="K59" s="7" t="s">
        <v>1389</v>
      </c>
      <c r="L59" s="7" t="s">
        <v>986</v>
      </c>
      <c r="M59" s="7" t="s">
        <v>293</v>
      </c>
      <c r="N59" s="7" t="s">
        <v>304</v>
      </c>
      <c r="O59" s="7" t="s">
        <v>169</v>
      </c>
      <c r="P59" s="7" t="s">
        <v>8</v>
      </c>
      <c r="Q59" s="7" t="s">
        <v>262</v>
      </c>
      <c r="R59" s="7" t="s">
        <v>1273</v>
      </c>
    </row>
    <row r="60" spans="1:18">
      <c r="A60" s="7" t="s">
        <v>1390</v>
      </c>
      <c r="B60" s="7" t="s">
        <v>1318</v>
      </c>
      <c r="C60" s="7" t="s">
        <v>1329</v>
      </c>
      <c r="D60" s="7" t="s">
        <v>736</v>
      </c>
      <c r="E60" s="7" t="s">
        <v>339</v>
      </c>
      <c r="F60" s="7" t="s">
        <v>256</v>
      </c>
      <c r="G60" s="7" t="s">
        <v>345</v>
      </c>
      <c r="H60" s="7" t="s">
        <v>127</v>
      </c>
      <c r="I60" s="7" t="s">
        <v>316</v>
      </c>
      <c r="J60" s="7" t="s">
        <v>392</v>
      </c>
      <c r="K60" s="7"/>
      <c r="L60" s="7"/>
      <c r="M60" s="7" t="s">
        <v>260</v>
      </c>
      <c r="N60" s="7" t="s">
        <v>261</v>
      </c>
      <c r="O60" s="7" t="s">
        <v>169</v>
      </c>
      <c r="P60" s="7"/>
      <c r="Q60" s="7" t="s">
        <v>285</v>
      </c>
      <c r="R60" s="7" t="s">
        <v>1273</v>
      </c>
    </row>
    <row r="61" spans="1:18">
      <c r="A61" s="7" t="s">
        <v>1391</v>
      </c>
      <c r="B61" s="7" t="s">
        <v>1325</v>
      </c>
      <c r="C61" s="7" t="s">
        <v>1087</v>
      </c>
      <c r="D61" s="7" t="s">
        <v>615</v>
      </c>
      <c r="E61" s="7" t="s">
        <v>339</v>
      </c>
      <c r="F61" s="7" t="s">
        <v>269</v>
      </c>
      <c r="G61" s="7" t="s">
        <v>340</v>
      </c>
      <c r="H61" s="7" t="s">
        <v>127</v>
      </c>
      <c r="I61" s="7" t="s">
        <v>271</v>
      </c>
      <c r="J61" s="7" t="s">
        <v>392</v>
      </c>
      <c r="K61" s="7"/>
      <c r="L61" s="7"/>
      <c r="M61" s="7" t="s">
        <v>260</v>
      </c>
      <c r="N61" s="7" t="s">
        <v>276</v>
      </c>
      <c r="O61" s="7" t="s">
        <v>169</v>
      </c>
      <c r="P61" s="7"/>
      <c r="Q61" s="7" t="s">
        <v>326</v>
      </c>
      <c r="R61" s="7" t="s">
        <v>1273</v>
      </c>
    </row>
    <row r="62" spans="1:18">
      <c r="A62" s="7" t="s">
        <v>1392</v>
      </c>
      <c r="B62" s="7" t="s">
        <v>1283</v>
      </c>
      <c r="C62" s="7" t="s">
        <v>957</v>
      </c>
      <c r="D62" s="7" t="s">
        <v>1393</v>
      </c>
      <c r="E62" s="7" t="s">
        <v>268</v>
      </c>
      <c r="F62" s="7" t="s">
        <v>409</v>
      </c>
      <c r="G62" s="7" t="s">
        <v>552</v>
      </c>
      <c r="H62" s="7" t="s">
        <v>115</v>
      </c>
      <c r="I62" s="7" t="s">
        <v>299</v>
      </c>
      <c r="J62" s="7" t="s">
        <v>300</v>
      </c>
      <c r="K62" s="7" t="s">
        <v>1348</v>
      </c>
      <c r="L62" s="7" t="s">
        <v>612</v>
      </c>
      <c r="M62" s="7" t="s">
        <v>303</v>
      </c>
      <c r="N62" s="7" t="s">
        <v>412</v>
      </c>
      <c r="O62" s="7" t="s">
        <v>169</v>
      </c>
      <c r="P62" s="7" t="s">
        <v>14</v>
      </c>
      <c r="Q62" s="7" t="s">
        <v>318</v>
      </c>
      <c r="R62" s="7" t="s">
        <v>1273</v>
      </c>
    </row>
    <row r="63" spans="1:18">
      <c r="A63" s="7" t="s">
        <v>1394</v>
      </c>
      <c r="B63" s="7" t="s">
        <v>1318</v>
      </c>
      <c r="C63" s="7" t="s">
        <v>939</v>
      </c>
      <c r="D63" s="7" t="s">
        <v>1138</v>
      </c>
      <c r="E63" s="7" t="s">
        <v>281</v>
      </c>
      <c r="F63" s="7" t="s">
        <v>282</v>
      </c>
      <c r="G63" s="7" t="s">
        <v>283</v>
      </c>
      <c r="H63" s="7" t="s">
        <v>115</v>
      </c>
      <c r="I63" s="7" t="s">
        <v>299</v>
      </c>
      <c r="J63" s="7" t="s">
        <v>392</v>
      </c>
      <c r="K63" s="7" t="s">
        <v>833</v>
      </c>
      <c r="L63" s="7" t="s">
        <v>1395</v>
      </c>
      <c r="M63" s="7" t="s">
        <v>303</v>
      </c>
      <c r="N63" s="7" t="s">
        <v>284</v>
      </c>
      <c r="O63" s="7" t="s">
        <v>169</v>
      </c>
      <c r="P63" s="7" t="s">
        <v>8</v>
      </c>
      <c r="Q63" s="7" t="s">
        <v>318</v>
      </c>
      <c r="R63" s="7" t="s">
        <v>1273</v>
      </c>
    </row>
    <row r="64" spans="1:18">
      <c r="A64" s="7" t="s">
        <v>1396</v>
      </c>
      <c r="B64" s="7" t="s">
        <v>1397</v>
      </c>
      <c r="C64" s="7" t="s">
        <v>899</v>
      </c>
      <c r="D64" s="7" t="s">
        <v>1065</v>
      </c>
      <c r="E64" s="7" t="s">
        <v>339</v>
      </c>
      <c r="F64" s="7" t="s">
        <v>269</v>
      </c>
      <c r="G64" s="7" t="s">
        <v>340</v>
      </c>
      <c r="H64" s="7" t="s">
        <v>115</v>
      </c>
      <c r="I64" s="7" t="s">
        <v>316</v>
      </c>
      <c r="J64" s="7" t="s">
        <v>346</v>
      </c>
      <c r="K64" s="7" t="s">
        <v>1398</v>
      </c>
      <c r="L64" s="7" t="s">
        <v>630</v>
      </c>
      <c r="M64" s="7" t="s">
        <v>303</v>
      </c>
      <c r="N64" s="7" t="s">
        <v>276</v>
      </c>
      <c r="O64" s="7" t="s">
        <v>195</v>
      </c>
      <c r="P64" s="7" t="s">
        <v>14</v>
      </c>
      <c r="Q64" s="7" t="s">
        <v>262</v>
      </c>
      <c r="R64" s="7" t="s">
        <v>1273</v>
      </c>
    </row>
    <row r="65" spans="1:18">
      <c r="A65" s="7" t="s">
        <v>1399</v>
      </c>
      <c r="B65" s="7" t="s">
        <v>1368</v>
      </c>
      <c r="C65" s="7" t="s">
        <v>914</v>
      </c>
      <c r="D65" s="7" t="s">
        <v>386</v>
      </c>
      <c r="E65" s="7" t="s">
        <v>281</v>
      </c>
      <c r="F65" s="7" t="s">
        <v>282</v>
      </c>
      <c r="G65" s="7" t="s">
        <v>446</v>
      </c>
      <c r="H65" s="7" t="s">
        <v>115</v>
      </c>
      <c r="I65" s="7" t="s">
        <v>299</v>
      </c>
      <c r="J65" s="7" t="s">
        <v>332</v>
      </c>
      <c r="K65" s="7" t="s">
        <v>1400</v>
      </c>
      <c r="L65" s="7" t="s">
        <v>310</v>
      </c>
      <c r="M65" s="7" t="s">
        <v>335</v>
      </c>
      <c r="N65" s="7" t="s">
        <v>284</v>
      </c>
      <c r="O65" s="7" t="s">
        <v>169</v>
      </c>
      <c r="P65" s="7" t="s">
        <v>14</v>
      </c>
      <c r="Q65" s="7" t="s">
        <v>305</v>
      </c>
      <c r="R65" s="7" t="s">
        <v>1273</v>
      </c>
    </row>
    <row r="66" spans="1:18">
      <c r="A66" s="7" t="s">
        <v>1401</v>
      </c>
      <c r="B66" s="7" t="s">
        <v>1364</v>
      </c>
      <c r="C66" s="7" t="s">
        <v>908</v>
      </c>
      <c r="D66" s="7" t="s">
        <v>934</v>
      </c>
      <c r="E66" s="7" t="s">
        <v>255</v>
      </c>
      <c r="F66" s="7" t="s">
        <v>1402</v>
      </c>
      <c r="G66" s="7" t="s">
        <v>648</v>
      </c>
      <c r="H66" s="7" t="s">
        <v>115</v>
      </c>
      <c r="I66" s="7" t="s">
        <v>258</v>
      </c>
      <c r="J66" s="7" t="s">
        <v>341</v>
      </c>
      <c r="K66" s="7" t="s">
        <v>1385</v>
      </c>
      <c r="L66" s="7" t="s">
        <v>341</v>
      </c>
      <c r="M66" s="7" t="s">
        <v>303</v>
      </c>
      <c r="N66" s="7" t="s">
        <v>412</v>
      </c>
      <c r="O66" s="7" t="s">
        <v>195</v>
      </c>
      <c r="P66" s="7" t="s">
        <v>11</v>
      </c>
      <c r="Q66" s="7" t="s">
        <v>326</v>
      </c>
      <c r="R66" s="7" t="s">
        <v>1273</v>
      </c>
    </row>
    <row r="67" spans="1:18">
      <c r="A67" s="7" t="s">
        <v>1403</v>
      </c>
      <c r="B67" s="7" t="s">
        <v>1341</v>
      </c>
      <c r="C67" s="7" t="s">
        <v>1288</v>
      </c>
      <c r="D67" s="7" t="s">
        <v>1136</v>
      </c>
      <c r="E67" s="7" t="s">
        <v>281</v>
      </c>
      <c r="F67" s="7" t="s">
        <v>282</v>
      </c>
      <c r="G67" s="7" t="s">
        <v>446</v>
      </c>
      <c r="H67" s="7" t="s">
        <v>1202</v>
      </c>
      <c r="I67" s="7" t="s">
        <v>271</v>
      </c>
      <c r="J67" s="7" t="s">
        <v>259</v>
      </c>
      <c r="K67" s="7" t="s">
        <v>311</v>
      </c>
      <c r="L67" s="7" t="s">
        <v>358</v>
      </c>
      <c r="M67" s="7" t="s">
        <v>335</v>
      </c>
      <c r="N67" s="7" t="s">
        <v>284</v>
      </c>
      <c r="O67" s="7" t="s">
        <v>195</v>
      </c>
      <c r="P67" s="7" t="s">
        <v>17</v>
      </c>
      <c r="Q67" s="7" t="s">
        <v>305</v>
      </c>
      <c r="R67" s="7" t="s">
        <v>1273</v>
      </c>
    </row>
    <row r="68" spans="1:18">
      <c r="A68" s="7" t="s">
        <v>1404</v>
      </c>
      <c r="B68" s="7" t="s">
        <v>1288</v>
      </c>
      <c r="C68" s="7" t="s">
        <v>522</v>
      </c>
      <c r="D68" s="7" t="s">
        <v>1405</v>
      </c>
      <c r="E68" s="7" t="s">
        <v>339</v>
      </c>
      <c r="F68" s="7" t="s">
        <v>409</v>
      </c>
      <c r="G68" s="7" t="s">
        <v>501</v>
      </c>
      <c r="H68" s="7" t="s">
        <v>115</v>
      </c>
      <c r="I68" s="7" t="s">
        <v>258</v>
      </c>
      <c r="J68" s="7" t="s">
        <v>332</v>
      </c>
      <c r="K68" s="7" t="s">
        <v>369</v>
      </c>
      <c r="L68" s="7" t="s">
        <v>1406</v>
      </c>
      <c r="M68" s="7" t="s">
        <v>303</v>
      </c>
      <c r="N68" s="7" t="s">
        <v>412</v>
      </c>
      <c r="O68" s="7" t="s">
        <v>195</v>
      </c>
      <c r="P68" s="7" t="s">
        <v>17</v>
      </c>
      <c r="Q68" s="7" t="s">
        <v>262</v>
      </c>
      <c r="R68" s="7" t="s">
        <v>1273</v>
      </c>
    </row>
    <row r="69" spans="1:18">
      <c r="A69" s="7" t="s">
        <v>1407</v>
      </c>
      <c r="B69" s="7" t="s">
        <v>1292</v>
      </c>
      <c r="C69" s="7" t="s">
        <v>898</v>
      </c>
      <c r="D69" s="7" t="s">
        <v>1157</v>
      </c>
      <c r="E69" s="7" t="s">
        <v>255</v>
      </c>
      <c r="F69" s="7" t="s">
        <v>297</v>
      </c>
      <c r="G69" s="7" t="s">
        <v>639</v>
      </c>
      <c r="H69" s="7" t="s">
        <v>122</v>
      </c>
      <c r="I69" s="7" t="s">
        <v>299</v>
      </c>
      <c r="J69" s="7" t="s">
        <v>447</v>
      </c>
      <c r="K69" s="7"/>
      <c r="L69" s="7"/>
      <c r="M69" s="7" t="s">
        <v>260</v>
      </c>
      <c r="N69" s="7" t="s">
        <v>304</v>
      </c>
      <c r="O69" s="7" t="s">
        <v>195</v>
      </c>
      <c r="P69" s="7"/>
      <c r="Q69" s="7" t="s">
        <v>305</v>
      </c>
      <c r="R69" s="7" t="s">
        <v>1273</v>
      </c>
    </row>
    <row r="70" spans="1:18">
      <c r="A70" s="7" t="s">
        <v>1408</v>
      </c>
      <c r="B70" s="7" t="s">
        <v>1409</v>
      </c>
      <c r="C70" s="7" t="s">
        <v>948</v>
      </c>
      <c r="D70" s="7" t="s">
        <v>1410</v>
      </c>
      <c r="E70" s="7" t="s">
        <v>255</v>
      </c>
      <c r="F70" s="7" t="s">
        <v>282</v>
      </c>
      <c r="G70" s="7" t="s">
        <v>424</v>
      </c>
      <c r="H70" s="7" t="s">
        <v>115</v>
      </c>
      <c r="I70" s="7" t="s">
        <v>316</v>
      </c>
      <c r="J70" s="7" t="s">
        <v>259</v>
      </c>
      <c r="K70" s="7" t="s">
        <v>1411</v>
      </c>
      <c r="L70" s="7" t="s">
        <v>1412</v>
      </c>
      <c r="M70" s="7" t="s">
        <v>335</v>
      </c>
      <c r="N70" s="7" t="s">
        <v>284</v>
      </c>
      <c r="O70" s="7" t="s">
        <v>195</v>
      </c>
      <c r="P70" s="7" t="s">
        <v>14</v>
      </c>
      <c r="Q70" s="7" t="s">
        <v>285</v>
      </c>
      <c r="R70" s="7" t="s">
        <v>1273</v>
      </c>
    </row>
    <row r="71" spans="1:18">
      <c r="A71" s="7" t="s">
        <v>1413</v>
      </c>
      <c r="B71" s="7" t="s">
        <v>1320</v>
      </c>
      <c r="C71" s="7" t="s">
        <v>957</v>
      </c>
      <c r="D71" s="7" t="s">
        <v>865</v>
      </c>
      <c r="E71" s="7" t="s">
        <v>339</v>
      </c>
      <c r="F71" s="7" t="s">
        <v>297</v>
      </c>
      <c r="G71" s="7" t="s">
        <v>569</v>
      </c>
      <c r="H71" s="7" t="s">
        <v>115</v>
      </c>
      <c r="I71" s="7" t="s">
        <v>299</v>
      </c>
      <c r="J71" s="7" t="s">
        <v>341</v>
      </c>
      <c r="K71" s="7" t="s">
        <v>1414</v>
      </c>
      <c r="L71" s="7" t="s">
        <v>783</v>
      </c>
      <c r="M71" s="7" t="s">
        <v>303</v>
      </c>
      <c r="N71" s="7" t="s">
        <v>304</v>
      </c>
      <c r="O71" s="7" t="s">
        <v>169</v>
      </c>
      <c r="P71" s="7" t="s">
        <v>14</v>
      </c>
      <c r="Q71" s="7" t="s">
        <v>305</v>
      </c>
      <c r="R71" s="7" t="s">
        <v>1273</v>
      </c>
    </row>
    <row r="72" spans="1:18">
      <c r="A72" s="7" t="s">
        <v>1415</v>
      </c>
      <c r="B72" s="7" t="s">
        <v>1292</v>
      </c>
      <c r="C72" s="7" t="s">
        <v>1381</v>
      </c>
      <c r="D72" s="7" t="s">
        <v>1416</v>
      </c>
      <c r="E72" s="7" t="s">
        <v>255</v>
      </c>
      <c r="F72" s="7" t="s">
        <v>282</v>
      </c>
      <c r="G72" s="7" t="s">
        <v>424</v>
      </c>
      <c r="H72" s="7" t="s">
        <v>115</v>
      </c>
      <c r="I72" s="7" t="s">
        <v>271</v>
      </c>
      <c r="J72" s="7" t="s">
        <v>341</v>
      </c>
      <c r="K72" s="7" t="s">
        <v>1080</v>
      </c>
      <c r="L72" s="7" t="s">
        <v>425</v>
      </c>
      <c r="M72" s="7" t="s">
        <v>604</v>
      </c>
      <c r="N72" s="7" t="s">
        <v>284</v>
      </c>
      <c r="O72" s="7" t="s">
        <v>195</v>
      </c>
      <c r="P72" s="7" t="s">
        <v>8</v>
      </c>
      <c r="Q72" s="7" t="s">
        <v>285</v>
      </c>
      <c r="R72" s="7" t="s">
        <v>1273</v>
      </c>
    </row>
    <row r="73" spans="1:18">
      <c r="A73" s="7" t="s">
        <v>1417</v>
      </c>
      <c r="B73" s="7" t="s">
        <v>1325</v>
      </c>
      <c r="C73" s="7" t="s">
        <v>1338</v>
      </c>
      <c r="D73" s="7" t="s">
        <v>1418</v>
      </c>
      <c r="E73" s="7" t="s">
        <v>339</v>
      </c>
      <c r="F73" s="7" t="s">
        <v>297</v>
      </c>
      <c r="G73" s="7" t="s">
        <v>780</v>
      </c>
      <c r="H73" s="7" t="s">
        <v>122</v>
      </c>
      <c r="I73" s="7" t="s">
        <v>258</v>
      </c>
      <c r="J73" s="7" t="s">
        <v>300</v>
      </c>
      <c r="K73" s="7"/>
      <c r="L73" s="7"/>
      <c r="M73" s="7" t="s">
        <v>260</v>
      </c>
      <c r="N73" s="7" t="s">
        <v>304</v>
      </c>
      <c r="O73" s="7" t="s">
        <v>195</v>
      </c>
      <c r="P73" s="7"/>
      <c r="Q73" s="7" t="s">
        <v>318</v>
      </c>
      <c r="R73" s="7" t="s">
        <v>1273</v>
      </c>
    </row>
    <row r="74" spans="1:18">
      <c r="A74" s="7" t="s">
        <v>1419</v>
      </c>
      <c r="B74" s="7" t="s">
        <v>1341</v>
      </c>
      <c r="C74" s="7" t="s">
        <v>1087</v>
      </c>
      <c r="D74" s="7" t="s">
        <v>1126</v>
      </c>
      <c r="E74" s="7" t="s">
        <v>339</v>
      </c>
      <c r="F74" s="7" t="s">
        <v>256</v>
      </c>
      <c r="G74" s="7" t="s">
        <v>403</v>
      </c>
      <c r="H74" s="7" t="s">
        <v>115</v>
      </c>
      <c r="I74" s="7" t="s">
        <v>271</v>
      </c>
      <c r="J74" s="7" t="s">
        <v>447</v>
      </c>
      <c r="K74" s="7" t="s">
        <v>1420</v>
      </c>
      <c r="L74" s="7" t="s">
        <v>1421</v>
      </c>
      <c r="M74" s="7" t="s">
        <v>275</v>
      </c>
      <c r="N74" s="7" t="s">
        <v>261</v>
      </c>
      <c r="O74" s="7" t="s">
        <v>195</v>
      </c>
      <c r="P74" s="7" t="s">
        <v>14</v>
      </c>
      <c r="Q74" s="7" t="s">
        <v>262</v>
      </c>
      <c r="R74" s="7" t="s">
        <v>1273</v>
      </c>
    </row>
    <row r="75" spans="1:18">
      <c r="A75" s="7" t="s">
        <v>1422</v>
      </c>
      <c r="B75" s="7" t="s">
        <v>1275</v>
      </c>
      <c r="C75" s="7" t="s">
        <v>940</v>
      </c>
      <c r="D75" s="7" t="s">
        <v>882</v>
      </c>
      <c r="E75" s="7" t="s">
        <v>268</v>
      </c>
      <c r="F75" s="7" t="s">
        <v>269</v>
      </c>
      <c r="G75" s="7" t="s">
        <v>270</v>
      </c>
      <c r="H75" s="7" t="s">
        <v>115</v>
      </c>
      <c r="I75" s="7" t="s">
        <v>258</v>
      </c>
      <c r="J75" s="7" t="s">
        <v>300</v>
      </c>
      <c r="K75" s="7" t="s">
        <v>1027</v>
      </c>
      <c r="L75" s="7" t="s">
        <v>588</v>
      </c>
      <c r="M75" s="7" t="s">
        <v>303</v>
      </c>
      <c r="N75" s="7" t="s">
        <v>276</v>
      </c>
      <c r="O75" s="7" t="s">
        <v>195</v>
      </c>
      <c r="P75" s="7" t="s">
        <v>11</v>
      </c>
      <c r="Q75" s="7" t="s">
        <v>305</v>
      </c>
      <c r="R75" s="7" t="s">
        <v>1273</v>
      </c>
    </row>
    <row r="76" spans="1:18">
      <c r="A76" s="7" t="s">
        <v>1423</v>
      </c>
      <c r="B76" s="7" t="s">
        <v>1296</v>
      </c>
      <c r="C76" s="7" t="s">
        <v>894</v>
      </c>
      <c r="D76" s="7" t="s">
        <v>934</v>
      </c>
      <c r="E76" s="7" t="s">
        <v>268</v>
      </c>
      <c r="F76" s="7" t="s">
        <v>297</v>
      </c>
      <c r="G76" s="7" t="s">
        <v>628</v>
      </c>
      <c r="H76" s="7" t="s">
        <v>115</v>
      </c>
      <c r="I76" s="7" t="s">
        <v>271</v>
      </c>
      <c r="J76" s="7" t="s">
        <v>272</v>
      </c>
      <c r="K76" s="7" t="s">
        <v>543</v>
      </c>
      <c r="L76" s="7" t="s">
        <v>783</v>
      </c>
      <c r="M76" s="7" t="s">
        <v>303</v>
      </c>
      <c r="N76" s="7" t="s">
        <v>304</v>
      </c>
      <c r="O76" s="7" t="s">
        <v>195</v>
      </c>
      <c r="P76" s="7" t="s">
        <v>14</v>
      </c>
      <c r="Q76" s="7" t="s">
        <v>326</v>
      </c>
      <c r="R76" s="7" t="s">
        <v>1273</v>
      </c>
    </row>
    <row r="77" spans="1:18">
      <c r="A77" s="7" t="s">
        <v>1424</v>
      </c>
      <c r="B77" s="7" t="s">
        <v>1309</v>
      </c>
      <c r="C77" s="7" t="s">
        <v>1285</v>
      </c>
      <c r="D77" s="7" t="s">
        <v>1425</v>
      </c>
      <c r="E77" s="7" t="s">
        <v>339</v>
      </c>
      <c r="F77" s="7" t="s">
        <v>269</v>
      </c>
      <c r="G77" s="7" t="s">
        <v>528</v>
      </c>
      <c r="H77" s="7" t="s">
        <v>122</v>
      </c>
      <c r="I77" s="7" t="s">
        <v>271</v>
      </c>
      <c r="J77" s="7" t="s">
        <v>259</v>
      </c>
      <c r="K77" s="7"/>
      <c r="L77" s="7"/>
      <c r="M77" s="7" t="s">
        <v>260</v>
      </c>
      <c r="N77" s="7" t="s">
        <v>276</v>
      </c>
      <c r="O77" s="7" t="s">
        <v>169</v>
      </c>
      <c r="P77" s="7"/>
      <c r="Q77" s="7" t="s">
        <v>305</v>
      </c>
      <c r="R77" s="7" t="s">
        <v>1273</v>
      </c>
    </row>
    <row r="78" spans="1:18">
      <c r="A78" s="7" t="s">
        <v>1426</v>
      </c>
      <c r="B78" s="7" t="s">
        <v>1338</v>
      </c>
      <c r="C78" s="7" t="s">
        <v>1125</v>
      </c>
      <c r="D78" s="7" t="s">
        <v>1427</v>
      </c>
      <c r="E78" s="7" t="s">
        <v>339</v>
      </c>
      <c r="F78" s="7" t="s">
        <v>297</v>
      </c>
      <c r="G78" s="7" t="s">
        <v>780</v>
      </c>
      <c r="H78" s="7" t="s">
        <v>115</v>
      </c>
      <c r="I78" s="7" t="s">
        <v>316</v>
      </c>
      <c r="J78" s="7" t="s">
        <v>358</v>
      </c>
      <c r="K78" s="7" t="s">
        <v>378</v>
      </c>
      <c r="L78" s="7" t="s">
        <v>525</v>
      </c>
      <c r="M78" s="7" t="s">
        <v>293</v>
      </c>
      <c r="N78" s="7" t="s">
        <v>304</v>
      </c>
      <c r="O78" s="7" t="s">
        <v>169</v>
      </c>
      <c r="P78" s="7" t="s">
        <v>11</v>
      </c>
      <c r="Q78" s="7" t="s">
        <v>318</v>
      </c>
      <c r="R78" s="7" t="s">
        <v>1273</v>
      </c>
    </row>
    <row r="79" spans="1:18">
      <c r="A79" s="7" t="s">
        <v>1428</v>
      </c>
      <c r="B79" s="7" t="s">
        <v>1318</v>
      </c>
      <c r="C79" s="7" t="s">
        <v>902</v>
      </c>
      <c r="D79" s="7" t="s">
        <v>408</v>
      </c>
      <c r="E79" s="7" t="s">
        <v>281</v>
      </c>
      <c r="F79" s="7" t="s">
        <v>297</v>
      </c>
      <c r="G79" s="7" t="s">
        <v>368</v>
      </c>
      <c r="H79" s="7" t="s">
        <v>127</v>
      </c>
      <c r="I79" s="7" t="s">
        <v>271</v>
      </c>
      <c r="J79" s="7" t="s">
        <v>358</v>
      </c>
      <c r="K79" s="7"/>
      <c r="L79" s="7"/>
      <c r="M79" s="7" t="s">
        <v>260</v>
      </c>
      <c r="N79" s="7" t="s">
        <v>304</v>
      </c>
      <c r="O79" s="7" t="s">
        <v>631</v>
      </c>
      <c r="P79" s="7"/>
      <c r="Q79" s="7" t="s">
        <v>285</v>
      </c>
      <c r="R79" s="7" t="s">
        <v>1273</v>
      </c>
    </row>
    <row r="80" spans="1:18">
      <c r="A80" s="7" t="s">
        <v>1429</v>
      </c>
      <c r="B80" s="7" t="s">
        <v>1368</v>
      </c>
      <c r="C80" s="7" t="s">
        <v>914</v>
      </c>
      <c r="D80" s="7" t="s">
        <v>622</v>
      </c>
      <c r="E80" s="7" t="s">
        <v>255</v>
      </c>
      <c r="F80" s="7" t="s">
        <v>256</v>
      </c>
      <c r="G80" s="7" t="s">
        <v>398</v>
      </c>
      <c r="H80" s="7" t="s">
        <v>115</v>
      </c>
      <c r="I80" s="7" t="s">
        <v>299</v>
      </c>
      <c r="J80" s="7" t="s">
        <v>272</v>
      </c>
      <c r="K80" s="7" t="s">
        <v>718</v>
      </c>
      <c r="L80" s="7" t="s">
        <v>274</v>
      </c>
      <c r="M80" s="7" t="s">
        <v>303</v>
      </c>
      <c r="N80" s="7" t="s">
        <v>261</v>
      </c>
      <c r="O80" s="7" t="s">
        <v>195</v>
      </c>
      <c r="P80" s="7" t="s">
        <v>17</v>
      </c>
      <c r="Q80" s="7" t="s">
        <v>285</v>
      </c>
      <c r="R80" s="7" t="s">
        <v>1273</v>
      </c>
    </row>
    <row r="81" spans="1:18">
      <c r="A81" s="7" t="s">
        <v>1430</v>
      </c>
      <c r="B81" s="7" t="s">
        <v>1368</v>
      </c>
      <c r="C81" s="7" t="s">
        <v>939</v>
      </c>
      <c r="D81" s="7" t="s">
        <v>963</v>
      </c>
      <c r="E81" s="7" t="s">
        <v>268</v>
      </c>
      <c r="F81" s="7" t="s">
        <v>409</v>
      </c>
      <c r="G81" s="7" t="s">
        <v>552</v>
      </c>
      <c r="H81" s="7" t="s">
        <v>115</v>
      </c>
      <c r="I81" s="7" t="s">
        <v>271</v>
      </c>
      <c r="J81" s="7" t="s">
        <v>358</v>
      </c>
      <c r="K81" s="7" t="s">
        <v>358</v>
      </c>
      <c r="L81" s="7" t="s">
        <v>1431</v>
      </c>
      <c r="M81" s="7" t="s">
        <v>303</v>
      </c>
      <c r="N81" s="7" t="s">
        <v>412</v>
      </c>
      <c r="O81" s="7" t="s">
        <v>169</v>
      </c>
      <c r="P81" s="7" t="s">
        <v>11</v>
      </c>
      <c r="Q81" s="7" t="s">
        <v>305</v>
      </c>
      <c r="R81" s="7" t="s">
        <v>1273</v>
      </c>
    </row>
    <row r="82" spans="1:18">
      <c r="A82" s="7" t="s">
        <v>1432</v>
      </c>
      <c r="B82" s="7" t="s">
        <v>1355</v>
      </c>
      <c r="C82" s="7" t="s">
        <v>1288</v>
      </c>
      <c r="D82" s="7" t="s">
        <v>909</v>
      </c>
      <c r="E82" s="7" t="s">
        <v>281</v>
      </c>
      <c r="F82" s="7" t="s">
        <v>297</v>
      </c>
      <c r="G82" s="7" t="s">
        <v>368</v>
      </c>
      <c r="H82" s="7" t="s">
        <v>127</v>
      </c>
      <c r="I82" s="7" t="s">
        <v>271</v>
      </c>
      <c r="J82" s="7" t="s">
        <v>404</v>
      </c>
      <c r="K82" s="7"/>
      <c r="L82" s="7"/>
      <c r="M82" s="7" t="s">
        <v>260</v>
      </c>
      <c r="N82" s="7" t="s">
        <v>304</v>
      </c>
      <c r="O82" s="7" t="s">
        <v>169</v>
      </c>
      <c r="P82" s="7"/>
      <c r="Q82" s="7" t="s">
        <v>305</v>
      </c>
      <c r="R82" s="7" t="s">
        <v>1273</v>
      </c>
    </row>
    <row r="83" spans="1:18">
      <c r="A83" s="7" t="s">
        <v>1433</v>
      </c>
      <c r="B83" s="7" t="s">
        <v>1355</v>
      </c>
      <c r="C83" s="7" t="s">
        <v>1288</v>
      </c>
      <c r="D83" s="7" t="s">
        <v>372</v>
      </c>
      <c r="E83" s="7" t="s">
        <v>281</v>
      </c>
      <c r="F83" s="7" t="s">
        <v>409</v>
      </c>
      <c r="G83" s="7" t="s">
        <v>496</v>
      </c>
      <c r="H83" s="7" t="s">
        <v>115</v>
      </c>
      <c r="I83" s="7" t="s">
        <v>299</v>
      </c>
      <c r="J83" s="7" t="s">
        <v>469</v>
      </c>
      <c r="K83" s="7" t="s">
        <v>972</v>
      </c>
      <c r="L83" s="7" t="s">
        <v>346</v>
      </c>
      <c r="M83" s="7" t="s">
        <v>335</v>
      </c>
      <c r="N83" s="7" t="s">
        <v>412</v>
      </c>
      <c r="O83" s="7" t="s">
        <v>195</v>
      </c>
      <c r="P83" s="7" t="s">
        <v>11</v>
      </c>
      <c r="Q83" s="7" t="s">
        <v>305</v>
      </c>
      <c r="R83" s="7" t="s">
        <v>1273</v>
      </c>
    </row>
    <row r="84" spans="1:18">
      <c r="A84" s="7" t="s">
        <v>1434</v>
      </c>
      <c r="B84" s="7" t="s">
        <v>1292</v>
      </c>
      <c r="C84" s="7" t="s">
        <v>903</v>
      </c>
      <c r="D84" s="7" t="s">
        <v>715</v>
      </c>
      <c r="E84" s="7" t="s">
        <v>268</v>
      </c>
      <c r="F84" s="7"/>
      <c r="G84" s="7" t="s">
        <v>419</v>
      </c>
      <c r="H84" s="7" t="s">
        <v>115</v>
      </c>
      <c r="I84" s="7" t="s">
        <v>258</v>
      </c>
      <c r="J84" s="7" t="s">
        <v>529</v>
      </c>
      <c r="K84" s="7" t="s">
        <v>598</v>
      </c>
      <c r="L84" s="7" t="s">
        <v>910</v>
      </c>
      <c r="M84" s="7" t="s">
        <v>293</v>
      </c>
      <c r="N84" s="7" t="s">
        <v>261</v>
      </c>
      <c r="O84" s="7" t="s">
        <v>169</v>
      </c>
      <c r="P84" s="7" t="s">
        <v>14</v>
      </c>
      <c r="Q84" s="7" t="s">
        <v>285</v>
      </c>
      <c r="R84" s="7" t="s">
        <v>1273</v>
      </c>
    </row>
    <row r="85" spans="1:18">
      <c r="A85" s="7" t="s">
        <v>1435</v>
      </c>
      <c r="B85" s="7" t="s">
        <v>1359</v>
      </c>
      <c r="C85" s="7" t="s">
        <v>899</v>
      </c>
      <c r="D85" s="7" t="s">
        <v>475</v>
      </c>
      <c r="E85" s="7" t="s">
        <v>255</v>
      </c>
      <c r="F85" s="7" t="s">
        <v>256</v>
      </c>
      <c r="G85" s="7" t="s">
        <v>257</v>
      </c>
      <c r="H85" s="7" t="s">
        <v>115</v>
      </c>
      <c r="I85" s="7" t="s">
        <v>258</v>
      </c>
      <c r="J85" s="7" t="s">
        <v>529</v>
      </c>
      <c r="K85" s="7" t="s">
        <v>1436</v>
      </c>
      <c r="L85" s="7" t="s">
        <v>1149</v>
      </c>
      <c r="M85" s="7" t="s">
        <v>303</v>
      </c>
      <c r="N85" s="7" t="s">
        <v>261</v>
      </c>
      <c r="O85" s="7" t="s">
        <v>195</v>
      </c>
      <c r="P85" s="7" t="s">
        <v>11</v>
      </c>
      <c r="Q85" s="7" t="s">
        <v>285</v>
      </c>
      <c r="R85" s="7" t="s">
        <v>1273</v>
      </c>
    </row>
    <row r="86" spans="1:18">
      <c r="A86" s="7" t="s">
        <v>1437</v>
      </c>
      <c r="B86" s="7" t="s">
        <v>1368</v>
      </c>
      <c r="C86" s="7" t="s">
        <v>1355</v>
      </c>
      <c r="D86" s="7" t="s">
        <v>338</v>
      </c>
      <c r="E86" s="7" t="s">
        <v>281</v>
      </c>
      <c r="F86" s="7" t="s">
        <v>269</v>
      </c>
      <c r="G86" s="7" t="s">
        <v>322</v>
      </c>
      <c r="H86" s="7" t="s">
        <v>127</v>
      </c>
      <c r="I86" s="7" t="s">
        <v>299</v>
      </c>
      <c r="J86" s="7" t="s">
        <v>351</v>
      </c>
      <c r="K86" s="7"/>
      <c r="L86" s="7"/>
      <c r="M86" s="7" t="s">
        <v>260</v>
      </c>
      <c r="N86" s="7" t="s">
        <v>276</v>
      </c>
      <c r="O86" s="7" t="s">
        <v>169</v>
      </c>
      <c r="P86" s="7"/>
      <c r="Q86" s="7" t="s">
        <v>262</v>
      </c>
      <c r="R86" s="7" t="s">
        <v>1273</v>
      </c>
    </row>
    <row r="87" spans="1:18">
      <c r="A87" s="7" t="s">
        <v>1438</v>
      </c>
      <c r="B87" s="7" t="s">
        <v>1320</v>
      </c>
      <c r="C87" s="7" t="s">
        <v>894</v>
      </c>
      <c r="D87" s="7" t="s">
        <v>1136</v>
      </c>
      <c r="E87" s="7" t="s">
        <v>268</v>
      </c>
      <c r="F87" s="7" t="s">
        <v>297</v>
      </c>
      <c r="G87" s="7" t="s">
        <v>628</v>
      </c>
      <c r="H87" s="7" t="s">
        <v>115</v>
      </c>
      <c r="I87" s="7" t="s">
        <v>271</v>
      </c>
      <c r="J87" s="7" t="s">
        <v>358</v>
      </c>
      <c r="K87" s="7" t="s">
        <v>1439</v>
      </c>
      <c r="L87" s="7" t="s">
        <v>1440</v>
      </c>
      <c r="M87" s="7" t="s">
        <v>335</v>
      </c>
      <c r="N87" s="7" t="s">
        <v>304</v>
      </c>
      <c r="O87" s="7" t="s">
        <v>195</v>
      </c>
      <c r="P87" s="7" t="s">
        <v>8</v>
      </c>
      <c r="Q87" s="7" t="s">
        <v>285</v>
      </c>
      <c r="R87" s="7" t="s">
        <v>1273</v>
      </c>
    </row>
    <row r="88" spans="1:18">
      <c r="A88" s="7" t="s">
        <v>1441</v>
      </c>
      <c r="B88" s="7" t="s">
        <v>1326</v>
      </c>
      <c r="C88" s="7" t="s">
        <v>898</v>
      </c>
      <c r="D88" s="7" t="s">
        <v>367</v>
      </c>
      <c r="E88" s="7" t="s">
        <v>255</v>
      </c>
      <c r="F88" s="7" t="s">
        <v>282</v>
      </c>
      <c r="G88" s="7" t="s">
        <v>290</v>
      </c>
      <c r="H88" s="7" t="s">
        <v>115</v>
      </c>
      <c r="I88" s="7" t="s">
        <v>316</v>
      </c>
      <c r="J88" s="7" t="s">
        <v>529</v>
      </c>
      <c r="K88" s="7" t="s">
        <v>1105</v>
      </c>
      <c r="L88" s="7" t="s">
        <v>1442</v>
      </c>
      <c r="M88" s="7" t="s">
        <v>335</v>
      </c>
      <c r="N88" s="7" t="s">
        <v>284</v>
      </c>
      <c r="O88" s="7" t="s">
        <v>195</v>
      </c>
      <c r="P88" s="7" t="s">
        <v>664</v>
      </c>
      <c r="Q88" s="7" t="s">
        <v>326</v>
      </c>
      <c r="R88" s="7" t="s">
        <v>1273</v>
      </c>
    </row>
    <row r="89" spans="1:18">
      <c r="A89" s="7" t="s">
        <v>1443</v>
      </c>
      <c r="B89" s="7" t="s">
        <v>1305</v>
      </c>
      <c r="C89" s="7" t="s">
        <v>924</v>
      </c>
      <c r="D89" s="7" t="s">
        <v>638</v>
      </c>
      <c r="E89" s="7" t="s">
        <v>339</v>
      </c>
      <c r="F89" s="7" t="s">
        <v>409</v>
      </c>
      <c r="G89" s="7" t="s">
        <v>501</v>
      </c>
      <c r="H89" s="7" t="s">
        <v>115</v>
      </c>
      <c r="I89" s="7" t="s">
        <v>299</v>
      </c>
      <c r="J89" s="7" t="s">
        <v>525</v>
      </c>
      <c r="K89" s="7" t="s">
        <v>1444</v>
      </c>
      <c r="L89" s="7" t="s">
        <v>1128</v>
      </c>
      <c r="M89" s="7" t="s">
        <v>293</v>
      </c>
      <c r="N89" s="7" t="s">
        <v>412</v>
      </c>
      <c r="O89" s="7" t="s">
        <v>195</v>
      </c>
      <c r="P89" s="7" t="s">
        <v>14</v>
      </c>
      <c r="Q89" s="7" t="s">
        <v>305</v>
      </c>
      <c r="R89" s="7" t="s">
        <v>1273</v>
      </c>
    </row>
    <row r="90" spans="1:18">
      <c r="A90" s="7" t="s">
        <v>1445</v>
      </c>
      <c r="B90" s="7" t="s">
        <v>1318</v>
      </c>
      <c r="C90" s="7" t="s">
        <v>1359</v>
      </c>
      <c r="D90" s="7" t="s">
        <v>1427</v>
      </c>
      <c r="E90" s="7" t="s">
        <v>255</v>
      </c>
      <c r="F90" s="7" t="s">
        <v>256</v>
      </c>
      <c r="G90" s="7" t="s">
        <v>398</v>
      </c>
      <c r="H90" s="7" t="s">
        <v>122</v>
      </c>
      <c r="I90" s="7" t="s">
        <v>258</v>
      </c>
      <c r="J90" s="7" t="s">
        <v>358</v>
      </c>
      <c r="K90" s="7"/>
      <c r="L90" s="7"/>
      <c r="M90" s="7" t="s">
        <v>260</v>
      </c>
      <c r="N90" s="7" t="s">
        <v>261</v>
      </c>
      <c r="O90" s="7" t="s">
        <v>195</v>
      </c>
      <c r="P90" s="7"/>
      <c r="Q90" s="7" t="s">
        <v>318</v>
      </c>
      <c r="R90" s="7" t="s">
        <v>1273</v>
      </c>
    </row>
    <row r="91" spans="1:18">
      <c r="A91" s="7" t="s">
        <v>1446</v>
      </c>
      <c r="B91" s="7" t="s">
        <v>1285</v>
      </c>
      <c r="C91" s="7" t="s">
        <v>936</v>
      </c>
      <c r="D91" s="7" t="s">
        <v>1447</v>
      </c>
      <c r="E91" s="7" t="s">
        <v>339</v>
      </c>
      <c r="F91" s="7" t="s">
        <v>256</v>
      </c>
      <c r="G91" s="7" t="s">
        <v>345</v>
      </c>
      <c r="H91" s="7" t="s">
        <v>115</v>
      </c>
      <c r="I91" s="7" t="s">
        <v>271</v>
      </c>
      <c r="J91" s="7" t="s">
        <v>351</v>
      </c>
      <c r="K91" s="7" t="s">
        <v>462</v>
      </c>
      <c r="L91" s="7" t="s">
        <v>656</v>
      </c>
      <c r="M91" s="7" t="s">
        <v>303</v>
      </c>
      <c r="N91" s="7" t="s">
        <v>261</v>
      </c>
      <c r="O91" s="7" t="s">
        <v>195</v>
      </c>
      <c r="P91" s="7" t="s">
        <v>14</v>
      </c>
      <c r="Q91" s="7" t="s">
        <v>305</v>
      </c>
      <c r="R91" s="7" t="s">
        <v>1273</v>
      </c>
    </row>
    <row r="92" spans="1:18">
      <c r="A92" s="7" t="s">
        <v>1448</v>
      </c>
      <c r="B92" s="7" t="s">
        <v>1326</v>
      </c>
      <c r="C92" s="7" t="s">
        <v>948</v>
      </c>
      <c r="D92" s="7" t="s">
        <v>586</v>
      </c>
      <c r="E92" s="7" t="s">
        <v>268</v>
      </c>
      <c r="F92" s="7" t="s">
        <v>409</v>
      </c>
      <c r="G92" s="7" t="s">
        <v>587</v>
      </c>
      <c r="H92" s="7" t="s">
        <v>115</v>
      </c>
      <c r="I92" s="7" t="s">
        <v>299</v>
      </c>
      <c r="J92" s="7" t="s">
        <v>272</v>
      </c>
      <c r="K92" s="7" t="s">
        <v>784</v>
      </c>
      <c r="L92" s="7" t="s">
        <v>679</v>
      </c>
      <c r="M92" s="7" t="s">
        <v>293</v>
      </c>
      <c r="N92" s="7" t="s">
        <v>412</v>
      </c>
      <c r="O92" s="7" t="s">
        <v>195</v>
      </c>
      <c r="P92" s="7" t="s">
        <v>17</v>
      </c>
      <c r="Q92" s="7" t="s">
        <v>285</v>
      </c>
      <c r="R92" s="7" t="s">
        <v>1273</v>
      </c>
    </row>
    <row r="93" spans="1:18">
      <c r="A93" s="7" t="s">
        <v>1449</v>
      </c>
      <c r="B93" s="7" t="s">
        <v>1288</v>
      </c>
      <c r="C93" s="7" t="s">
        <v>894</v>
      </c>
      <c r="D93" s="7" t="s">
        <v>706</v>
      </c>
      <c r="E93" s="7" t="s">
        <v>255</v>
      </c>
      <c r="F93" s="7" t="s">
        <v>256</v>
      </c>
      <c r="G93" s="7" t="s">
        <v>398</v>
      </c>
      <c r="H93" s="7" t="s">
        <v>115</v>
      </c>
      <c r="I93" s="7" t="s">
        <v>258</v>
      </c>
      <c r="J93" s="7" t="s">
        <v>399</v>
      </c>
      <c r="K93" s="7" t="s">
        <v>1323</v>
      </c>
      <c r="L93" s="7" t="s">
        <v>742</v>
      </c>
      <c r="M93" s="7" t="s">
        <v>303</v>
      </c>
      <c r="N93" s="7" t="s">
        <v>261</v>
      </c>
      <c r="O93" s="7" t="s">
        <v>195</v>
      </c>
      <c r="P93" s="7" t="s">
        <v>14</v>
      </c>
      <c r="Q93" s="7" t="s">
        <v>262</v>
      </c>
      <c r="R93" s="7" t="s">
        <v>1273</v>
      </c>
    </row>
    <row r="94" spans="1:18">
      <c r="A94" s="7" t="s">
        <v>1450</v>
      </c>
      <c r="B94" s="7" t="s">
        <v>1329</v>
      </c>
      <c r="C94" s="7" t="s">
        <v>278</v>
      </c>
      <c r="D94" s="7" t="s">
        <v>1237</v>
      </c>
      <c r="E94" s="7" t="s">
        <v>281</v>
      </c>
      <c r="F94" s="7" t="s">
        <v>409</v>
      </c>
      <c r="G94" s="7" t="s">
        <v>535</v>
      </c>
      <c r="H94" s="7" t="s">
        <v>115</v>
      </c>
      <c r="I94" s="7" t="s">
        <v>316</v>
      </c>
      <c r="J94" s="7" t="s">
        <v>447</v>
      </c>
      <c r="K94" s="7" t="s">
        <v>1307</v>
      </c>
      <c r="L94" s="7" t="s">
        <v>1451</v>
      </c>
      <c r="M94" s="7" t="s">
        <v>686</v>
      </c>
      <c r="N94" s="7" t="s">
        <v>412</v>
      </c>
      <c r="O94" s="7" t="s">
        <v>195</v>
      </c>
      <c r="P94" s="7" t="s">
        <v>14</v>
      </c>
      <c r="Q94" s="7" t="s">
        <v>305</v>
      </c>
      <c r="R94" s="7" t="s">
        <v>1273</v>
      </c>
    </row>
    <row r="95" spans="1:18">
      <c r="A95" s="7" t="s">
        <v>1452</v>
      </c>
      <c r="B95" s="7" t="s">
        <v>1275</v>
      </c>
      <c r="C95" s="7" t="s">
        <v>279</v>
      </c>
      <c r="D95" s="7" t="s">
        <v>1366</v>
      </c>
      <c r="E95" s="7" t="s">
        <v>339</v>
      </c>
      <c r="F95" s="7" t="s">
        <v>297</v>
      </c>
      <c r="G95" s="7" t="s">
        <v>569</v>
      </c>
      <c r="H95" s="7" t="s">
        <v>115</v>
      </c>
      <c r="I95" s="7" t="s">
        <v>258</v>
      </c>
      <c r="J95" s="7" t="s">
        <v>272</v>
      </c>
      <c r="K95" s="7" t="s">
        <v>544</v>
      </c>
      <c r="L95" s="7" t="s">
        <v>777</v>
      </c>
      <c r="M95" s="7" t="s">
        <v>303</v>
      </c>
      <c r="N95" s="7" t="s">
        <v>304</v>
      </c>
      <c r="O95" s="7" t="s">
        <v>195</v>
      </c>
      <c r="P95" s="7" t="s">
        <v>11</v>
      </c>
      <c r="Q95" s="7" t="s">
        <v>318</v>
      </c>
      <c r="R95" s="7" t="s">
        <v>1273</v>
      </c>
    </row>
    <row r="96" spans="1:18">
      <c r="A96" s="7" t="s">
        <v>1453</v>
      </c>
      <c r="B96" s="7" t="s">
        <v>1305</v>
      </c>
      <c r="C96" s="7" t="s">
        <v>1330</v>
      </c>
      <c r="D96" s="7" t="s">
        <v>1067</v>
      </c>
      <c r="E96" s="7" t="s">
        <v>255</v>
      </c>
      <c r="F96" s="7" t="s">
        <v>269</v>
      </c>
      <c r="G96" s="7" t="s">
        <v>391</v>
      </c>
      <c r="H96" s="7" t="s">
        <v>466</v>
      </c>
      <c r="I96" s="7" t="s">
        <v>271</v>
      </c>
      <c r="J96" s="7" t="s">
        <v>300</v>
      </c>
      <c r="K96" s="7"/>
      <c r="L96" s="7"/>
      <c r="M96" s="7" t="s">
        <v>260</v>
      </c>
      <c r="N96" s="7" t="s">
        <v>276</v>
      </c>
      <c r="O96" s="7" t="s">
        <v>169</v>
      </c>
      <c r="P96" s="7"/>
      <c r="Q96" s="7" t="s">
        <v>285</v>
      </c>
      <c r="R96" s="7" t="s">
        <v>1273</v>
      </c>
    </row>
    <row r="97" spans="1:18">
      <c r="A97" s="7" t="s">
        <v>1454</v>
      </c>
      <c r="B97" s="7" t="s">
        <v>1285</v>
      </c>
      <c r="C97" s="7" t="s">
        <v>320</v>
      </c>
      <c r="D97" s="7" t="s">
        <v>418</v>
      </c>
      <c r="E97" s="7" t="s">
        <v>281</v>
      </c>
      <c r="F97" s="7" t="s">
        <v>297</v>
      </c>
      <c r="G97" s="7" t="s">
        <v>368</v>
      </c>
      <c r="H97" s="7" t="s">
        <v>122</v>
      </c>
      <c r="I97" s="7" t="s">
        <v>299</v>
      </c>
      <c r="J97" s="7" t="s">
        <v>392</v>
      </c>
      <c r="K97" s="7"/>
      <c r="L97" s="7"/>
      <c r="M97" s="7" t="s">
        <v>260</v>
      </c>
      <c r="N97" s="7" t="s">
        <v>304</v>
      </c>
      <c r="O97" s="7" t="s">
        <v>169</v>
      </c>
      <c r="P97" s="7"/>
      <c r="Q97" s="7" t="s">
        <v>262</v>
      </c>
      <c r="R97" s="7" t="s">
        <v>1273</v>
      </c>
    </row>
    <row r="98" spans="1:18">
      <c r="A98" s="7" t="s">
        <v>1455</v>
      </c>
      <c r="B98" s="7" t="s">
        <v>1359</v>
      </c>
      <c r="C98" s="7" t="s">
        <v>924</v>
      </c>
      <c r="D98" s="7" t="s">
        <v>1036</v>
      </c>
      <c r="E98" s="7" t="s">
        <v>268</v>
      </c>
      <c r="F98" s="7" t="s">
        <v>256</v>
      </c>
      <c r="G98" s="7" t="s">
        <v>886</v>
      </c>
      <c r="H98" s="7" t="s">
        <v>1456</v>
      </c>
      <c r="I98" s="7" t="s">
        <v>258</v>
      </c>
      <c r="J98" s="7" t="s">
        <v>346</v>
      </c>
      <c r="K98" s="7" t="s">
        <v>1197</v>
      </c>
      <c r="L98" s="7" t="s">
        <v>1457</v>
      </c>
      <c r="M98" s="7" t="s">
        <v>303</v>
      </c>
      <c r="N98" s="7" t="s">
        <v>261</v>
      </c>
      <c r="O98" s="7" t="s">
        <v>195</v>
      </c>
      <c r="P98" s="7" t="s">
        <v>17</v>
      </c>
      <c r="Q98" s="7" t="s">
        <v>318</v>
      </c>
      <c r="R98" s="7" t="s">
        <v>1273</v>
      </c>
    </row>
    <row r="99" spans="1:18">
      <c r="A99" s="7" t="s">
        <v>1458</v>
      </c>
      <c r="B99" s="7" t="s">
        <v>1320</v>
      </c>
      <c r="C99" s="7" t="s">
        <v>1003</v>
      </c>
      <c r="D99" s="7" t="s">
        <v>1179</v>
      </c>
      <c r="E99" s="7" t="s">
        <v>255</v>
      </c>
      <c r="F99" s="7" t="s">
        <v>282</v>
      </c>
      <c r="G99" s="7" t="s">
        <v>424</v>
      </c>
      <c r="H99" s="7" t="s">
        <v>115</v>
      </c>
      <c r="I99" s="7" t="s">
        <v>846</v>
      </c>
      <c r="J99" s="7" t="s">
        <v>447</v>
      </c>
      <c r="K99" s="7" t="s">
        <v>1459</v>
      </c>
      <c r="L99" s="7" t="s">
        <v>1460</v>
      </c>
      <c r="M99" s="7" t="s">
        <v>275</v>
      </c>
      <c r="N99" s="7" t="s">
        <v>284</v>
      </c>
      <c r="O99" s="7" t="s">
        <v>169</v>
      </c>
      <c r="P99" s="7" t="s">
        <v>14</v>
      </c>
      <c r="Q99" s="7" t="s">
        <v>326</v>
      </c>
      <c r="R99" s="7" t="s">
        <v>1273</v>
      </c>
    </row>
    <row r="100" spans="1:18">
      <c r="A100" s="7" t="s">
        <v>1461</v>
      </c>
      <c r="B100" s="7" t="s">
        <v>1279</v>
      </c>
      <c r="C100" s="7" t="s">
        <v>1272</v>
      </c>
      <c r="D100" s="7" t="s">
        <v>1077</v>
      </c>
      <c r="E100" s="7" t="s">
        <v>281</v>
      </c>
      <c r="F100" s="7" t="s">
        <v>256</v>
      </c>
      <c r="G100" s="7" t="s">
        <v>429</v>
      </c>
      <c r="H100" s="7" t="s">
        <v>115</v>
      </c>
      <c r="I100" s="7" t="s">
        <v>271</v>
      </c>
      <c r="J100" s="7" t="s">
        <v>404</v>
      </c>
      <c r="K100" s="7" t="s">
        <v>746</v>
      </c>
      <c r="L100" s="7" t="s">
        <v>1462</v>
      </c>
      <c r="M100" s="7" t="s">
        <v>275</v>
      </c>
      <c r="N100" s="7" t="s">
        <v>261</v>
      </c>
      <c r="O100" s="7" t="s">
        <v>169</v>
      </c>
      <c r="P100" s="7" t="s">
        <v>14</v>
      </c>
      <c r="Q100" s="7" t="s">
        <v>262</v>
      </c>
      <c r="R100" s="7" t="s">
        <v>1273</v>
      </c>
    </row>
    <row r="101" spans="1:18">
      <c r="A101" s="7" t="s">
        <v>1463</v>
      </c>
      <c r="B101" s="7" t="s">
        <v>1292</v>
      </c>
      <c r="C101" s="7" t="s">
        <v>1285</v>
      </c>
      <c r="D101" s="7" t="s">
        <v>999</v>
      </c>
      <c r="E101" s="7" t="s">
        <v>255</v>
      </c>
      <c r="F101" s="7" t="s">
        <v>297</v>
      </c>
      <c r="G101" s="7" t="s">
        <v>639</v>
      </c>
      <c r="H101" s="7" t="s">
        <v>115</v>
      </c>
      <c r="I101" s="7" t="s">
        <v>258</v>
      </c>
      <c r="J101" s="7" t="s">
        <v>346</v>
      </c>
      <c r="K101" s="7" t="s">
        <v>753</v>
      </c>
      <c r="L101" s="7" t="s">
        <v>346</v>
      </c>
      <c r="M101" s="7" t="s">
        <v>293</v>
      </c>
      <c r="N101" s="7" t="s">
        <v>304</v>
      </c>
      <c r="O101" s="7" t="s">
        <v>169</v>
      </c>
      <c r="P101" s="7" t="s">
        <v>17</v>
      </c>
      <c r="Q101" s="7" t="s">
        <v>305</v>
      </c>
      <c r="R101" s="7" t="s">
        <v>1273</v>
      </c>
    </row>
    <row r="102" spans="1:18">
      <c r="A102" s="7" t="s">
        <v>1464</v>
      </c>
      <c r="B102" s="7" t="s">
        <v>709</v>
      </c>
      <c r="C102" s="7" t="s">
        <v>1338</v>
      </c>
      <c r="D102" s="7" t="s">
        <v>1246</v>
      </c>
      <c r="E102" s="7" t="s">
        <v>268</v>
      </c>
      <c r="F102" s="7" t="s">
        <v>269</v>
      </c>
      <c r="G102" s="7" t="s">
        <v>435</v>
      </c>
      <c r="H102" s="7" t="s">
        <v>122</v>
      </c>
      <c r="I102" s="7" t="s">
        <v>299</v>
      </c>
      <c r="J102" s="7" t="s">
        <v>392</v>
      </c>
      <c r="K102" s="7"/>
      <c r="L102" s="7"/>
      <c r="M102" s="7" t="s">
        <v>260</v>
      </c>
      <c r="N102" s="7" t="s">
        <v>276</v>
      </c>
      <c r="O102" s="7" t="s">
        <v>195</v>
      </c>
      <c r="P102" s="7"/>
      <c r="Q102" s="7" t="s">
        <v>318</v>
      </c>
      <c r="R102" s="7" t="s">
        <v>1273</v>
      </c>
    </row>
    <row r="103" spans="1:18">
      <c r="A103" s="7" t="s">
        <v>1465</v>
      </c>
      <c r="B103" s="7" t="s">
        <v>1320</v>
      </c>
      <c r="C103" s="7" t="s">
        <v>974</v>
      </c>
      <c r="D103" s="7" t="s">
        <v>1466</v>
      </c>
      <c r="E103" s="7" t="s">
        <v>339</v>
      </c>
      <c r="F103" s="7" t="s">
        <v>297</v>
      </c>
      <c r="G103" s="7" t="s">
        <v>780</v>
      </c>
      <c r="H103" s="7" t="s">
        <v>122</v>
      </c>
      <c r="I103" s="7" t="s">
        <v>299</v>
      </c>
      <c r="J103" s="7" t="s">
        <v>351</v>
      </c>
      <c r="K103" s="7"/>
      <c r="L103" s="7"/>
      <c r="M103" s="7" t="s">
        <v>260</v>
      </c>
      <c r="N103" s="7" t="s">
        <v>304</v>
      </c>
      <c r="O103" s="7" t="s">
        <v>195</v>
      </c>
      <c r="P103" s="7"/>
      <c r="Q103" s="7" t="s">
        <v>326</v>
      </c>
      <c r="R103" s="7" t="s">
        <v>1273</v>
      </c>
    </row>
    <row r="104" spans="1:18">
      <c r="A104" s="7" t="s">
        <v>1467</v>
      </c>
      <c r="B104" s="7" t="s">
        <v>1296</v>
      </c>
      <c r="C104" s="7" t="s">
        <v>945</v>
      </c>
      <c r="D104" s="7" t="s">
        <v>1189</v>
      </c>
      <c r="E104" s="7" t="s">
        <v>255</v>
      </c>
      <c r="F104" s="7" t="s">
        <v>297</v>
      </c>
      <c r="G104" s="7" t="s">
        <v>639</v>
      </c>
      <c r="H104" s="7" t="s">
        <v>466</v>
      </c>
      <c r="I104" s="7" t="s">
        <v>299</v>
      </c>
      <c r="J104" s="7" t="s">
        <v>341</v>
      </c>
      <c r="K104" s="7"/>
      <c r="L104" s="7"/>
      <c r="M104" s="7" t="s">
        <v>260</v>
      </c>
      <c r="N104" s="7" t="s">
        <v>304</v>
      </c>
      <c r="O104" s="7" t="s">
        <v>195</v>
      </c>
      <c r="P104" s="7"/>
      <c r="Q104" s="7" t="s">
        <v>305</v>
      </c>
      <c r="R104" s="7" t="s">
        <v>1273</v>
      </c>
    </row>
    <row r="105" spans="1:18">
      <c r="A105" s="7" t="s">
        <v>1468</v>
      </c>
      <c r="B105" s="7" t="s">
        <v>1311</v>
      </c>
      <c r="C105" s="7" t="s">
        <v>1338</v>
      </c>
      <c r="D105" s="7" t="s">
        <v>1239</v>
      </c>
      <c r="E105" s="7" t="s">
        <v>339</v>
      </c>
      <c r="F105" s="7" t="s">
        <v>282</v>
      </c>
      <c r="G105" s="7" t="s">
        <v>461</v>
      </c>
      <c r="H105" s="7" t="s">
        <v>115</v>
      </c>
      <c r="I105" s="7" t="s">
        <v>299</v>
      </c>
      <c r="J105" s="7" t="s">
        <v>341</v>
      </c>
      <c r="K105" s="7" t="s">
        <v>341</v>
      </c>
      <c r="L105" s="7" t="s">
        <v>1190</v>
      </c>
      <c r="M105" s="7" t="s">
        <v>275</v>
      </c>
      <c r="N105" s="7" t="s">
        <v>284</v>
      </c>
      <c r="O105" s="7" t="s">
        <v>195</v>
      </c>
      <c r="P105" s="7" t="s">
        <v>17</v>
      </c>
      <c r="Q105" s="7" t="s">
        <v>305</v>
      </c>
      <c r="R105" s="7" t="s">
        <v>1273</v>
      </c>
    </row>
    <row r="106" spans="1:18">
      <c r="A106" s="7" t="s">
        <v>1469</v>
      </c>
      <c r="B106" s="7" t="s">
        <v>1275</v>
      </c>
      <c r="C106" s="7" t="s">
        <v>1003</v>
      </c>
      <c r="D106" s="7" t="s">
        <v>845</v>
      </c>
      <c r="E106" s="7" t="s">
        <v>255</v>
      </c>
      <c r="F106" s="7" t="s">
        <v>256</v>
      </c>
      <c r="G106" s="7" t="s">
        <v>725</v>
      </c>
      <c r="H106" s="7" t="s">
        <v>115</v>
      </c>
      <c r="I106" s="7" t="s">
        <v>258</v>
      </c>
      <c r="J106" s="7" t="s">
        <v>399</v>
      </c>
      <c r="K106" s="7" t="s">
        <v>1038</v>
      </c>
      <c r="L106" s="7" t="s">
        <v>1470</v>
      </c>
      <c r="M106" s="7" t="s">
        <v>303</v>
      </c>
      <c r="N106" s="7" t="s">
        <v>261</v>
      </c>
      <c r="O106" s="7" t="s">
        <v>195</v>
      </c>
      <c r="P106" s="7" t="s">
        <v>14</v>
      </c>
      <c r="Q106" s="7" t="s">
        <v>305</v>
      </c>
      <c r="R106" s="7" t="s">
        <v>1273</v>
      </c>
    </row>
    <row r="107" spans="1:18">
      <c r="A107" s="7" t="s">
        <v>1471</v>
      </c>
      <c r="B107" s="7" t="s">
        <v>1296</v>
      </c>
      <c r="C107" s="7" t="s">
        <v>920</v>
      </c>
      <c r="D107" s="7" t="s">
        <v>1472</v>
      </c>
      <c r="E107" s="7" t="s">
        <v>268</v>
      </c>
      <c r="F107" s="7" t="s">
        <v>297</v>
      </c>
      <c r="G107" s="7" t="s">
        <v>628</v>
      </c>
      <c r="H107" s="7" t="s">
        <v>122</v>
      </c>
      <c r="I107" s="7" t="s">
        <v>316</v>
      </c>
      <c r="J107" s="7" t="s">
        <v>529</v>
      </c>
      <c r="K107" s="7"/>
      <c r="L107" s="7"/>
      <c r="M107" s="7" t="s">
        <v>260</v>
      </c>
      <c r="N107" s="7" t="s">
        <v>304</v>
      </c>
      <c r="O107" s="7" t="s">
        <v>195</v>
      </c>
      <c r="P107" s="7"/>
      <c r="Q107" s="7" t="s">
        <v>318</v>
      </c>
      <c r="R107" s="7" t="s">
        <v>1273</v>
      </c>
    </row>
    <row r="108" spans="1:18">
      <c r="A108" s="7" t="s">
        <v>1473</v>
      </c>
      <c r="B108" s="7" t="s">
        <v>1381</v>
      </c>
      <c r="C108" s="7" t="s">
        <v>993</v>
      </c>
      <c r="D108" s="7" t="s">
        <v>615</v>
      </c>
      <c r="E108" s="7" t="s">
        <v>281</v>
      </c>
      <c r="F108" s="7" t="s">
        <v>282</v>
      </c>
      <c r="G108" s="7" t="s">
        <v>283</v>
      </c>
      <c r="H108" s="7" t="s">
        <v>127</v>
      </c>
      <c r="I108" s="7" t="s">
        <v>316</v>
      </c>
      <c r="J108" s="7" t="s">
        <v>341</v>
      </c>
      <c r="K108" s="7"/>
      <c r="L108" s="7"/>
      <c r="M108" s="7" t="s">
        <v>260</v>
      </c>
      <c r="N108" s="7" t="s">
        <v>284</v>
      </c>
      <c r="O108" s="7" t="s">
        <v>169</v>
      </c>
      <c r="P108" s="7"/>
      <c r="Q108" s="7" t="s">
        <v>326</v>
      </c>
      <c r="R108" s="7" t="s">
        <v>1273</v>
      </c>
    </row>
    <row r="109" spans="1:18">
      <c r="A109" s="7" t="s">
        <v>1474</v>
      </c>
      <c r="B109" s="7" t="s">
        <v>1272</v>
      </c>
      <c r="C109" s="7" t="s">
        <v>287</v>
      </c>
      <c r="D109" s="7" t="s">
        <v>1475</v>
      </c>
      <c r="E109" s="7" t="s">
        <v>281</v>
      </c>
      <c r="F109" s="7" t="s">
        <v>282</v>
      </c>
      <c r="G109" s="7" t="s">
        <v>446</v>
      </c>
      <c r="H109" s="7" t="s">
        <v>115</v>
      </c>
      <c r="I109" s="7" t="s">
        <v>316</v>
      </c>
      <c r="J109" s="7" t="s">
        <v>300</v>
      </c>
      <c r="K109" s="7" t="s">
        <v>443</v>
      </c>
      <c r="L109" s="7" t="s">
        <v>742</v>
      </c>
      <c r="M109" s="7" t="s">
        <v>303</v>
      </c>
      <c r="N109" s="7" t="s">
        <v>284</v>
      </c>
      <c r="O109" s="7" t="s">
        <v>195</v>
      </c>
      <c r="P109" s="7" t="s">
        <v>8</v>
      </c>
      <c r="Q109" s="7" t="s">
        <v>318</v>
      </c>
      <c r="R109" s="7" t="s">
        <v>1273</v>
      </c>
    </row>
    <row r="110" spans="1:18">
      <c r="A110" s="7" t="s">
        <v>1476</v>
      </c>
      <c r="B110" s="7" t="s">
        <v>1359</v>
      </c>
      <c r="C110" s="7" t="s">
        <v>962</v>
      </c>
      <c r="D110" s="7" t="s">
        <v>691</v>
      </c>
      <c r="E110" s="7" t="s">
        <v>339</v>
      </c>
      <c r="F110" s="7" t="s">
        <v>256</v>
      </c>
      <c r="G110" s="7" t="s">
        <v>403</v>
      </c>
      <c r="H110" s="7" t="s">
        <v>466</v>
      </c>
      <c r="I110" s="7" t="s">
        <v>316</v>
      </c>
      <c r="J110" s="7" t="s">
        <v>469</v>
      </c>
      <c r="K110" s="7"/>
      <c r="L110" s="7"/>
      <c r="M110" s="7" t="s">
        <v>260</v>
      </c>
      <c r="N110" s="7" t="s">
        <v>261</v>
      </c>
      <c r="O110" s="7" t="s">
        <v>169</v>
      </c>
      <c r="P110" s="7"/>
      <c r="Q110" s="7" t="s">
        <v>285</v>
      </c>
      <c r="R110" s="7" t="s">
        <v>1273</v>
      </c>
    </row>
    <row r="111" spans="1:18">
      <c r="A111" s="7" t="s">
        <v>1477</v>
      </c>
      <c r="B111" s="7" t="s">
        <v>1343</v>
      </c>
      <c r="C111" s="7" t="s">
        <v>1283</v>
      </c>
      <c r="D111" s="7" t="s">
        <v>1478</v>
      </c>
      <c r="E111" s="7" t="s">
        <v>255</v>
      </c>
      <c r="F111" s="7" t="s">
        <v>297</v>
      </c>
      <c r="G111" s="7" t="s">
        <v>331</v>
      </c>
      <c r="H111" s="7" t="s">
        <v>115</v>
      </c>
      <c r="I111" s="7" t="s">
        <v>271</v>
      </c>
      <c r="J111" s="7" t="s">
        <v>332</v>
      </c>
      <c r="K111" s="7" t="s">
        <v>353</v>
      </c>
      <c r="L111" s="7" t="s">
        <v>1479</v>
      </c>
      <c r="M111" s="7" t="s">
        <v>303</v>
      </c>
      <c r="N111" s="7" t="s">
        <v>1163</v>
      </c>
      <c r="O111" s="7" t="s">
        <v>195</v>
      </c>
      <c r="P111" s="7" t="s">
        <v>17</v>
      </c>
      <c r="Q111" s="7" t="s">
        <v>285</v>
      </c>
      <c r="R111" s="7" t="s">
        <v>1273</v>
      </c>
    </row>
    <row r="112" spans="1:18">
      <c r="A112" s="7" t="s">
        <v>1480</v>
      </c>
      <c r="B112" s="7" t="s">
        <v>1359</v>
      </c>
      <c r="C112" s="7" t="s">
        <v>1003</v>
      </c>
      <c r="D112" s="7" t="s">
        <v>280</v>
      </c>
      <c r="E112" s="7" t="s">
        <v>339</v>
      </c>
      <c r="F112" s="7" t="s">
        <v>282</v>
      </c>
      <c r="G112" s="7" t="s">
        <v>461</v>
      </c>
      <c r="H112" s="7" t="s">
        <v>115</v>
      </c>
      <c r="I112" s="7" t="s">
        <v>271</v>
      </c>
      <c r="J112" s="7" t="s">
        <v>341</v>
      </c>
      <c r="K112" s="7" t="s">
        <v>697</v>
      </c>
      <c r="L112" s="7" t="s">
        <v>643</v>
      </c>
      <c r="M112" s="7" t="s">
        <v>293</v>
      </c>
      <c r="N112" s="7" t="s">
        <v>686</v>
      </c>
      <c r="O112" s="7" t="s">
        <v>169</v>
      </c>
      <c r="P112" s="7" t="s">
        <v>11</v>
      </c>
      <c r="Q112" s="7" t="s">
        <v>318</v>
      </c>
      <c r="R112" s="7" t="s">
        <v>1273</v>
      </c>
    </row>
    <row r="113" spans="1:18">
      <c r="A113" s="7" t="s">
        <v>1481</v>
      </c>
      <c r="B113" s="7" t="s">
        <v>1363</v>
      </c>
      <c r="C113" s="7" t="s">
        <v>899</v>
      </c>
      <c r="D113" s="7" t="s">
        <v>934</v>
      </c>
      <c r="E113" s="7" t="s">
        <v>339</v>
      </c>
      <c r="F113" s="7" t="s">
        <v>297</v>
      </c>
      <c r="G113" s="7" t="s">
        <v>780</v>
      </c>
      <c r="H113" s="7" t="s">
        <v>115</v>
      </c>
      <c r="I113" s="7" t="s">
        <v>271</v>
      </c>
      <c r="J113" s="7" t="s">
        <v>447</v>
      </c>
      <c r="K113" s="7" t="s">
        <v>1142</v>
      </c>
      <c r="L113" s="7" t="s">
        <v>1482</v>
      </c>
      <c r="M113" s="7" t="s">
        <v>303</v>
      </c>
      <c r="N113" s="7" t="s">
        <v>304</v>
      </c>
      <c r="O113" s="7" t="s">
        <v>195</v>
      </c>
      <c r="P113" s="7" t="s">
        <v>17</v>
      </c>
      <c r="Q113" s="7" t="s">
        <v>305</v>
      </c>
      <c r="R113" s="7" t="s">
        <v>1273</v>
      </c>
    </row>
    <row r="114" spans="1:18">
      <c r="A114" s="7" t="s">
        <v>1483</v>
      </c>
      <c r="B114" s="7" t="s">
        <v>1272</v>
      </c>
      <c r="C114" s="7" t="s">
        <v>1330</v>
      </c>
      <c r="D114" s="7"/>
      <c r="E114" s="7" t="s">
        <v>339</v>
      </c>
      <c r="F114" s="7" t="s">
        <v>297</v>
      </c>
      <c r="G114" s="7" t="s">
        <v>569</v>
      </c>
      <c r="H114" s="7" t="s">
        <v>115</v>
      </c>
      <c r="I114" s="7" t="s">
        <v>316</v>
      </c>
      <c r="J114" s="7" t="s">
        <v>341</v>
      </c>
      <c r="K114" s="7" t="s">
        <v>997</v>
      </c>
      <c r="L114" s="7" t="s">
        <v>1484</v>
      </c>
      <c r="M114" s="7" t="s">
        <v>275</v>
      </c>
      <c r="N114" s="7" t="s">
        <v>304</v>
      </c>
      <c r="O114" s="7" t="s">
        <v>169</v>
      </c>
      <c r="P114" s="7" t="s">
        <v>8</v>
      </c>
      <c r="Q114" s="7" t="s">
        <v>285</v>
      </c>
      <c r="R114" s="7" t="s">
        <v>1273</v>
      </c>
    </row>
    <row r="115" spans="1:18">
      <c r="A115" s="7" t="s">
        <v>1485</v>
      </c>
      <c r="B115" s="7" t="s">
        <v>1343</v>
      </c>
      <c r="C115" s="7" t="s">
        <v>313</v>
      </c>
      <c r="D115" s="7" t="s">
        <v>594</v>
      </c>
      <c r="E115" s="7" t="s">
        <v>281</v>
      </c>
      <c r="F115" s="7" t="s">
        <v>256</v>
      </c>
      <c r="G115" s="7" t="s">
        <v>796</v>
      </c>
      <c r="H115" s="7" t="s">
        <v>115</v>
      </c>
      <c r="I115" s="7" t="s">
        <v>258</v>
      </c>
      <c r="J115" s="7" t="s">
        <v>351</v>
      </c>
      <c r="K115" s="7" t="s">
        <v>1486</v>
      </c>
      <c r="L115" s="7" t="s">
        <v>1487</v>
      </c>
      <c r="M115" s="7" t="s">
        <v>303</v>
      </c>
      <c r="N115" s="7" t="s">
        <v>261</v>
      </c>
      <c r="O115" s="7" t="s">
        <v>195</v>
      </c>
      <c r="P115" s="7" t="s">
        <v>11</v>
      </c>
      <c r="Q115" s="7" t="s">
        <v>305</v>
      </c>
      <c r="R115" s="7" t="s">
        <v>1273</v>
      </c>
    </row>
    <row r="116" spans="1:18">
      <c r="A116" s="7" t="s">
        <v>1488</v>
      </c>
      <c r="B116" s="7" t="s">
        <v>1277</v>
      </c>
      <c r="C116" s="7" t="s">
        <v>939</v>
      </c>
      <c r="D116" s="7" t="s">
        <v>1416</v>
      </c>
      <c r="E116" s="7" t="s">
        <v>255</v>
      </c>
      <c r="F116" s="7" t="s">
        <v>409</v>
      </c>
      <c r="G116" s="7" t="s">
        <v>648</v>
      </c>
      <c r="H116" s="7" t="s">
        <v>115</v>
      </c>
      <c r="I116" s="7" t="s">
        <v>299</v>
      </c>
      <c r="J116" s="7" t="s">
        <v>323</v>
      </c>
      <c r="K116" s="7" t="s">
        <v>1489</v>
      </c>
      <c r="L116" s="7" t="s">
        <v>1490</v>
      </c>
      <c r="M116" s="7" t="s">
        <v>275</v>
      </c>
      <c r="N116" s="7" t="s">
        <v>412</v>
      </c>
      <c r="O116" s="7" t="s">
        <v>631</v>
      </c>
      <c r="P116" s="7" t="s">
        <v>14</v>
      </c>
      <c r="Q116" s="7" t="s">
        <v>305</v>
      </c>
      <c r="R116" s="7" t="s">
        <v>1273</v>
      </c>
    </row>
    <row r="117" spans="1:18">
      <c r="A117" s="7" t="s">
        <v>1491</v>
      </c>
      <c r="B117" s="7" t="s">
        <v>1290</v>
      </c>
      <c r="C117" s="7" t="s">
        <v>924</v>
      </c>
      <c r="D117" s="7" t="s">
        <v>1126</v>
      </c>
      <c r="E117" s="7" t="s">
        <v>255</v>
      </c>
      <c r="F117" s="7" t="s">
        <v>297</v>
      </c>
      <c r="G117" s="7" t="s">
        <v>639</v>
      </c>
      <c r="H117" s="7" t="s">
        <v>122</v>
      </c>
      <c r="I117" s="7" t="s">
        <v>271</v>
      </c>
      <c r="J117" s="7" t="s">
        <v>525</v>
      </c>
      <c r="K117" s="7"/>
      <c r="L117" s="7"/>
      <c r="M117" s="7" t="s">
        <v>260</v>
      </c>
      <c r="N117" s="7" t="s">
        <v>304</v>
      </c>
      <c r="O117" s="7" t="s">
        <v>195</v>
      </c>
      <c r="P117" s="7"/>
      <c r="Q117" s="7" t="s">
        <v>305</v>
      </c>
      <c r="R117" s="7" t="s">
        <v>1273</v>
      </c>
    </row>
    <row r="118" spans="1:18">
      <c r="A118" s="7" t="s">
        <v>1492</v>
      </c>
      <c r="B118" s="7" t="s">
        <v>1272</v>
      </c>
      <c r="C118" s="7" t="s">
        <v>755</v>
      </c>
      <c r="D118" s="7" t="s">
        <v>1181</v>
      </c>
      <c r="E118" s="7" t="s">
        <v>268</v>
      </c>
      <c r="F118" s="7" t="s">
        <v>256</v>
      </c>
      <c r="G118" s="7" t="s">
        <v>886</v>
      </c>
      <c r="H118" s="7" t="s">
        <v>127</v>
      </c>
      <c r="I118" s="7" t="s">
        <v>258</v>
      </c>
      <c r="J118" s="7" t="s">
        <v>399</v>
      </c>
      <c r="K118" s="7"/>
      <c r="L118" s="7"/>
      <c r="M118" s="7" t="s">
        <v>260</v>
      </c>
      <c r="N118" s="7" t="s">
        <v>261</v>
      </c>
      <c r="O118" s="7" t="s">
        <v>195</v>
      </c>
      <c r="P118" s="7"/>
      <c r="Q118" s="7" t="s">
        <v>285</v>
      </c>
      <c r="R118" s="7" t="s">
        <v>1273</v>
      </c>
    </row>
    <row r="119" spans="1:18">
      <c r="A119" s="7" t="s">
        <v>1493</v>
      </c>
      <c r="B119" s="7" t="s">
        <v>1305</v>
      </c>
      <c r="C119" s="7" t="s">
        <v>957</v>
      </c>
      <c r="D119" s="7" t="s">
        <v>1494</v>
      </c>
      <c r="E119" s="7" t="s">
        <v>255</v>
      </c>
      <c r="F119" s="7" t="s">
        <v>409</v>
      </c>
      <c r="G119" s="7" t="s">
        <v>410</v>
      </c>
      <c r="H119" s="7" t="s">
        <v>115</v>
      </c>
      <c r="I119" s="7" t="s">
        <v>316</v>
      </c>
      <c r="J119" s="7" t="s">
        <v>529</v>
      </c>
      <c r="K119" s="7" t="s">
        <v>1495</v>
      </c>
      <c r="L119" s="7" t="s">
        <v>1176</v>
      </c>
      <c r="M119" s="7" t="s">
        <v>303</v>
      </c>
      <c r="N119" s="7" t="s">
        <v>412</v>
      </c>
      <c r="O119" s="7" t="s">
        <v>169</v>
      </c>
      <c r="P119" s="7" t="s">
        <v>17</v>
      </c>
      <c r="Q119" s="7" t="s">
        <v>305</v>
      </c>
      <c r="R119" s="7" t="s">
        <v>1273</v>
      </c>
    </row>
    <row r="120" spans="1:18">
      <c r="A120" s="7" t="s">
        <v>1496</v>
      </c>
      <c r="B120" s="7" t="s">
        <v>1343</v>
      </c>
      <c r="C120" s="7" t="s">
        <v>1125</v>
      </c>
      <c r="D120" s="7" t="s">
        <v>1239</v>
      </c>
      <c r="E120" s="7" t="s">
        <v>281</v>
      </c>
      <c r="F120" s="7" t="s">
        <v>269</v>
      </c>
      <c r="G120" s="7" t="s">
        <v>363</v>
      </c>
      <c r="H120" s="7" t="s">
        <v>122</v>
      </c>
      <c r="I120" s="7" t="s">
        <v>299</v>
      </c>
      <c r="J120" s="7" t="s">
        <v>259</v>
      </c>
      <c r="K120" s="7"/>
      <c r="L120" s="7"/>
      <c r="M120" s="7" t="s">
        <v>260</v>
      </c>
      <c r="N120" s="7" t="s">
        <v>276</v>
      </c>
      <c r="O120" s="7" t="s">
        <v>195</v>
      </c>
      <c r="P120" s="7"/>
      <c r="Q120" s="7" t="s">
        <v>326</v>
      </c>
      <c r="R120" s="7" t="s">
        <v>1273</v>
      </c>
    </row>
    <row r="121" spans="1:18">
      <c r="A121" s="7" t="s">
        <v>1497</v>
      </c>
      <c r="B121" s="7" t="s">
        <v>1359</v>
      </c>
      <c r="C121" s="7" t="s">
        <v>945</v>
      </c>
      <c r="D121" s="7" t="s">
        <v>655</v>
      </c>
      <c r="E121" s="7" t="s">
        <v>339</v>
      </c>
      <c r="F121" s="7" t="s">
        <v>256</v>
      </c>
      <c r="G121" s="7" t="s">
        <v>403</v>
      </c>
      <c r="H121" s="7" t="s">
        <v>115</v>
      </c>
      <c r="I121" s="7" t="s">
        <v>299</v>
      </c>
      <c r="J121" s="7" t="s">
        <v>259</v>
      </c>
      <c r="K121" s="7" t="s">
        <v>311</v>
      </c>
      <c r="L121" s="7" t="s">
        <v>437</v>
      </c>
      <c r="M121" s="7" t="s">
        <v>303</v>
      </c>
      <c r="N121" s="7" t="s">
        <v>261</v>
      </c>
      <c r="O121" s="7" t="s">
        <v>195</v>
      </c>
      <c r="P121" s="7" t="s">
        <v>17</v>
      </c>
      <c r="Q121" s="7" t="s">
        <v>318</v>
      </c>
      <c r="R121" s="7" t="s">
        <v>1273</v>
      </c>
    </row>
    <row r="122" spans="1:18">
      <c r="A122" s="7" t="s">
        <v>1498</v>
      </c>
      <c r="B122" s="7" t="s">
        <v>1279</v>
      </c>
      <c r="C122" s="7" t="s">
        <v>957</v>
      </c>
      <c r="D122" s="7" t="s">
        <v>875</v>
      </c>
      <c r="E122" s="7" t="s">
        <v>255</v>
      </c>
      <c r="F122" s="7" t="s">
        <v>256</v>
      </c>
      <c r="G122" s="7" t="s">
        <v>257</v>
      </c>
      <c r="H122" s="7" t="s">
        <v>115</v>
      </c>
      <c r="I122" s="7" t="s">
        <v>271</v>
      </c>
      <c r="J122" s="7" t="s">
        <v>300</v>
      </c>
      <c r="K122" s="7" t="s">
        <v>1028</v>
      </c>
      <c r="L122" s="7" t="s">
        <v>300</v>
      </c>
      <c r="M122" s="7" t="s">
        <v>303</v>
      </c>
      <c r="N122" s="7" t="s">
        <v>261</v>
      </c>
      <c r="O122" s="7" t="s">
        <v>195</v>
      </c>
      <c r="P122" s="7" t="s">
        <v>17</v>
      </c>
      <c r="Q122" s="7" t="s">
        <v>318</v>
      </c>
      <c r="R122" s="7" t="s">
        <v>1273</v>
      </c>
    </row>
    <row r="123" spans="1:18">
      <c r="A123" s="7" t="s">
        <v>1499</v>
      </c>
      <c r="B123" s="7" t="s">
        <v>1500</v>
      </c>
      <c r="C123" s="7" t="s">
        <v>1279</v>
      </c>
      <c r="D123" s="7" t="s">
        <v>1302</v>
      </c>
      <c r="E123" s="7" t="s">
        <v>255</v>
      </c>
      <c r="F123" s="7" t="s">
        <v>297</v>
      </c>
      <c r="G123" s="7" t="s">
        <v>639</v>
      </c>
      <c r="H123" s="7" t="s">
        <v>122</v>
      </c>
      <c r="I123" s="7" t="s">
        <v>299</v>
      </c>
      <c r="J123" s="7" t="s">
        <v>341</v>
      </c>
      <c r="K123" s="7"/>
      <c r="L123" s="7"/>
      <c r="M123" s="7" t="s">
        <v>260</v>
      </c>
      <c r="N123" s="7" t="s">
        <v>304</v>
      </c>
      <c r="O123" s="7" t="s">
        <v>195</v>
      </c>
      <c r="P123" s="7"/>
      <c r="Q123" s="7" t="s">
        <v>305</v>
      </c>
      <c r="R123" s="7" t="s">
        <v>1273</v>
      </c>
    </row>
    <row r="124" spans="1:18">
      <c r="A124" s="7" t="s">
        <v>1501</v>
      </c>
      <c r="B124" s="7" t="s">
        <v>1279</v>
      </c>
      <c r="C124" s="7" t="s">
        <v>974</v>
      </c>
      <c r="D124" s="7" t="s">
        <v>638</v>
      </c>
      <c r="E124" s="7" t="s">
        <v>281</v>
      </c>
      <c r="F124" s="7" t="s">
        <v>409</v>
      </c>
      <c r="G124" s="7" t="s">
        <v>496</v>
      </c>
      <c r="H124" s="7" t="s">
        <v>115</v>
      </c>
      <c r="I124" s="7" t="s">
        <v>316</v>
      </c>
      <c r="J124" s="7" t="s">
        <v>358</v>
      </c>
      <c r="K124" s="7" t="s">
        <v>292</v>
      </c>
      <c r="L124" s="7" t="s">
        <v>855</v>
      </c>
      <c r="M124" s="7" t="s">
        <v>303</v>
      </c>
      <c r="N124" s="7" t="s">
        <v>412</v>
      </c>
      <c r="O124" s="7" t="s">
        <v>169</v>
      </c>
      <c r="P124" s="7" t="s">
        <v>14</v>
      </c>
      <c r="Q124" s="7" t="s">
        <v>262</v>
      </c>
      <c r="R124" s="7" t="s">
        <v>1273</v>
      </c>
    </row>
    <row r="125" spans="1:18">
      <c r="A125" s="7" t="s">
        <v>1502</v>
      </c>
      <c r="B125" s="7" t="s">
        <v>1296</v>
      </c>
      <c r="C125" s="7" t="s">
        <v>337</v>
      </c>
      <c r="D125" s="7" t="s">
        <v>1503</v>
      </c>
      <c r="E125" s="7" t="s">
        <v>255</v>
      </c>
      <c r="F125" s="7" t="s">
        <v>256</v>
      </c>
      <c r="G125" s="7" t="s">
        <v>398</v>
      </c>
      <c r="H125" s="7" t="s">
        <v>115</v>
      </c>
      <c r="I125" s="7" t="s">
        <v>258</v>
      </c>
      <c r="J125" s="7" t="s">
        <v>469</v>
      </c>
      <c r="K125" s="7" t="s">
        <v>860</v>
      </c>
      <c r="L125" s="7" t="s">
        <v>617</v>
      </c>
      <c r="M125" s="7" t="s">
        <v>303</v>
      </c>
      <c r="N125" s="7" t="s">
        <v>261</v>
      </c>
      <c r="O125" s="7" t="s">
        <v>195</v>
      </c>
      <c r="P125" s="7" t="s">
        <v>14</v>
      </c>
      <c r="Q125" s="7" t="s">
        <v>262</v>
      </c>
      <c r="R125" s="7" t="s">
        <v>1273</v>
      </c>
    </row>
    <row r="126" spans="1:18">
      <c r="A126" s="7" t="s">
        <v>1504</v>
      </c>
      <c r="B126" s="7" t="s">
        <v>1309</v>
      </c>
      <c r="C126" s="7" t="s">
        <v>902</v>
      </c>
      <c r="D126" s="7" t="s">
        <v>1505</v>
      </c>
      <c r="E126" s="7" t="s">
        <v>339</v>
      </c>
      <c r="F126" s="7" t="s">
        <v>282</v>
      </c>
      <c r="G126" s="7" t="s">
        <v>461</v>
      </c>
      <c r="H126" s="7" t="s">
        <v>115</v>
      </c>
      <c r="I126" s="7" t="s">
        <v>258</v>
      </c>
      <c r="J126" s="7" t="s">
        <v>351</v>
      </c>
      <c r="K126" s="7" t="s">
        <v>491</v>
      </c>
      <c r="L126" s="7" t="s">
        <v>1479</v>
      </c>
      <c r="M126" s="7" t="s">
        <v>275</v>
      </c>
      <c r="N126" s="7" t="s">
        <v>284</v>
      </c>
      <c r="O126" s="7" t="s">
        <v>195</v>
      </c>
      <c r="P126" s="7" t="s">
        <v>11</v>
      </c>
      <c r="Q126" s="7" t="s">
        <v>262</v>
      </c>
      <c r="R126" s="7" t="s">
        <v>1273</v>
      </c>
    </row>
    <row r="127" spans="1:18">
      <c r="A127" s="7" t="s">
        <v>1506</v>
      </c>
      <c r="B127" s="7" t="s">
        <v>1326</v>
      </c>
      <c r="C127" s="7" t="s">
        <v>585</v>
      </c>
      <c r="D127" s="7" t="s">
        <v>592</v>
      </c>
      <c r="E127" s="7" t="s">
        <v>268</v>
      </c>
      <c r="F127" s="7" t="s">
        <v>580</v>
      </c>
      <c r="G127" s="7" t="s">
        <v>583</v>
      </c>
      <c r="H127" s="7" t="s">
        <v>122</v>
      </c>
      <c r="I127" s="7" t="s">
        <v>271</v>
      </c>
      <c r="J127" s="7" t="s">
        <v>323</v>
      </c>
      <c r="K127" s="7"/>
      <c r="L127" s="7"/>
      <c r="M127" s="7" t="s">
        <v>260</v>
      </c>
      <c r="N127" s="7" t="s">
        <v>304</v>
      </c>
      <c r="O127" s="7" t="s">
        <v>195</v>
      </c>
      <c r="P127" s="7"/>
      <c r="Q127" s="7" t="s">
        <v>285</v>
      </c>
      <c r="R127" s="7" t="s">
        <v>1273</v>
      </c>
    </row>
    <row r="128" spans="1:18">
      <c r="A128" s="7" t="s">
        <v>1507</v>
      </c>
      <c r="B128" s="7" t="s">
        <v>1292</v>
      </c>
      <c r="C128" s="7" t="s">
        <v>1330</v>
      </c>
      <c r="D128" s="7" t="s">
        <v>1508</v>
      </c>
      <c r="E128" s="7" t="s">
        <v>268</v>
      </c>
      <c r="F128" s="7" t="s">
        <v>409</v>
      </c>
      <c r="G128" s="7" t="s">
        <v>552</v>
      </c>
      <c r="H128" s="7" t="s">
        <v>127</v>
      </c>
      <c r="I128" s="7" t="s">
        <v>271</v>
      </c>
      <c r="J128" s="7" t="s">
        <v>358</v>
      </c>
      <c r="K128" s="7"/>
      <c r="L128" s="7"/>
      <c r="M128" s="7" t="s">
        <v>260</v>
      </c>
      <c r="N128" s="7" t="s">
        <v>412</v>
      </c>
      <c r="O128" s="7" t="s">
        <v>195</v>
      </c>
      <c r="P128" s="7"/>
      <c r="Q128" s="7" t="s">
        <v>326</v>
      </c>
      <c r="R128" s="7" t="s">
        <v>1273</v>
      </c>
    </row>
    <row r="129" spans="1:18">
      <c r="A129" s="7" t="s">
        <v>1509</v>
      </c>
      <c r="B129" s="7" t="s">
        <v>1326</v>
      </c>
      <c r="C129" s="7" t="s">
        <v>1283</v>
      </c>
      <c r="D129" s="7" t="s">
        <v>577</v>
      </c>
      <c r="E129" s="7" t="s">
        <v>268</v>
      </c>
      <c r="F129" s="7" t="s">
        <v>282</v>
      </c>
      <c r="G129" s="7" t="s">
        <v>505</v>
      </c>
      <c r="H129" s="7" t="s">
        <v>787</v>
      </c>
      <c r="I129" s="7" t="s">
        <v>271</v>
      </c>
      <c r="J129" s="7" t="s">
        <v>411</v>
      </c>
      <c r="K129" s="7" t="s">
        <v>1510</v>
      </c>
      <c r="L129" s="7" t="s">
        <v>612</v>
      </c>
      <c r="M129" s="7" t="s">
        <v>293</v>
      </c>
      <c r="N129" s="7" t="s">
        <v>284</v>
      </c>
      <c r="O129" s="7" t="s">
        <v>195</v>
      </c>
      <c r="P129" s="7" t="s">
        <v>17</v>
      </c>
      <c r="Q129" s="7" t="s">
        <v>305</v>
      </c>
      <c r="R129" s="7" t="s">
        <v>1273</v>
      </c>
    </row>
    <row r="130" spans="1:18">
      <c r="A130" s="7" t="s">
        <v>1511</v>
      </c>
      <c r="B130" s="7" t="s">
        <v>1343</v>
      </c>
      <c r="C130" s="7" t="s">
        <v>355</v>
      </c>
      <c r="D130" s="7" t="s">
        <v>514</v>
      </c>
      <c r="E130" s="7" t="s">
        <v>255</v>
      </c>
      <c r="F130" s="7" t="s">
        <v>256</v>
      </c>
      <c r="G130" s="7" t="s">
        <v>257</v>
      </c>
      <c r="H130" s="7" t="s">
        <v>115</v>
      </c>
      <c r="I130" s="7" t="s">
        <v>316</v>
      </c>
      <c r="J130" s="7" t="s">
        <v>404</v>
      </c>
      <c r="K130" s="7" t="s">
        <v>404</v>
      </c>
      <c r="L130" s="7" t="s">
        <v>997</v>
      </c>
      <c r="M130" s="7" t="s">
        <v>303</v>
      </c>
      <c r="N130" s="7" t="s">
        <v>261</v>
      </c>
      <c r="O130" s="7" t="s">
        <v>169</v>
      </c>
      <c r="P130" s="7" t="s">
        <v>11</v>
      </c>
      <c r="Q130" s="7" t="s">
        <v>262</v>
      </c>
      <c r="R130" s="7" t="s">
        <v>1273</v>
      </c>
    </row>
    <row r="131" spans="1:18">
      <c r="A131" s="7" t="s">
        <v>1512</v>
      </c>
      <c r="B131" s="7" t="s">
        <v>1305</v>
      </c>
      <c r="C131" s="7" t="s">
        <v>924</v>
      </c>
      <c r="D131" s="7" t="s">
        <v>1494</v>
      </c>
      <c r="E131" s="7" t="s">
        <v>255</v>
      </c>
      <c r="F131" s="7" t="s">
        <v>409</v>
      </c>
      <c r="G131" s="7" t="s">
        <v>410</v>
      </c>
      <c r="H131" s="7" t="s">
        <v>115</v>
      </c>
      <c r="I131" s="7" t="s">
        <v>316</v>
      </c>
      <c r="J131" s="7" t="s">
        <v>447</v>
      </c>
      <c r="K131" s="7" t="s">
        <v>743</v>
      </c>
      <c r="L131" s="7" t="s">
        <v>1004</v>
      </c>
      <c r="M131" s="7" t="s">
        <v>293</v>
      </c>
      <c r="N131" s="7" t="s">
        <v>412</v>
      </c>
      <c r="O131" s="7" t="s">
        <v>195</v>
      </c>
      <c r="P131" s="7" t="s">
        <v>14</v>
      </c>
      <c r="Q131" s="7" t="s">
        <v>285</v>
      </c>
      <c r="R131" s="7" t="s">
        <v>1273</v>
      </c>
    </row>
    <row r="132" spans="1:18">
      <c r="A132" s="7" t="s">
        <v>1513</v>
      </c>
      <c r="B132" s="7" t="s">
        <v>1343</v>
      </c>
      <c r="C132" s="7" t="s">
        <v>633</v>
      </c>
      <c r="D132" s="7" t="s">
        <v>575</v>
      </c>
      <c r="E132" s="7" t="s">
        <v>339</v>
      </c>
      <c r="F132" s="7" t="s">
        <v>282</v>
      </c>
      <c r="G132" s="7" t="s">
        <v>461</v>
      </c>
      <c r="H132" s="7" t="s">
        <v>122</v>
      </c>
      <c r="I132" s="7" t="s">
        <v>258</v>
      </c>
      <c r="J132" s="7" t="s">
        <v>300</v>
      </c>
      <c r="K132" s="7"/>
      <c r="L132" s="7"/>
      <c r="M132" s="7" t="s">
        <v>260</v>
      </c>
      <c r="N132" s="7" t="s">
        <v>284</v>
      </c>
      <c r="O132" s="7" t="s">
        <v>195</v>
      </c>
      <c r="P132" s="7" t="s">
        <v>260</v>
      </c>
      <c r="Q132" s="7" t="s">
        <v>262</v>
      </c>
      <c r="R132" s="7" t="s">
        <v>1273</v>
      </c>
    </row>
    <row r="133" spans="1:18">
      <c r="A133" s="7" t="s">
        <v>1514</v>
      </c>
      <c r="B133" s="7" t="s">
        <v>1325</v>
      </c>
      <c r="C133" s="7" t="s">
        <v>957</v>
      </c>
      <c r="D133" s="7" t="s">
        <v>577</v>
      </c>
      <c r="E133" s="7" t="s">
        <v>268</v>
      </c>
      <c r="F133" s="7" t="s">
        <v>269</v>
      </c>
      <c r="G133" s="7" t="s">
        <v>435</v>
      </c>
      <c r="H133" s="7" t="s">
        <v>127</v>
      </c>
      <c r="I133" s="7" t="s">
        <v>299</v>
      </c>
      <c r="J133" s="7" t="s">
        <v>346</v>
      </c>
      <c r="K133" s="7"/>
      <c r="L133" s="7"/>
      <c r="M133" s="7" t="s">
        <v>260</v>
      </c>
      <c r="N133" s="7" t="s">
        <v>276</v>
      </c>
      <c r="O133" s="7" t="s">
        <v>195</v>
      </c>
      <c r="P133" s="7"/>
      <c r="Q133" s="7" t="s">
        <v>318</v>
      </c>
      <c r="R133" s="7" t="s">
        <v>1273</v>
      </c>
    </row>
    <row r="134" spans="1:18">
      <c r="A134" s="7" t="s">
        <v>1515</v>
      </c>
      <c r="B134" s="7" t="s">
        <v>1283</v>
      </c>
      <c r="C134" s="7" t="s">
        <v>954</v>
      </c>
      <c r="D134" s="7" t="s">
        <v>414</v>
      </c>
      <c r="E134" s="7" t="s">
        <v>1015</v>
      </c>
      <c r="F134" s="7" t="s">
        <v>256</v>
      </c>
      <c r="G134" s="7" t="s">
        <v>886</v>
      </c>
      <c r="H134" s="7" t="s">
        <v>115</v>
      </c>
      <c r="I134" s="7" t="s">
        <v>299</v>
      </c>
      <c r="J134" s="7" t="s">
        <v>351</v>
      </c>
      <c r="K134" s="7" t="s">
        <v>491</v>
      </c>
      <c r="L134" s="7" t="s">
        <v>657</v>
      </c>
      <c r="M134" s="7" t="s">
        <v>293</v>
      </c>
      <c r="N134" s="7" t="s">
        <v>261</v>
      </c>
      <c r="O134" s="7" t="s">
        <v>169</v>
      </c>
      <c r="P134" s="7" t="s">
        <v>14</v>
      </c>
      <c r="Q134" s="7" t="s">
        <v>285</v>
      </c>
      <c r="R134" s="7" t="s">
        <v>1273</v>
      </c>
    </row>
    <row r="135" spans="1:18">
      <c r="A135" s="7" t="s">
        <v>1516</v>
      </c>
      <c r="B135" s="7" t="s">
        <v>1288</v>
      </c>
      <c r="C135" s="7" t="s">
        <v>933</v>
      </c>
      <c r="D135" s="7" t="s">
        <v>1162</v>
      </c>
      <c r="E135" s="7" t="s">
        <v>281</v>
      </c>
      <c r="F135" s="7" t="s">
        <v>282</v>
      </c>
      <c r="G135" s="7" t="s">
        <v>283</v>
      </c>
      <c r="H135" s="7" t="s">
        <v>122</v>
      </c>
      <c r="I135" s="7" t="s">
        <v>271</v>
      </c>
      <c r="J135" s="7" t="s">
        <v>300</v>
      </c>
      <c r="K135" s="7"/>
      <c r="L135" s="7"/>
      <c r="M135" s="7" t="s">
        <v>260</v>
      </c>
      <c r="N135" s="7" t="s">
        <v>284</v>
      </c>
      <c r="O135" s="7" t="s">
        <v>195</v>
      </c>
      <c r="P135" s="7"/>
      <c r="Q135" s="7" t="s">
        <v>262</v>
      </c>
      <c r="R135" s="7" t="s">
        <v>1273</v>
      </c>
    </row>
    <row r="136" spans="1:18">
      <c r="A136" s="7" t="s">
        <v>1517</v>
      </c>
      <c r="B136" s="7" t="s">
        <v>1338</v>
      </c>
      <c r="C136" s="7" t="s">
        <v>903</v>
      </c>
      <c r="D136" s="7" t="s">
        <v>813</v>
      </c>
      <c r="E136" s="7" t="s">
        <v>339</v>
      </c>
      <c r="F136" s="7" t="s">
        <v>297</v>
      </c>
      <c r="G136" s="7" t="s">
        <v>569</v>
      </c>
      <c r="H136" s="7" t="s">
        <v>115</v>
      </c>
      <c r="I136" s="7" t="s">
        <v>271</v>
      </c>
      <c r="J136" s="7" t="s">
        <v>525</v>
      </c>
      <c r="K136" s="7" t="s">
        <v>975</v>
      </c>
      <c r="L136" s="7" t="s">
        <v>1518</v>
      </c>
      <c r="M136" s="7" t="s">
        <v>303</v>
      </c>
      <c r="N136" s="7" t="s">
        <v>304</v>
      </c>
      <c r="O136" s="7" t="s">
        <v>169</v>
      </c>
      <c r="P136" s="7" t="s">
        <v>17</v>
      </c>
      <c r="Q136" s="7" t="s">
        <v>305</v>
      </c>
      <c r="R136" s="7" t="s">
        <v>1273</v>
      </c>
    </row>
    <row r="137" spans="1:18">
      <c r="A137" s="7" t="s">
        <v>1519</v>
      </c>
      <c r="B137" s="7" t="s">
        <v>1330</v>
      </c>
      <c r="C137" s="7" t="s">
        <v>954</v>
      </c>
      <c r="D137" s="7" t="s">
        <v>480</v>
      </c>
      <c r="E137" s="7" t="s">
        <v>339</v>
      </c>
      <c r="F137" s="7" t="s">
        <v>269</v>
      </c>
      <c r="G137" s="7" t="s">
        <v>340</v>
      </c>
      <c r="H137" s="7" t="s">
        <v>115</v>
      </c>
      <c r="I137" s="7" t="s">
        <v>258</v>
      </c>
      <c r="J137" s="7" t="s">
        <v>525</v>
      </c>
      <c r="K137" s="7" t="s">
        <v>1224</v>
      </c>
      <c r="L137" s="7" t="s">
        <v>1176</v>
      </c>
      <c r="M137" s="7" t="s">
        <v>275</v>
      </c>
      <c r="N137" s="7" t="s">
        <v>276</v>
      </c>
      <c r="O137" s="7" t="s">
        <v>195</v>
      </c>
      <c r="P137" s="7" t="s">
        <v>11</v>
      </c>
      <c r="Q137" s="7" t="s">
        <v>305</v>
      </c>
      <c r="R137" s="7" t="s">
        <v>1273</v>
      </c>
    </row>
    <row r="138" spans="1:18">
      <c r="A138" s="7" t="s">
        <v>1520</v>
      </c>
      <c r="B138" s="7" t="s">
        <v>1296</v>
      </c>
      <c r="C138" s="7" t="s">
        <v>1330</v>
      </c>
      <c r="D138" s="7" t="s">
        <v>895</v>
      </c>
      <c r="E138" s="7" t="s">
        <v>339</v>
      </c>
      <c r="F138" s="7" t="s">
        <v>282</v>
      </c>
      <c r="G138" s="7" t="s">
        <v>461</v>
      </c>
      <c r="H138" s="7" t="s">
        <v>115</v>
      </c>
      <c r="I138" s="7" t="s">
        <v>271</v>
      </c>
      <c r="J138" s="7" t="s">
        <v>351</v>
      </c>
      <c r="K138" s="7" t="s">
        <v>571</v>
      </c>
      <c r="L138" s="7" t="s">
        <v>571</v>
      </c>
      <c r="M138" s="7" t="s">
        <v>303</v>
      </c>
      <c r="N138" s="7" t="s">
        <v>284</v>
      </c>
      <c r="O138" s="7" t="s">
        <v>195</v>
      </c>
      <c r="P138" s="7" t="s">
        <v>17</v>
      </c>
      <c r="Q138" s="7" t="s">
        <v>326</v>
      </c>
      <c r="R138" s="7" t="s">
        <v>1273</v>
      </c>
    </row>
    <row r="139" spans="1:18">
      <c r="A139" s="7" t="s">
        <v>1521</v>
      </c>
      <c r="B139" s="7" t="s">
        <v>1359</v>
      </c>
      <c r="C139" s="7" t="s">
        <v>954</v>
      </c>
      <c r="D139" s="7" t="s">
        <v>823</v>
      </c>
      <c r="E139" s="7" t="s">
        <v>339</v>
      </c>
      <c r="F139" s="7" t="s">
        <v>256</v>
      </c>
      <c r="G139" s="7" t="s">
        <v>345</v>
      </c>
      <c r="H139" s="7" t="s">
        <v>115</v>
      </c>
      <c r="I139" s="7" t="s">
        <v>299</v>
      </c>
      <c r="J139" s="7" t="s">
        <v>529</v>
      </c>
      <c r="K139" s="7" t="s">
        <v>530</v>
      </c>
      <c r="L139" s="7" t="s">
        <v>1522</v>
      </c>
      <c r="M139" s="7" t="s">
        <v>604</v>
      </c>
      <c r="N139" s="7" t="s">
        <v>261</v>
      </c>
      <c r="O139" s="7" t="s">
        <v>169</v>
      </c>
      <c r="P139" s="7" t="s">
        <v>17</v>
      </c>
      <c r="Q139" s="7" t="s">
        <v>318</v>
      </c>
      <c r="R139" s="7" t="s">
        <v>1273</v>
      </c>
    </row>
    <row r="140" spans="1:18">
      <c r="A140" s="7" t="s">
        <v>1523</v>
      </c>
      <c r="B140" s="7" t="s">
        <v>1381</v>
      </c>
      <c r="C140" s="7" t="s">
        <v>1277</v>
      </c>
      <c r="D140" s="7" t="s">
        <v>1083</v>
      </c>
      <c r="E140" s="7" t="s">
        <v>255</v>
      </c>
      <c r="F140" s="7" t="s">
        <v>269</v>
      </c>
      <c r="G140" s="7" t="s">
        <v>391</v>
      </c>
      <c r="H140" s="7" t="s">
        <v>115</v>
      </c>
      <c r="I140" s="7" t="s">
        <v>258</v>
      </c>
      <c r="J140" s="7" t="s">
        <v>404</v>
      </c>
      <c r="K140" s="7" t="s">
        <v>649</v>
      </c>
      <c r="L140" s="7" t="s">
        <v>1140</v>
      </c>
      <c r="M140" s="7" t="s">
        <v>275</v>
      </c>
      <c r="N140" s="7" t="s">
        <v>276</v>
      </c>
      <c r="O140" s="7" t="s">
        <v>195</v>
      </c>
      <c r="P140" s="7" t="s">
        <v>17</v>
      </c>
      <c r="Q140" s="7" t="s">
        <v>318</v>
      </c>
      <c r="R140" s="7" t="s">
        <v>1273</v>
      </c>
    </row>
    <row r="141" spans="1:18">
      <c r="A141" s="7" t="s">
        <v>1524</v>
      </c>
      <c r="B141" s="7" t="s">
        <v>1338</v>
      </c>
      <c r="C141" s="7" t="s">
        <v>522</v>
      </c>
      <c r="D141" s="7" t="s">
        <v>1525</v>
      </c>
      <c r="E141" s="7" t="s">
        <v>281</v>
      </c>
      <c r="F141" s="7" t="s">
        <v>409</v>
      </c>
      <c r="G141" s="7" t="s">
        <v>496</v>
      </c>
      <c r="H141" s="7" t="s">
        <v>115</v>
      </c>
      <c r="I141" s="7" t="s">
        <v>271</v>
      </c>
      <c r="J141" s="7" t="s">
        <v>399</v>
      </c>
      <c r="K141" s="7" t="s">
        <v>1526</v>
      </c>
      <c r="L141" s="7" t="s">
        <v>1527</v>
      </c>
      <c r="M141" s="7" t="s">
        <v>303</v>
      </c>
      <c r="N141" s="7" t="s">
        <v>412</v>
      </c>
      <c r="O141" s="7" t="s">
        <v>195</v>
      </c>
      <c r="P141" s="7" t="s">
        <v>11</v>
      </c>
      <c r="Q141" s="7" t="s">
        <v>326</v>
      </c>
      <c r="R141" s="7" t="s">
        <v>1273</v>
      </c>
    </row>
    <row r="142" spans="1:18">
      <c r="A142" s="7" t="s">
        <v>1528</v>
      </c>
      <c r="B142" s="7" t="s">
        <v>1325</v>
      </c>
      <c r="C142" s="7" t="s">
        <v>925</v>
      </c>
      <c r="D142" s="7" t="s">
        <v>1157</v>
      </c>
      <c r="E142" s="7" t="s">
        <v>339</v>
      </c>
      <c r="F142" s="7" t="s">
        <v>282</v>
      </c>
      <c r="G142" s="7" t="s">
        <v>461</v>
      </c>
      <c r="H142" s="7" t="s">
        <v>127</v>
      </c>
      <c r="I142" s="7" t="s">
        <v>316</v>
      </c>
      <c r="J142" s="7" t="s">
        <v>447</v>
      </c>
      <c r="K142" s="7"/>
      <c r="L142" s="7"/>
      <c r="M142" s="7" t="s">
        <v>835</v>
      </c>
      <c r="N142" s="7" t="s">
        <v>284</v>
      </c>
      <c r="O142" s="7" t="s">
        <v>169</v>
      </c>
      <c r="P142" s="7"/>
      <c r="Q142" s="7" t="s">
        <v>318</v>
      </c>
      <c r="R142" s="7" t="s">
        <v>1273</v>
      </c>
    </row>
    <row r="143" spans="1:18">
      <c r="A143" s="7" t="s">
        <v>1529</v>
      </c>
      <c r="B143" s="7" t="s">
        <v>1283</v>
      </c>
      <c r="C143" s="7" t="s">
        <v>730</v>
      </c>
      <c r="D143" s="7" t="s">
        <v>820</v>
      </c>
      <c r="E143" s="7" t="s">
        <v>281</v>
      </c>
      <c r="F143" s="7" t="s">
        <v>256</v>
      </c>
      <c r="G143" s="7" t="s">
        <v>796</v>
      </c>
      <c r="H143" s="7" t="s">
        <v>115</v>
      </c>
      <c r="I143" s="7" t="s">
        <v>316</v>
      </c>
      <c r="J143" s="7" t="s">
        <v>351</v>
      </c>
      <c r="K143" s="7" t="s">
        <v>352</v>
      </c>
      <c r="L143" s="7" t="s">
        <v>1530</v>
      </c>
      <c r="M143" s="7" t="s">
        <v>303</v>
      </c>
      <c r="N143" s="7" t="s">
        <v>261</v>
      </c>
      <c r="O143" s="7" t="s">
        <v>195</v>
      </c>
      <c r="P143" s="7" t="s">
        <v>8</v>
      </c>
      <c r="Q143" s="7" t="s">
        <v>326</v>
      </c>
      <c r="R143" s="7" t="s">
        <v>1273</v>
      </c>
    </row>
    <row r="144" spans="1:18">
      <c r="A144" s="7"/>
      <c r="B144" s="7" t="s">
        <v>1343</v>
      </c>
      <c r="C144" s="7" t="s">
        <v>493</v>
      </c>
      <c r="D144" s="7" t="s">
        <v>1302</v>
      </c>
      <c r="E144" s="7" t="s">
        <v>339</v>
      </c>
      <c r="F144" s="7" t="s">
        <v>282</v>
      </c>
      <c r="G144" s="7" t="s">
        <v>461</v>
      </c>
      <c r="H144" s="7" t="s">
        <v>115</v>
      </c>
      <c r="I144" s="7" t="s">
        <v>299</v>
      </c>
      <c r="J144" s="7" t="s">
        <v>404</v>
      </c>
      <c r="K144" s="7" t="s">
        <v>1531</v>
      </c>
      <c r="L144" s="7" t="s">
        <v>1532</v>
      </c>
      <c r="M144" s="7" t="s">
        <v>275</v>
      </c>
      <c r="N144" s="7" t="s">
        <v>284</v>
      </c>
      <c r="O144" s="7" t="s">
        <v>169</v>
      </c>
      <c r="P144" s="7" t="s">
        <v>8</v>
      </c>
      <c r="Q144" s="7" t="s">
        <v>318</v>
      </c>
      <c r="R144" s="7" t="s">
        <v>1273</v>
      </c>
    </row>
    <row r="145" spans="1:18">
      <c r="A145" s="7" t="s">
        <v>1533</v>
      </c>
      <c r="B145" s="7" t="s">
        <v>1309</v>
      </c>
      <c r="C145" s="7" t="s">
        <v>993</v>
      </c>
      <c r="D145" s="7" t="s">
        <v>800</v>
      </c>
      <c r="E145" s="7" t="s">
        <v>268</v>
      </c>
      <c r="F145" s="7" t="s">
        <v>256</v>
      </c>
      <c r="G145" s="7" t="s">
        <v>419</v>
      </c>
      <c r="H145" s="7" t="s">
        <v>115</v>
      </c>
      <c r="I145" s="7" t="s">
        <v>299</v>
      </c>
      <c r="J145" s="7" t="s">
        <v>341</v>
      </c>
      <c r="K145" s="7" t="s">
        <v>1534</v>
      </c>
      <c r="L145" s="7" t="s">
        <v>928</v>
      </c>
      <c r="M145" s="7" t="s">
        <v>303</v>
      </c>
      <c r="N145" s="7" t="s">
        <v>261</v>
      </c>
      <c r="O145" s="7" t="s">
        <v>195</v>
      </c>
      <c r="P145" s="7" t="s">
        <v>11</v>
      </c>
      <c r="Q145" s="7" t="s">
        <v>285</v>
      </c>
      <c r="R145" s="7" t="s">
        <v>1273</v>
      </c>
    </row>
    <row r="146" spans="1:18">
      <c r="A146" s="7" t="s">
        <v>1535</v>
      </c>
      <c r="B146" s="7" t="s">
        <v>1359</v>
      </c>
      <c r="C146" s="7" t="s">
        <v>666</v>
      </c>
      <c r="D146" s="7" t="s">
        <v>769</v>
      </c>
      <c r="E146" s="7" t="s">
        <v>255</v>
      </c>
      <c r="F146" s="7" t="s">
        <v>409</v>
      </c>
      <c r="G146" s="7" t="s">
        <v>410</v>
      </c>
      <c r="H146" s="7" t="s">
        <v>127</v>
      </c>
      <c r="I146" s="7" t="s">
        <v>1025</v>
      </c>
      <c r="J146" s="7" t="s">
        <v>399</v>
      </c>
      <c r="K146" s="7"/>
      <c r="L146" s="7"/>
      <c r="M146" s="7" t="s">
        <v>260</v>
      </c>
      <c r="N146" s="7" t="s">
        <v>412</v>
      </c>
      <c r="O146" s="7" t="s">
        <v>195</v>
      </c>
      <c r="P146" s="7"/>
      <c r="Q146" s="7" t="s">
        <v>326</v>
      </c>
      <c r="R146" s="7" t="s">
        <v>1273</v>
      </c>
    </row>
    <row r="147" spans="1:18">
      <c r="A147" s="7" t="s">
        <v>1536</v>
      </c>
      <c r="B147" s="7" t="s">
        <v>1283</v>
      </c>
      <c r="C147" s="7" t="s">
        <v>337</v>
      </c>
      <c r="D147" s="7" t="s">
        <v>1537</v>
      </c>
      <c r="E147" s="7" t="s">
        <v>255</v>
      </c>
      <c r="F147" s="7" t="s">
        <v>282</v>
      </c>
      <c r="G147" s="7" t="s">
        <v>290</v>
      </c>
      <c r="H147" s="7" t="s">
        <v>122</v>
      </c>
      <c r="I147" s="7" t="s">
        <v>316</v>
      </c>
      <c r="J147" s="7" t="s">
        <v>469</v>
      </c>
      <c r="K147" s="7"/>
      <c r="L147" s="7"/>
      <c r="M147" s="7" t="s">
        <v>260</v>
      </c>
      <c r="N147" s="7" t="s">
        <v>284</v>
      </c>
      <c r="O147" s="7" t="s">
        <v>195</v>
      </c>
      <c r="P147" s="7"/>
      <c r="Q147" s="7" t="s">
        <v>285</v>
      </c>
      <c r="R147" s="7" t="s">
        <v>1273</v>
      </c>
    </row>
    <row r="148" spans="1:18">
      <c r="A148" s="7" t="s">
        <v>1538</v>
      </c>
      <c r="B148" s="7" t="s">
        <v>1359</v>
      </c>
      <c r="C148" s="7" t="s">
        <v>925</v>
      </c>
      <c r="D148" s="7" t="s">
        <v>468</v>
      </c>
      <c r="E148" s="7" t="s">
        <v>339</v>
      </c>
      <c r="F148" s="7" t="s">
        <v>297</v>
      </c>
      <c r="G148" s="7" t="s">
        <v>780</v>
      </c>
      <c r="H148" s="7" t="s">
        <v>115</v>
      </c>
      <c r="I148" s="7" t="s">
        <v>258</v>
      </c>
      <c r="J148" s="7" t="s">
        <v>272</v>
      </c>
      <c r="K148" s="7" t="s">
        <v>365</v>
      </c>
      <c r="L148" s="7" t="s">
        <v>543</v>
      </c>
      <c r="M148" s="7" t="s">
        <v>293</v>
      </c>
      <c r="N148" s="7" t="s">
        <v>304</v>
      </c>
      <c r="O148" s="7" t="s">
        <v>195</v>
      </c>
      <c r="P148" s="7" t="s">
        <v>14</v>
      </c>
      <c r="Q148" s="7" t="s">
        <v>285</v>
      </c>
      <c r="R148" s="7" t="s">
        <v>1273</v>
      </c>
    </row>
    <row r="149" spans="1:18">
      <c r="A149" s="7" t="s">
        <v>1539</v>
      </c>
      <c r="B149" s="7" t="s">
        <v>1314</v>
      </c>
      <c r="C149" s="7" t="s">
        <v>666</v>
      </c>
      <c r="D149" s="7" t="s">
        <v>970</v>
      </c>
      <c r="E149" s="7" t="s">
        <v>339</v>
      </c>
      <c r="F149" s="7" t="s">
        <v>297</v>
      </c>
      <c r="G149" s="7" t="s">
        <v>780</v>
      </c>
      <c r="H149" s="7" t="s">
        <v>115</v>
      </c>
      <c r="I149" s="7" t="s">
        <v>299</v>
      </c>
      <c r="J149" s="7" t="s">
        <v>346</v>
      </c>
      <c r="K149" s="7" t="s">
        <v>617</v>
      </c>
      <c r="L149" s="7" t="s">
        <v>347</v>
      </c>
      <c r="M149" s="7" t="s">
        <v>293</v>
      </c>
      <c r="N149" s="7" t="s">
        <v>304</v>
      </c>
      <c r="O149" s="7" t="s">
        <v>195</v>
      </c>
      <c r="P149" s="7" t="s">
        <v>8</v>
      </c>
      <c r="Q149" s="7" t="s">
        <v>305</v>
      </c>
      <c r="R149" s="7" t="s">
        <v>1273</v>
      </c>
    </row>
    <row r="150" spans="1:18">
      <c r="A150" s="7" t="s">
        <v>1540</v>
      </c>
      <c r="B150" s="7" t="s">
        <v>1305</v>
      </c>
      <c r="C150" s="7" t="s">
        <v>924</v>
      </c>
      <c r="D150" s="7" t="s">
        <v>1541</v>
      </c>
      <c r="E150" s="7" t="s">
        <v>255</v>
      </c>
      <c r="F150" s="7" t="s">
        <v>297</v>
      </c>
      <c r="G150" s="7" t="s">
        <v>331</v>
      </c>
      <c r="H150" s="7" t="s">
        <v>115</v>
      </c>
      <c r="I150" s="7" t="s">
        <v>299</v>
      </c>
      <c r="J150" s="7" t="s">
        <v>392</v>
      </c>
      <c r="K150" s="7" t="s">
        <v>678</v>
      </c>
      <c r="L150" s="7" t="s">
        <v>808</v>
      </c>
      <c r="M150" s="7" t="s">
        <v>303</v>
      </c>
      <c r="N150" s="7" t="s">
        <v>304</v>
      </c>
      <c r="O150" s="7" t="s">
        <v>195</v>
      </c>
      <c r="P150" s="7" t="s">
        <v>8</v>
      </c>
      <c r="Q150" s="7" t="s">
        <v>326</v>
      </c>
      <c r="R150" s="7" t="s">
        <v>1273</v>
      </c>
    </row>
    <row r="151" spans="1:18">
      <c r="A151" s="7" t="s">
        <v>1542</v>
      </c>
      <c r="B151" s="7" t="s">
        <v>1363</v>
      </c>
      <c r="C151" s="7" t="s">
        <v>1368</v>
      </c>
      <c r="D151" s="7" t="s">
        <v>694</v>
      </c>
      <c r="E151" s="7" t="s">
        <v>339</v>
      </c>
      <c r="F151" s="7" t="s">
        <v>409</v>
      </c>
      <c r="G151" s="7" t="s">
        <v>476</v>
      </c>
      <c r="H151" s="7" t="s">
        <v>115</v>
      </c>
      <c r="I151" s="7" t="s">
        <v>271</v>
      </c>
      <c r="J151" s="7" t="s">
        <v>259</v>
      </c>
      <c r="K151" s="7" t="s">
        <v>1543</v>
      </c>
      <c r="L151" s="7" t="s">
        <v>311</v>
      </c>
      <c r="M151" s="7" t="s">
        <v>293</v>
      </c>
      <c r="N151" s="7" t="s">
        <v>412</v>
      </c>
      <c r="O151" s="7" t="s">
        <v>169</v>
      </c>
      <c r="P151" s="7" t="s">
        <v>14</v>
      </c>
      <c r="Q151" s="7" t="s">
        <v>318</v>
      </c>
      <c r="R151" s="7" t="s">
        <v>1273</v>
      </c>
    </row>
    <row r="152" spans="1:18">
      <c r="A152" s="7" t="s">
        <v>1544</v>
      </c>
      <c r="B152" s="7" t="s">
        <v>1283</v>
      </c>
      <c r="C152" s="7" t="s">
        <v>407</v>
      </c>
      <c r="D152" s="7" t="s">
        <v>673</v>
      </c>
      <c r="E152" s="7" t="s">
        <v>255</v>
      </c>
      <c r="F152" s="7" t="s">
        <v>282</v>
      </c>
      <c r="G152" s="7" t="s">
        <v>290</v>
      </c>
      <c r="H152" s="7" t="s">
        <v>115</v>
      </c>
      <c r="I152" s="7" t="s">
        <v>316</v>
      </c>
      <c r="J152" s="7" t="s">
        <v>341</v>
      </c>
      <c r="K152" s="7" t="s">
        <v>1545</v>
      </c>
      <c r="L152" s="7" t="s">
        <v>1332</v>
      </c>
      <c r="M152" s="7" t="s">
        <v>303</v>
      </c>
      <c r="N152" s="7" t="s">
        <v>284</v>
      </c>
      <c r="O152" s="7" t="s">
        <v>169</v>
      </c>
      <c r="P152" s="7" t="s">
        <v>17</v>
      </c>
      <c r="Q152" s="7" t="s">
        <v>305</v>
      </c>
      <c r="R152" s="7" t="s">
        <v>1273</v>
      </c>
    </row>
    <row r="153" spans="1:18">
      <c r="A153" s="7" t="s">
        <v>1546</v>
      </c>
      <c r="B153" s="7" t="s">
        <v>1318</v>
      </c>
      <c r="C153" s="7" t="s">
        <v>1288</v>
      </c>
      <c r="D153" s="7" t="s">
        <v>514</v>
      </c>
      <c r="E153" s="7" t="s">
        <v>281</v>
      </c>
      <c r="F153" s="7" t="s">
        <v>269</v>
      </c>
      <c r="G153" s="7" t="s">
        <v>363</v>
      </c>
      <c r="H153" s="7" t="s">
        <v>115</v>
      </c>
      <c r="I153" s="7" t="s">
        <v>299</v>
      </c>
      <c r="J153" s="7" t="s">
        <v>404</v>
      </c>
      <c r="K153" s="7" t="s">
        <v>805</v>
      </c>
      <c r="L153" s="7" t="s">
        <v>1265</v>
      </c>
      <c r="M153" s="7" t="s">
        <v>275</v>
      </c>
      <c r="N153" s="7" t="s">
        <v>276</v>
      </c>
      <c r="O153" s="7" t="s">
        <v>631</v>
      </c>
      <c r="P153" s="7" t="s">
        <v>11</v>
      </c>
      <c r="Q153" s="7" t="s">
        <v>285</v>
      </c>
      <c r="R153" s="7" t="s">
        <v>1273</v>
      </c>
    </row>
    <row r="154" spans="1:18">
      <c r="A154" s="7" t="s">
        <v>1547</v>
      </c>
      <c r="B154" s="7" t="s">
        <v>1330</v>
      </c>
      <c r="C154" s="7" t="s">
        <v>903</v>
      </c>
      <c r="D154" s="7" t="s">
        <v>1179</v>
      </c>
      <c r="E154" s="7" t="s">
        <v>255</v>
      </c>
      <c r="F154" s="7" t="s">
        <v>409</v>
      </c>
      <c r="G154" s="7" t="s">
        <v>648</v>
      </c>
      <c r="H154" s="7" t="s">
        <v>115</v>
      </c>
      <c r="I154" s="7" t="s">
        <v>271</v>
      </c>
      <c r="J154" s="7" t="s">
        <v>447</v>
      </c>
      <c r="K154" s="7" t="s">
        <v>1307</v>
      </c>
      <c r="L154" s="7" t="s">
        <v>1548</v>
      </c>
      <c r="M154" s="7" t="s">
        <v>303</v>
      </c>
      <c r="N154" s="7"/>
      <c r="O154" s="7" t="s">
        <v>195</v>
      </c>
      <c r="P154" s="7" t="s">
        <v>14</v>
      </c>
      <c r="Q154" s="7" t="s">
        <v>318</v>
      </c>
      <c r="R154" s="7" t="s">
        <v>1273</v>
      </c>
    </row>
    <row r="155" spans="1:18">
      <c r="A155" s="7" t="s">
        <v>1549</v>
      </c>
      <c r="B155" s="7" t="s">
        <v>1320</v>
      </c>
      <c r="C155" s="7" t="s">
        <v>1003</v>
      </c>
      <c r="D155" s="7" t="s">
        <v>1418</v>
      </c>
      <c r="E155" s="7" t="s">
        <v>268</v>
      </c>
      <c r="F155" s="7" t="s">
        <v>269</v>
      </c>
      <c r="G155" s="7" t="s">
        <v>270</v>
      </c>
      <c r="H155" s="7" t="s">
        <v>115</v>
      </c>
      <c r="I155" s="7" t="s">
        <v>258</v>
      </c>
      <c r="J155" s="7" t="s">
        <v>332</v>
      </c>
      <c r="K155" s="7" t="s">
        <v>1530</v>
      </c>
      <c r="L155" s="7" t="s">
        <v>854</v>
      </c>
      <c r="M155" s="7" t="s">
        <v>303</v>
      </c>
      <c r="N155" s="7" t="s">
        <v>276</v>
      </c>
      <c r="O155" s="7" t="s">
        <v>169</v>
      </c>
      <c r="P155" s="7" t="s">
        <v>14</v>
      </c>
      <c r="Q155" s="7" t="s">
        <v>318</v>
      </c>
      <c r="R155" s="7" t="s">
        <v>1273</v>
      </c>
    </row>
    <row r="156" spans="1:18">
      <c r="A156" s="7" t="s">
        <v>1550</v>
      </c>
      <c r="B156" s="7" t="s">
        <v>1368</v>
      </c>
      <c r="C156" s="7" t="s">
        <v>936</v>
      </c>
      <c r="D156" s="7" t="s">
        <v>1551</v>
      </c>
      <c r="E156" s="7" t="s">
        <v>268</v>
      </c>
      <c r="F156" s="7" t="s">
        <v>256</v>
      </c>
      <c r="G156" s="7" t="s">
        <v>886</v>
      </c>
      <c r="H156" s="7" t="s">
        <v>115</v>
      </c>
      <c r="I156" s="7" t="s">
        <v>316</v>
      </c>
      <c r="J156" s="7" t="s">
        <v>341</v>
      </c>
      <c r="K156" s="7" t="s">
        <v>341</v>
      </c>
      <c r="L156" s="7" t="s">
        <v>783</v>
      </c>
      <c r="M156" s="7" t="s">
        <v>303</v>
      </c>
      <c r="N156" s="7" t="s">
        <v>261</v>
      </c>
      <c r="O156" s="7" t="s">
        <v>169</v>
      </c>
      <c r="P156" s="7" t="s">
        <v>17</v>
      </c>
      <c r="Q156" s="7" t="s">
        <v>318</v>
      </c>
      <c r="R156" s="7" t="s">
        <v>1273</v>
      </c>
    </row>
    <row r="157" spans="1:18">
      <c r="A157" s="7" t="s">
        <v>1552</v>
      </c>
      <c r="B157" s="7" t="s">
        <v>1341</v>
      </c>
      <c r="C157" s="7" t="s">
        <v>1285</v>
      </c>
      <c r="D157" s="7" t="s">
        <v>1103</v>
      </c>
      <c r="E157" s="7" t="s">
        <v>268</v>
      </c>
      <c r="F157" s="7" t="s">
        <v>409</v>
      </c>
      <c r="G157" s="7" t="s">
        <v>587</v>
      </c>
      <c r="H157" s="7" t="s">
        <v>127</v>
      </c>
      <c r="I157" s="7" t="s">
        <v>299</v>
      </c>
      <c r="J157" s="7" t="s">
        <v>529</v>
      </c>
      <c r="K157" s="7"/>
      <c r="L157" s="7"/>
      <c r="M157" s="7" t="s">
        <v>260</v>
      </c>
      <c r="N157" s="7" t="s">
        <v>412</v>
      </c>
      <c r="O157" s="7" t="s">
        <v>195</v>
      </c>
      <c r="P157" s="7"/>
      <c r="Q157" s="7" t="s">
        <v>262</v>
      </c>
      <c r="R157" s="7" t="s">
        <v>1273</v>
      </c>
    </row>
    <row r="158" spans="1:18">
      <c r="A158" s="7" t="s">
        <v>1553</v>
      </c>
      <c r="B158" s="7" t="s">
        <v>1341</v>
      </c>
      <c r="C158" s="7" t="s">
        <v>902</v>
      </c>
      <c r="D158" s="7" t="s">
        <v>1405</v>
      </c>
      <c r="E158" s="7" t="s">
        <v>339</v>
      </c>
      <c r="F158" s="7" t="s">
        <v>256</v>
      </c>
      <c r="G158" s="7" t="s">
        <v>403</v>
      </c>
      <c r="H158" s="7" t="s">
        <v>466</v>
      </c>
      <c r="I158" s="7" t="s">
        <v>316</v>
      </c>
      <c r="J158" s="7" t="s">
        <v>323</v>
      </c>
      <c r="K158" s="7"/>
      <c r="L158" s="7"/>
      <c r="M158" s="7" t="s">
        <v>260</v>
      </c>
      <c r="N158" s="7" t="s">
        <v>261</v>
      </c>
      <c r="O158" s="7" t="s">
        <v>195</v>
      </c>
      <c r="P158" s="7"/>
      <c r="Q158" s="7" t="s">
        <v>326</v>
      </c>
      <c r="R158" s="7" t="s">
        <v>1273</v>
      </c>
    </row>
    <row r="159" spans="1:18">
      <c r="A159" s="7" t="s">
        <v>1554</v>
      </c>
      <c r="B159" s="7" t="s">
        <v>1309</v>
      </c>
      <c r="C159" s="7" t="s">
        <v>962</v>
      </c>
      <c r="D159" s="7" t="s">
        <v>853</v>
      </c>
      <c r="E159" s="7" t="s">
        <v>255</v>
      </c>
      <c r="F159" s="7" t="s">
        <v>409</v>
      </c>
      <c r="G159" s="7" t="s">
        <v>648</v>
      </c>
      <c r="H159" s="7" t="s">
        <v>115</v>
      </c>
      <c r="I159" s="7" t="s">
        <v>258</v>
      </c>
      <c r="J159" s="7" t="s">
        <v>341</v>
      </c>
      <c r="K159" s="7" t="s">
        <v>1385</v>
      </c>
      <c r="L159" s="7" t="s">
        <v>1080</v>
      </c>
      <c r="M159" s="7" t="s">
        <v>293</v>
      </c>
      <c r="N159" s="7" t="s">
        <v>412</v>
      </c>
      <c r="O159" s="7" t="s">
        <v>195</v>
      </c>
      <c r="P159" s="7" t="s">
        <v>17</v>
      </c>
      <c r="Q159" s="7" t="s">
        <v>285</v>
      </c>
      <c r="R159" s="7" t="s">
        <v>1273</v>
      </c>
    </row>
    <row r="160" spans="1:18">
      <c r="A160" s="7" t="s">
        <v>1555</v>
      </c>
      <c r="B160" s="7" t="s">
        <v>1285</v>
      </c>
      <c r="C160" s="7" t="s">
        <v>561</v>
      </c>
      <c r="D160" s="7" t="s">
        <v>350</v>
      </c>
      <c r="E160" s="7" t="s">
        <v>255</v>
      </c>
      <c r="F160" s="7" t="s">
        <v>409</v>
      </c>
      <c r="G160" s="7" t="s">
        <v>410</v>
      </c>
      <c r="H160" s="7" t="s">
        <v>1456</v>
      </c>
      <c r="I160" s="7" t="s">
        <v>316</v>
      </c>
      <c r="J160" s="7" t="s">
        <v>469</v>
      </c>
      <c r="K160" s="7" t="s">
        <v>1195</v>
      </c>
      <c r="L160" s="7" t="s">
        <v>1556</v>
      </c>
      <c r="M160" s="7" t="s">
        <v>303</v>
      </c>
      <c r="N160" s="7" t="s">
        <v>412</v>
      </c>
      <c r="O160" s="7" t="s">
        <v>195</v>
      </c>
      <c r="P160" s="7" t="s">
        <v>8</v>
      </c>
      <c r="Q160" s="7" t="s">
        <v>285</v>
      </c>
      <c r="R160" s="7" t="s">
        <v>1273</v>
      </c>
    </row>
    <row r="161" spans="1:18">
      <c r="A161" s="7" t="s">
        <v>1557</v>
      </c>
      <c r="B161" s="7" t="s">
        <v>1330</v>
      </c>
      <c r="C161" s="7" t="s">
        <v>730</v>
      </c>
      <c r="D161" s="7" t="s">
        <v>1508</v>
      </c>
      <c r="E161" s="7" t="s">
        <v>255</v>
      </c>
      <c r="F161" s="7" t="s">
        <v>269</v>
      </c>
      <c r="G161" s="7" t="s">
        <v>542</v>
      </c>
      <c r="H161" s="7" t="s">
        <v>127</v>
      </c>
      <c r="I161" s="7" t="s">
        <v>258</v>
      </c>
      <c r="J161" s="7" t="s">
        <v>525</v>
      </c>
      <c r="K161" s="7"/>
      <c r="L161" s="7"/>
      <c r="M161" s="7" t="s">
        <v>260</v>
      </c>
      <c r="N161" s="7" t="s">
        <v>276</v>
      </c>
      <c r="O161" s="7" t="s">
        <v>195</v>
      </c>
      <c r="P161" s="7"/>
      <c r="Q161" s="7" t="s">
        <v>318</v>
      </c>
      <c r="R161" s="7" t="s">
        <v>1273</v>
      </c>
    </row>
    <row r="162" spans="1:18">
      <c r="A162" s="7" t="s">
        <v>1558</v>
      </c>
      <c r="B162" s="7" t="s">
        <v>1559</v>
      </c>
      <c r="C162" s="7" t="s">
        <v>1277</v>
      </c>
      <c r="D162" s="7" t="s">
        <v>1116</v>
      </c>
      <c r="E162" s="7" t="s">
        <v>339</v>
      </c>
      <c r="F162" s="7" t="s">
        <v>256</v>
      </c>
      <c r="G162" s="7" t="s">
        <v>345</v>
      </c>
      <c r="H162" s="7" t="s">
        <v>115</v>
      </c>
      <c r="I162" s="7" t="s">
        <v>299</v>
      </c>
      <c r="J162" s="7" t="s">
        <v>259</v>
      </c>
      <c r="K162" s="7" t="s">
        <v>259</v>
      </c>
      <c r="L162" s="7" t="s">
        <v>702</v>
      </c>
      <c r="M162" s="7" t="s">
        <v>303</v>
      </c>
      <c r="N162" s="7" t="s">
        <v>261</v>
      </c>
      <c r="O162" s="7" t="s">
        <v>195</v>
      </c>
      <c r="P162" s="7" t="s">
        <v>17</v>
      </c>
      <c r="Q162" s="7" t="s">
        <v>262</v>
      </c>
      <c r="R162" s="7" t="s">
        <v>1273</v>
      </c>
    </row>
    <row r="163" spans="1:18">
      <c r="A163" s="7" t="s">
        <v>1560</v>
      </c>
      <c r="B163" s="7" t="s">
        <v>1326</v>
      </c>
      <c r="C163" s="7" t="s">
        <v>940</v>
      </c>
      <c r="D163" s="7" t="s">
        <v>851</v>
      </c>
      <c r="E163" s="7" t="s">
        <v>281</v>
      </c>
      <c r="F163" s="7"/>
      <c r="G163" s="7" t="s">
        <v>446</v>
      </c>
      <c r="H163" s="7" t="s">
        <v>122</v>
      </c>
      <c r="I163" s="7" t="s">
        <v>271</v>
      </c>
      <c r="J163" s="7" t="s">
        <v>525</v>
      </c>
      <c r="K163" s="7"/>
      <c r="L163" s="7"/>
      <c r="M163" s="7" t="s">
        <v>260</v>
      </c>
      <c r="N163" s="7" t="s">
        <v>284</v>
      </c>
      <c r="O163" s="7" t="s">
        <v>169</v>
      </c>
      <c r="P163" s="7"/>
      <c r="Q163" s="7" t="s">
        <v>262</v>
      </c>
      <c r="R163" s="7" t="s">
        <v>1273</v>
      </c>
    </row>
    <row r="164" spans="1:18">
      <c r="A164" s="7" t="s">
        <v>1561</v>
      </c>
      <c r="B164" s="7" t="s">
        <v>1341</v>
      </c>
      <c r="C164" s="7" t="s">
        <v>933</v>
      </c>
      <c r="D164" s="7" t="s">
        <v>1209</v>
      </c>
      <c r="E164" s="7" t="s">
        <v>268</v>
      </c>
      <c r="F164" s="7" t="s">
        <v>282</v>
      </c>
      <c r="G164" s="7" t="s">
        <v>524</v>
      </c>
      <c r="H164" s="7" t="s">
        <v>115</v>
      </c>
      <c r="I164" s="7" t="s">
        <v>258</v>
      </c>
      <c r="J164" s="7" t="s">
        <v>272</v>
      </c>
      <c r="K164" s="7" t="s">
        <v>543</v>
      </c>
      <c r="L164" s="7" t="s">
        <v>1562</v>
      </c>
      <c r="M164" s="7" t="s">
        <v>293</v>
      </c>
      <c r="N164" s="7" t="s">
        <v>738</v>
      </c>
      <c r="O164" s="7" t="s">
        <v>195</v>
      </c>
      <c r="P164" s="7" t="s">
        <v>17</v>
      </c>
      <c r="Q164" s="7" t="s">
        <v>318</v>
      </c>
      <c r="R164" s="7" t="s">
        <v>1273</v>
      </c>
    </row>
    <row r="165" spans="1:18">
      <c r="A165" s="7" t="s">
        <v>1563</v>
      </c>
      <c r="B165" s="7" t="s">
        <v>1277</v>
      </c>
      <c r="C165" s="7" t="s">
        <v>522</v>
      </c>
      <c r="D165" s="7" t="s">
        <v>465</v>
      </c>
      <c r="E165" s="7" t="s">
        <v>339</v>
      </c>
      <c r="F165" s="7" t="s">
        <v>256</v>
      </c>
      <c r="G165" s="7" t="s">
        <v>345</v>
      </c>
      <c r="H165" s="7" t="s">
        <v>127</v>
      </c>
      <c r="I165" s="7" t="s">
        <v>299</v>
      </c>
      <c r="J165" s="7" t="s">
        <v>447</v>
      </c>
      <c r="K165" s="7"/>
      <c r="L165" s="7"/>
      <c r="M165" s="7" t="s">
        <v>260</v>
      </c>
      <c r="N165" s="7" t="s">
        <v>261</v>
      </c>
      <c r="O165" s="7" t="s">
        <v>195</v>
      </c>
      <c r="P165" s="7"/>
      <c r="Q165" s="7" t="s">
        <v>318</v>
      </c>
      <c r="R165" s="7" t="s">
        <v>1273</v>
      </c>
    </row>
    <row r="166" spans="1:18">
      <c r="A166" s="7" t="s">
        <v>1284</v>
      </c>
      <c r="B166" s="7" t="s">
        <v>1285</v>
      </c>
      <c r="C166" s="7" t="s">
        <v>279</v>
      </c>
      <c r="D166" s="7" t="s">
        <v>579</v>
      </c>
      <c r="E166" s="7" t="s">
        <v>339</v>
      </c>
      <c r="F166" s="7" t="s">
        <v>409</v>
      </c>
      <c r="G166" s="7" t="s">
        <v>476</v>
      </c>
      <c r="H166" s="7" t="s">
        <v>115</v>
      </c>
      <c r="I166" s="7" t="s">
        <v>271</v>
      </c>
      <c r="J166" s="7" t="s">
        <v>351</v>
      </c>
      <c r="K166" s="7" t="s">
        <v>1286</v>
      </c>
      <c r="L166" s="7" t="s">
        <v>452</v>
      </c>
      <c r="M166" s="7" t="s">
        <v>275</v>
      </c>
      <c r="N166" s="7" t="s">
        <v>412</v>
      </c>
      <c r="O166" s="7" t="s">
        <v>169</v>
      </c>
      <c r="P166" s="7" t="s">
        <v>14</v>
      </c>
      <c r="Q166" s="7" t="s">
        <v>305</v>
      </c>
      <c r="R166" s="7" t="s">
        <v>1273</v>
      </c>
    </row>
    <row r="167" spans="1:18">
      <c r="A167" s="7" t="s">
        <v>1391</v>
      </c>
      <c r="B167" s="7" t="s">
        <v>1325</v>
      </c>
      <c r="C167" s="7" t="s">
        <v>1087</v>
      </c>
      <c r="D167" s="7" t="s">
        <v>615</v>
      </c>
      <c r="E167" s="7" t="s">
        <v>339</v>
      </c>
      <c r="F167" s="7" t="s">
        <v>269</v>
      </c>
      <c r="G167" s="7" t="s">
        <v>340</v>
      </c>
      <c r="H167" s="7" t="s">
        <v>127</v>
      </c>
      <c r="I167" s="7" t="s">
        <v>271</v>
      </c>
      <c r="J167" s="7" t="s">
        <v>392</v>
      </c>
      <c r="K167" s="7"/>
      <c r="L167" s="7"/>
      <c r="M167" s="7" t="s">
        <v>260</v>
      </c>
      <c r="N167" s="7" t="s">
        <v>276</v>
      </c>
      <c r="O167" s="7" t="s">
        <v>169</v>
      </c>
      <c r="P167" s="7"/>
      <c r="Q167" s="7" t="s">
        <v>326</v>
      </c>
      <c r="R167" s="7" t="s">
        <v>1273</v>
      </c>
    </row>
    <row r="168" spans="1:18">
      <c r="A168" s="7" t="s">
        <v>1477</v>
      </c>
      <c r="B168" s="7" t="s">
        <v>1343</v>
      </c>
      <c r="C168" s="7" t="s">
        <v>1283</v>
      </c>
      <c r="D168" s="7" t="s">
        <v>1478</v>
      </c>
      <c r="E168" s="7" t="s">
        <v>255</v>
      </c>
      <c r="F168" s="7" t="s">
        <v>297</v>
      </c>
      <c r="G168" s="7" t="s">
        <v>331</v>
      </c>
      <c r="H168" s="7" t="s">
        <v>115</v>
      </c>
      <c r="I168" s="7" t="s">
        <v>271</v>
      </c>
      <c r="J168" s="7" t="s">
        <v>332</v>
      </c>
      <c r="K168" s="7" t="s">
        <v>353</v>
      </c>
      <c r="L168" s="7" t="s">
        <v>1479</v>
      </c>
      <c r="M168" s="7" t="s">
        <v>303</v>
      </c>
      <c r="N168" s="7" t="s">
        <v>1163</v>
      </c>
      <c r="O168" s="7" t="s">
        <v>195</v>
      </c>
      <c r="P168" s="7" t="s">
        <v>17</v>
      </c>
      <c r="Q168" s="7" t="s">
        <v>285</v>
      </c>
      <c r="R168" s="7" t="s">
        <v>1273</v>
      </c>
    </row>
  </sheetData>
  <mergeCells count="2">
    <mergeCell ref="A1:R2"/>
    <mergeCell ref="A3:R3"/>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R168"/>
  <sheetViews>
    <sheetView showGridLines="0" workbookViewId="0">
      <selection activeCell="B5" sqref="B5"/>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49" t="s">
        <v>1564</v>
      </c>
      <c r="B1" s="49"/>
      <c r="C1" s="49"/>
      <c r="D1" s="49"/>
      <c r="E1" s="49"/>
      <c r="F1" s="49"/>
      <c r="G1" s="49"/>
      <c r="H1" s="49"/>
      <c r="I1" s="49"/>
      <c r="J1" s="49"/>
      <c r="K1" s="49"/>
      <c r="L1" s="49"/>
      <c r="M1" s="49"/>
      <c r="N1" s="49"/>
      <c r="O1" s="49"/>
      <c r="P1" s="49"/>
      <c r="Q1" s="49"/>
      <c r="R1" s="49"/>
    </row>
    <row r="2" spans="1:18">
      <c r="A2" s="49"/>
      <c r="B2" s="49"/>
      <c r="C2" s="49"/>
      <c r="D2" s="49"/>
      <c r="E2" s="49"/>
      <c r="F2" s="49"/>
      <c r="G2" s="49"/>
      <c r="H2" s="49"/>
      <c r="I2" s="49"/>
      <c r="J2" s="49"/>
      <c r="K2" s="49"/>
      <c r="L2" s="49"/>
      <c r="M2" s="49"/>
      <c r="N2" s="49"/>
      <c r="O2" s="49"/>
      <c r="P2" s="49"/>
      <c r="Q2" s="49"/>
      <c r="R2" s="49"/>
    </row>
    <row r="3" spans="1:18">
      <c r="A3" s="50" t="s">
        <v>250</v>
      </c>
      <c r="B3" s="50"/>
      <c r="C3" s="50"/>
      <c r="D3" s="50"/>
      <c r="E3" s="50"/>
      <c r="F3" s="50"/>
      <c r="G3" s="50"/>
      <c r="H3" s="50"/>
      <c r="I3" s="50"/>
      <c r="J3" s="50"/>
      <c r="K3" s="50"/>
      <c r="L3" s="50"/>
      <c r="M3" s="50"/>
      <c r="N3" s="50"/>
      <c r="O3" s="50"/>
      <c r="P3" s="50"/>
      <c r="Q3" s="50"/>
      <c r="R3" s="50"/>
    </row>
    <row r="4" spans="1:18" ht="14.5">
      <c r="A4" s="2"/>
      <c r="B4" s="2"/>
      <c r="C4" s="2"/>
      <c r="D4" s="2"/>
      <c r="E4" s="2"/>
      <c r="F4" s="2"/>
      <c r="G4" s="2"/>
      <c r="H4" s="2"/>
      <c r="I4" s="2"/>
      <c r="J4" s="2"/>
      <c r="K4" s="2"/>
      <c r="L4" s="2"/>
      <c r="M4" s="2"/>
      <c r="N4" s="2"/>
      <c r="O4" s="2"/>
      <c r="P4" s="2"/>
      <c r="Q4" s="2"/>
      <c r="R4" s="2"/>
    </row>
    <row r="5" spans="1:18" ht="29">
      <c r="A5" s="1" t="s">
        <v>166</v>
      </c>
      <c r="B5" s="1" t="s">
        <v>171</v>
      </c>
      <c r="C5" s="1" t="s">
        <v>175</v>
      </c>
      <c r="D5" s="1" t="s">
        <v>178</v>
      </c>
      <c r="E5" s="1" t="s">
        <v>181</v>
      </c>
      <c r="F5" s="1" t="s">
        <v>184</v>
      </c>
      <c r="G5" s="1" t="s">
        <v>187</v>
      </c>
      <c r="H5" s="1" t="s">
        <v>190</v>
      </c>
      <c r="I5" s="1" t="s">
        <v>193</v>
      </c>
      <c r="J5" s="1" t="s">
        <v>197</v>
      </c>
      <c r="K5" s="1" t="s">
        <v>201</v>
      </c>
      <c r="L5" s="1" t="s">
        <v>205</v>
      </c>
      <c r="M5" s="1" t="s">
        <v>207</v>
      </c>
      <c r="N5" s="1" t="s">
        <v>211</v>
      </c>
      <c r="O5" s="1" t="s">
        <v>215</v>
      </c>
      <c r="P5" s="1" t="s">
        <v>219</v>
      </c>
      <c r="Q5" s="1" t="s">
        <v>222</v>
      </c>
      <c r="R5" s="1" t="s">
        <v>225</v>
      </c>
    </row>
    <row r="6" spans="1:18">
      <c r="A6" s="7" t="s">
        <v>1565</v>
      </c>
      <c r="B6" s="7" t="s">
        <v>1566</v>
      </c>
      <c r="C6" s="7" t="s">
        <v>1309</v>
      </c>
      <c r="D6" s="7" t="s">
        <v>1193</v>
      </c>
      <c r="E6" s="7" t="s">
        <v>255</v>
      </c>
      <c r="F6" s="7" t="s">
        <v>256</v>
      </c>
      <c r="G6" s="7" t="s">
        <v>257</v>
      </c>
      <c r="H6" s="7" t="s">
        <v>115</v>
      </c>
      <c r="I6" s="7" t="s">
        <v>258</v>
      </c>
      <c r="J6" s="7" t="s">
        <v>332</v>
      </c>
      <c r="K6" s="7" t="s">
        <v>1567</v>
      </c>
      <c r="L6" s="7" t="s">
        <v>607</v>
      </c>
      <c r="M6" s="7" t="s">
        <v>293</v>
      </c>
      <c r="N6" s="7" t="s">
        <v>261</v>
      </c>
      <c r="O6" s="7" t="s">
        <v>169</v>
      </c>
      <c r="P6" s="7" t="s">
        <v>8</v>
      </c>
      <c r="Q6" s="7" t="s">
        <v>318</v>
      </c>
      <c r="R6" s="7" t="s">
        <v>1568</v>
      </c>
    </row>
    <row r="7" spans="1:18">
      <c r="A7" s="7" t="s">
        <v>1569</v>
      </c>
      <c r="B7" s="7" t="s">
        <v>1570</v>
      </c>
      <c r="C7" s="7" t="s">
        <v>1571</v>
      </c>
      <c r="D7" s="7" t="s">
        <v>1144</v>
      </c>
      <c r="E7" s="7" t="s">
        <v>255</v>
      </c>
      <c r="F7" s="7" t="s">
        <v>409</v>
      </c>
      <c r="G7" s="7" t="s">
        <v>410</v>
      </c>
      <c r="H7" s="7" t="s">
        <v>115</v>
      </c>
      <c r="I7" s="7" t="s">
        <v>316</v>
      </c>
      <c r="J7" s="7" t="s">
        <v>346</v>
      </c>
      <c r="K7" s="7" t="s">
        <v>1398</v>
      </c>
      <c r="L7" s="7" t="s">
        <v>884</v>
      </c>
      <c r="M7" s="7" t="s">
        <v>275</v>
      </c>
      <c r="N7" s="7" t="s">
        <v>412</v>
      </c>
      <c r="O7" s="7" t="s">
        <v>195</v>
      </c>
      <c r="P7" s="7" t="s">
        <v>11</v>
      </c>
      <c r="Q7" s="7" t="s">
        <v>262</v>
      </c>
      <c r="R7" s="7" t="s">
        <v>1568</v>
      </c>
    </row>
    <row r="8" spans="1:18">
      <c r="A8" s="7" t="s">
        <v>1572</v>
      </c>
      <c r="B8" s="7" t="s">
        <v>1573</v>
      </c>
      <c r="C8" s="7" t="s">
        <v>1288</v>
      </c>
      <c r="D8" s="7" t="s">
        <v>995</v>
      </c>
      <c r="E8" s="7" t="s">
        <v>281</v>
      </c>
      <c r="F8" s="7" t="s">
        <v>282</v>
      </c>
      <c r="G8" s="7" t="s">
        <v>283</v>
      </c>
      <c r="H8" s="7" t="s">
        <v>115</v>
      </c>
      <c r="I8" s="7" t="s">
        <v>258</v>
      </c>
      <c r="J8" s="7" t="s">
        <v>358</v>
      </c>
      <c r="K8" s="7" t="s">
        <v>1053</v>
      </c>
      <c r="L8" s="7" t="s">
        <v>1574</v>
      </c>
      <c r="M8" s="7" t="s">
        <v>303</v>
      </c>
      <c r="N8" s="7" t="s">
        <v>284</v>
      </c>
      <c r="O8" s="7" t="s">
        <v>195</v>
      </c>
      <c r="P8" s="7" t="s">
        <v>8</v>
      </c>
      <c r="Q8" s="7" t="s">
        <v>326</v>
      </c>
      <c r="R8" s="7" t="s">
        <v>1568</v>
      </c>
    </row>
    <row r="9" spans="1:18">
      <c r="A9" s="7" t="s">
        <v>1575</v>
      </c>
      <c r="B9" s="7" t="s">
        <v>1576</v>
      </c>
      <c r="C9" s="7" t="s">
        <v>1279</v>
      </c>
      <c r="D9" s="7" t="s">
        <v>982</v>
      </c>
      <c r="E9" s="7" t="s">
        <v>268</v>
      </c>
      <c r="F9" s="7" t="s">
        <v>256</v>
      </c>
      <c r="G9" s="7" t="s">
        <v>886</v>
      </c>
      <c r="H9" s="7" t="s">
        <v>115</v>
      </c>
      <c r="I9" s="7" t="s">
        <v>316</v>
      </c>
      <c r="J9" s="7" t="s">
        <v>323</v>
      </c>
      <c r="K9" s="7" t="s">
        <v>1244</v>
      </c>
      <c r="L9" s="7" t="s">
        <v>351</v>
      </c>
      <c r="M9" s="7" t="s">
        <v>303</v>
      </c>
      <c r="N9" s="7" t="s">
        <v>261</v>
      </c>
      <c r="O9" s="7" t="s">
        <v>195</v>
      </c>
      <c r="P9" s="7" t="s">
        <v>17</v>
      </c>
      <c r="Q9" s="7" t="s">
        <v>262</v>
      </c>
      <c r="R9" s="7" t="s">
        <v>1568</v>
      </c>
    </row>
    <row r="10" spans="1:18">
      <c r="A10" s="7" t="s">
        <v>1577</v>
      </c>
      <c r="B10" s="7" t="s">
        <v>1578</v>
      </c>
      <c r="C10" s="7" t="s">
        <v>1320</v>
      </c>
      <c r="D10" s="7" t="s">
        <v>1231</v>
      </c>
      <c r="E10" s="7" t="s">
        <v>268</v>
      </c>
      <c r="F10" s="7" t="s">
        <v>297</v>
      </c>
      <c r="G10" s="7" t="s">
        <v>628</v>
      </c>
      <c r="H10" s="7" t="s">
        <v>466</v>
      </c>
      <c r="I10" s="7" t="s">
        <v>316</v>
      </c>
      <c r="J10" s="7" t="s">
        <v>447</v>
      </c>
      <c r="K10" s="7"/>
      <c r="L10" s="7"/>
      <c r="M10" s="7" t="s">
        <v>260</v>
      </c>
      <c r="N10" s="7" t="s">
        <v>304</v>
      </c>
      <c r="O10" s="7" t="s">
        <v>195</v>
      </c>
      <c r="P10" s="7"/>
      <c r="Q10" s="7" t="s">
        <v>318</v>
      </c>
      <c r="R10" s="7" t="s">
        <v>1568</v>
      </c>
    </row>
    <row r="11" spans="1:18">
      <c r="A11" s="7" t="s">
        <v>1579</v>
      </c>
      <c r="B11" s="7" t="s">
        <v>1580</v>
      </c>
      <c r="C11" s="7" t="s">
        <v>1363</v>
      </c>
      <c r="D11" s="7" t="s">
        <v>978</v>
      </c>
      <c r="E11" s="7" t="s">
        <v>268</v>
      </c>
      <c r="F11" s="7" t="s">
        <v>409</v>
      </c>
      <c r="G11" s="7" t="s">
        <v>587</v>
      </c>
      <c r="H11" s="7" t="s">
        <v>115</v>
      </c>
      <c r="I11" s="7" t="s">
        <v>316</v>
      </c>
      <c r="J11" s="7" t="s">
        <v>259</v>
      </c>
      <c r="K11" s="7" t="s">
        <v>1357</v>
      </c>
      <c r="L11" s="7" t="s">
        <v>1581</v>
      </c>
      <c r="M11" s="7" t="s">
        <v>303</v>
      </c>
      <c r="N11" s="7" t="s">
        <v>412</v>
      </c>
      <c r="O11" s="7" t="s">
        <v>169</v>
      </c>
      <c r="P11" s="7" t="s">
        <v>11</v>
      </c>
      <c r="Q11" s="7" t="s">
        <v>305</v>
      </c>
      <c r="R11" s="7" t="s">
        <v>1568</v>
      </c>
    </row>
    <row r="12" spans="1:18">
      <c r="A12" s="7" t="s">
        <v>1582</v>
      </c>
      <c r="B12" s="7" t="s">
        <v>1583</v>
      </c>
      <c r="C12" s="7" t="s">
        <v>1275</v>
      </c>
      <c r="D12" s="7" t="s">
        <v>1067</v>
      </c>
      <c r="E12" s="7" t="s">
        <v>255</v>
      </c>
      <c r="F12" s="7" t="s">
        <v>297</v>
      </c>
      <c r="G12" s="7" t="s">
        <v>639</v>
      </c>
      <c r="H12" s="7" t="s">
        <v>122</v>
      </c>
      <c r="I12" s="7" t="s">
        <v>299</v>
      </c>
      <c r="J12" s="7" t="s">
        <v>341</v>
      </c>
      <c r="K12" s="7"/>
      <c r="L12" s="7"/>
      <c r="M12" s="7" t="s">
        <v>260</v>
      </c>
      <c r="N12" s="7" t="s">
        <v>304</v>
      </c>
      <c r="O12" s="7" t="s">
        <v>195</v>
      </c>
      <c r="P12" s="7"/>
      <c r="Q12" s="7" t="s">
        <v>318</v>
      </c>
      <c r="R12" s="7" t="s">
        <v>1568</v>
      </c>
    </row>
    <row r="13" spans="1:18">
      <c r="A13" s="7" t="s">
        <v>1584</v>
      </c>
      <c r="B13" s="7" t="s">
        <v>1566</v>
      </c>
      <c r="C13" s="7" t="s">
        <v>903</v>
      </c>
      <c r="D13" s="7" t="s">
        <v>1322</v>
      </c>
      <c r="E13" s="7" t="s">
        <v>281</v>
      </c>
      <c r="F13" s="7" t="s">
        <v>297</v>
      </c>
      <c r="G13" s="7" t="s">
        <v>298</v>
      </c>
      <c r="H13" s="7" t="s">
        <v>127</v>
      </c>
      <c r="I13" s="7" t="s">
        <v>271</v>
      </c>
      <c r="J13" s="7" t="s">
        <v>447</v>
      </c>
      <c r="K13" s="7"/>
      <c r="L13" s="7"/>
      <c r="M13" s="7" t="s">
        <v>260</v>
      </c>
      <c r="N13" s="7" t="s">
        <v>304</v>
      </c>
      <c r="O13" s="7" t="s">
        <v>169</v>
      </c>
      <c r="P13" s="7"/>
      <c r="Q13" s="7" t="s">
        <v>285</v>
      </c>
      <c r="R13" s="7" t="s">
        <v>1568</v>
      </c>
    </row>
    <row r="14" spans="1:18">
      <c r="A14" s="7" t="s">
        <v>1585</v>
      </c>
      <c r="B14" s="7" t="s">
        <v>1586</v>
      </c>
      <c r="C14" s="7" t="s">
        <v>1587</v>
      </c>
      <c r="D14" s="7" t="s">
        <v>1031</v>
      </c>
      <c r="E14" s="7" t="s">
        <v>339</v>
      </c>
      <c r="F14" s="7" t="s">
        <v>409</v>
      </c>
      <c r="G14" s="7" t="s">
        <v>476</v>
      </c>
      <c r="H14" s="7" t="s">
        <v>115</v>
      </c>
      <c r="I14" s="7" t="s">
        <v>258</v>
      </c>
      <c r="J14" s="7" t="s">
        <v>525</v>
      </c>
      <c r="K14" s="7" t="s">
        <v>1588</v>
      </c>
      <c r="L14" s="7" t="s">
        <v>1574</v>
      </c>
      <c r="M14" s="7" t="s">
        <v>303</v>
      </c>
      <c r="N14" s="7" t="s">
        <v>412</v>
      </c>
      <c r="O14" s="7" t="s">
        <v>169</v>
      </c>
      <c r="P14" s="7" t="s">
        <v>14</v>
      </c>
      <c r="Q14" s="7" t="s">
        <v>326</v>
      </c>
      <c r="R14" s="7" t="s">
        <v>1568</v>
      </c>
    </row>
    <row r="15" spans="1:18">
      <c r="A15" s="7" t="s">
        <v>1589</v>
      </c>
      <c r="B15" s="7" t="s">
        <v>1590</v>
      </c>
      <c r="C15" s="7" t="s">
        <v>1591</v>
      </c>
      <c r="D15" s="7" t="s">
        <v>1071</v>
      </c>
      <c r="E15" s="7" t="s">
        <v>255</v>
      </c>
      <c r="F15" s="7" t="s">
        <v>282</v>
      </c>
      <c r="G15" s="7" t="s">
        <v>424</v>
      </c>
      <c r="H15" s="7" t="s">
        <v>115</v>
      </c>
      <c r="I15" s="7" t="s">
        <v>271</v>
      </c>
      <c r="J15" s="7" t="s">
        <v>392</v>
      </c>
      <c r="K15" s="7" t="s">
        <v>873</v>
      </c>
      <c r="L15" s="7" t="s">
        <v>1063</v>
      </c>
      <c r="M15" s="7" t="s">
        <v>335</v>
      </c>
      <c r="N15" s="7" t="s">
        <v>284</v>
      </c>
      <c r="O15" s="7" t="s">
        <v>195</v>
      </c>
      <c r="P15" s="7" t="s">
        <v>8</v>
      </c>
      <c r="Q15" s="7" t="s">
        <v>326</v>
      </c>
      <c r="R15" s="7" t="s">
        <v>1568</v>
      </c>
    </row>
    <row r="16" spans="1:18">
      <c r="A16" s="7" t="s">
        <v>1592</v>
      </c>
      <c r="B16" s="7" t="s">
        <v>1593</v>
      </c>
      <c r="C16" s="7" t="s">
        <v>939</v>
      </c>
      <c r="D16" s="7" t="s">
        <v>1154</v>
      </c>
      <c r="E16" s="7" t="s">
        <v>268</v>
      </c>
      <c r="F16" s="7" t="s">
        <v>269</v>
      </c>
      <c r="G16" s="7" t="s">
        <v>270</v>
      </c>
      <c r="H16" s="7" t="s">
        <v>115</v>
      </c>
      <c r="I16" s="7" t="s">
        <v>299</v>
      </c>
      <c r="J16" s="7" t="s">
        <v>323</v>
      </c>
      <c r="K16" s="7" t="s">
        <v>983</v>
      </c>
      <c r="L16" s="7" t="s">
        <v>1594</v>
      </c>
      <c r="M16" s="7" t="s">
        <v>303</v>
      </c>
      <c r="N16" s="7" t="s">
        <v>276</v>
      </c>
      <c r="O16" s="7" t="s">
        <v>195</v>
      </c>
      <c r="P16" s="7" t="s">
        <v>17</v>
      </c>
      <c r="Q16" s="7" t="s">
        <v>318</v>
      </c>
      <c r="R16" s="7" t="s">
        <v>1568</v>
      </c>
    </row>
    <row r="17" spans="1:18">
      <c r="A17" s="7" t="s">
        <v>1595</v>
      </c>
      <c r="B17" s="7" t="s">
        <v>1576</v>
      </c>
      <c r="C17" s="7" t="s">
        <v>1355</v>
      </c>
      <c r="D17" s="7" t="s">
        <v>350</v>
      </c>
      <c r="E17" s="7" t="s">
        <v>281</v>
      </c>
      <c r="F17" s="7" t="s">
        <v>297</v>
      </c>
      <c r="G17" s="7" t="s">
        <v>368</v>
      </c>
      <c r="H17" s="7" t="s">
        <v>115</v>
      </c>
      <c r="I17" s="7" t="s">
        <v>258</v>
      </c>
      <c r="J17" s="7" t="s">
        <v>351</v>
      </c>
      <c r="K17" s="7" t="s">
        <v>1596</v>
      </c>
      <c r="L17" s="7" t="s">
        <v>351</v>
      </c>
      <c r="M17" s="7" t="s">
        <v>275</v>
      </c>
      <c r="N17" s="7" t="s">
        <v>304</v>
      </c>
      <c r="O17" s="7" t="s">
        <v>195</v>
      </c>
      <c r="P17" s="7" t="s">
        <v>17</v>
      </c>
      <c r="Q17" s="7" t="s">
        <v>318</v>
      </c>
      <c r="R17" s="7" t="s">
        <v>1568</v>
      </c>
    </row>
    <row r="18" spans="1:18">
      <c r="A18" s="7" t="s">
        <v>1597</v>
      </c>
      <c r="B18" s="7" t="s">
        <v>1598</v>
      </c>
      <c r="C18" s="7" t="s">
        <v>1587</v>
      </c>
      <c r="D18" s="7" t="s">
        <v>677</v>
      </c>
      <c r="E18" s="7" t="s">
        <v>281</v>
      </c>
      <c r="F18" s="7" t="s">
        <v>282</v>
      </c>
      <c r="G18" s="7" t="s">
        <v>446</v>
      </c>
      <c r="H18" s="7" t="s">
        <v>115</v>
      </c>
      <c r="I18" s="7" t="s">
        <v>258</v>
      </c>
      <c r="J18" s="7" t="s">
        <v>341</v>
      </c>
      <c r="K18" s="7" t="s">
        <v>653</v>
      </c>
      <c r="L18" s="7" t="s">
        <v>671</v>
      </c>
      <c r="M18" s="7" t="s">
        <v>303</v>
      </c>
      <c r="N18" s="7" t="s">
        <v>284</v>
      </c>
      <c r="O18" s="7" t="s">
        <v>195</v>
      </c>
      <c r="P18" s="7" t="s">
        <v>8</v>
      </c>
      <c r="Q18" s="7" t="s">
        <v>285</v>
      </c>
      <c r="R18" s="7" t="s">
        <v>1568</v>
      </c>
    </row>
    <row r="19" spans="1:18">
      <c r="A19" s="7" t="s">
        <v>1599</v>
      </c>
      <c r="B19" s="7" t="s">
        <v>1590</v>
      </c>
      <c r="C19" s="7" t="s">
        <v>1305</v>
      </c>
      <c r="D19" s="7" t="s">
        <v>1387</v>
      </c>
      <c r="E19" s="7" t="s">
        <v>281</v>
      </c>
      <c r="F19" s="7" t="s">
        <v>269</v>
      </c>
      <c r="G19" s="7" t="s">
        <v>363</v>
      </c>
      <c r="H19" s="7" t="s">
        <v>122</v>
      </c>
      <c r="I19" s="7" t="s">
        <v>316</v>
      </c>
      <c r="J19" s="7" t="s">
        <v>358</v>
      </c>
      <c r="K19" s="7"/>
      <c r="L19" s="7"/>
      <c r="M19" s="7" t="s">
        <v>260</v>
      </c>
      <c r="N19" s="7" t="s">
        <v>276</v>
      </c>
      <c r="O19" s="7" t="s">
        <v>169</v>
      </c>
      <c r="P19" s="7"/>
      <c r="Q19" s="7" t="s">
        <v>305</v>
      </c>
      <c r="R19" s="7" t="s">
        <v>1568</v>
      </c>
    </row>
    <row r="20" spans="1:18">
      <c r="A20" s="7" t="s">
        <v>1600</v>
      </c>
      <c r="B20" s="7" t="s">
        <v>1586</v>
      </c>
      <c r="C20" s="7" t="s">
        <v>1601</v>
      </c>
      <c r="D20" s="7" t="s">
        <v>1209</v>
      </c>
      <c r="E20" s="7" t="s">
        <v>339</v>
      </c>
      <c r="F20" s="7" t="s">
        <v>269</v>
      </c>
      <c r="G20" s="7" t="s">
        <v>528</v>
      </c>
      <c r="H20" s="7" t="s">
        <v>115</v>
      </c>
      <c r="I20" s="7" t="s">
        <v>258</v>
      </c>
      <c r="J20" s="7" t="s">
        <v>323</v>
      </c>
      <c r="K20" s="7" t="s">
        <v>737</v>
      </c>
      <c r="L20" s="7" t="s">
        <v>1312</v>
      </c>
      <c r="M20" s="7" t="s">
        <v>293</v>
      </c>
      <c r="N20" s="7" t="s">
        <v>276</v>
      </c>
      <c r="O20" s="7" t="s">
        <v>195</v>
      </c>
      <c r="P20" s="7" t="s">
        <v>17</v>
      </c>
      <c r="Q20" s="7" t="s">
        <v>318</v>
      </c>
      <c r="R20" s="7" t="s">
        <v>1568</v>
      </c>
    </row>
    <row r="21" spans="1:18">
      <c r="A21" s="7" t="s">
        <v>1602</v>
      </c>
      <c r="B21" s="7" t="s">
        <v>1583</v>
      </c>
      <c r="C21" s="7" t="s">
        <v>1325</v>
      </c>
      <c r="D21" s="7" t="s">
        <v>970</v>
      </c>
      <c r="E21" s="7" t="s">
        <v>268</v>
      </c>
      <c r="F21" s="7" t="s">
        <v>282</v>
      </c>
      <c r="G21" s="7" t="s">
        <v>524</v>
      </c>
      <c r="H21" s="7" t="s">
        <v>115</v>
      </c>
      <c r="I21" s="7" t="s">
        <v>258</v>
      </c>
      <c r="J21" s="7" t="s">
        <v>358</v>
      </c>
      <c r="K21" s="7" t="s">
        <v>734</v>
      </c>
      <c r="L21" s="7" t="s">
        <v>1440</v>
      </c>
      <c r="M21" s="7" t="s">
        <v>303</v>
      </c>
      <c r="N21" s="7" t="s">
        <v>284</v>
      </c>
      <c r="O21" s="7" t="s">
        <v>195</v>
      </c>
      <c r="P21" s="7" t="s">
        <v>8</v>
      </c>
      <c r="Q21" s="7" t="s">
        <v>318</v>
      </c>
      <c r="R21" s="7" t="s">
        <v>1568</v>
      </c>
    </row>
    <row r="22" spans="1:18">
      <c r="A22" s="7" t="s">
        <v>1603</v>
      </c>
      <c r="B22" s="7" t="s">
        <v>1604</v>
      </c>
      <c r="C22" s="7" t="s">
        <v>1409</v>
      </c>
      <c r="D22" s="7" t="s">
        <v>704</v>
      </c>
      <c r="E22" s="7" t="s">
        <v>281</v>
      </c>
      <c r="F22" s="7" t="s">
        <v>282</v>
      </c>
      <c r="G22" s="7" t="s">
        <v>446</v>
      </c>
      <c r="H22" s="7" t="s">
        <v>122</v>
      </c>
      <c r="I22" s="7" t="s">
        <v>299</v>
      </c>
      <c r="J22" s="7" t="s">
        <v>259</v>
      </c>
      <c r="K22" s="7"/>
      <c r="L22" s="7"/>
      <c r="M22" s="7" t="s">
        <v>260</v>
      </c>
      <c r="N22" s="7" t="s">
        <v>284</v>
      </c>
      <c r="O22" s="7" t="s">
        <v>195</v>
      </c>
      <c r="P22" s="7"/>
      <c r="Q22" s="7" t="s">
        <v>318</v>
      </c>
      <c r="R22" s="7" t="s">
        <v>1568</v>
      </c>
    </row>
    <row r="23" spans="1:18">
      <c r="A23" s="7" t="s">
        <v>1605</v>
      </c>
      <c r="B23" s="7" t="s">
        <v>1587</v>
      </c>
      <c r="C23" s="7" t="s">
        <v>1566</v>
      </c>
      <c r="D23" s="7" t="s">
        <v>1130</v>
      </c>
      <c r="E23" s="7" t="s">
        <v>281</v>
      </c>
      <c r="F23" s="7" t="s">
        <v>269</v>
      </c>
      <c r="G23" s="7" t="s">
        <v>322</v>
      </c>
      <c r="H23" s="7" t="s">
        <v>115</v>
      </c>
      <c r="I23" s="7" t="s">
        <v>299</v>
      </c>
      <c r="J23" s="7" t="s">
        <v>399</v>
      </c>
      <c r="K23" s="7" t="s">
        <v>1351</v>
      </c>
      <c r="L23" s="7" t="s">
        <v>1606</v>
      </c>
      <c r="M23" s="7" t="s">
        <v>293</v>
      </c>
      <c r="N23" s="7" t="s">
        <v>276</v>
      </c>
      <c r="O23" s="7" t="s">
        <v>169</v>
      </c>
      <c r="P23" s="7" t="s">
        <v>8</v>
      </c>
      <c r="Q23" s="7" t="s">
        <v>326</v>
      </c>
      <c r="R23" s="7" t="s">
        <v>1568</v>
      </c>
    </row>
    <row r="24" spans="1:18">
      <c r="A24" s="7" t="s">
        <v>1607</v>
      </c>
      <c r="B24" s="7" t="s">
        <v>1570</v>
      </c>
      <c r="C24" s="7" t="s">
        <v>1087</v>
      </c>
      <c r="D24" s="7" t="s">
        <v>1299</v>
      </c>
      <c r="E24" s="7" t="s">
        <v>255</v>
      </c>
      <c r="F24" s="7" t="s">
        <v>409</v>
      </c>
      <c r="G24" s="7" t="s">
        <v>410</v>
      </c>
      <c r="H24" s="7" t="s">
        <v>115</v>
      </c>
      <c r="I24" s="7" t="s">
        <v>258</v>
      </c>
      <c r="J24" s="7" t="s">
        <v>469</v>
      </c>
      <c r="K24" s="7" t="s">
        <v>469</v>
      </c>
      <c r="L24" s="7" t="s">
        <v>753</v>
      </c>
      <c r="M24" s="7" t="s">
        <v>303</v>
      </c>
      <c r="N24" s="7" t="s">
        <v>412</v>
      </c>
      <c r="O24" s="7" t="s">
        <v>195</v>
      </c>
      <c r="P24" s="7" t="s">
        <v>17</v>
      </c>
      <c r="Q24" s="7" t="s">
        <v>262</v>
      </c>
      <c r="R24" s="7" t="s">
        <v>1568</v>
      </c>
    </row>
    <row r="25" spans="1:18">
      <c r="A25" s="7" t="s">
        <v>1608</v>
      </c>
      <c r="B25" s="7" t="s">
        <v>1609</v>
      </c>
      <c r="C25" s="7" t="s">
        <v>1409</v>
      </c>
      <c r="D25" s="7" t="s">
        <v>921</v>
      </c>
      <c r="E25" s="7" t="s">
        <v>339</v>
      </c>
      <c r="F25" s="7" t="s">
        <v>297</v>
      </c>
      <c r="G25" s="7" t="s">
        <v>780</v>
      </c>
      <c r="H25" s="7" t="s">
        <v>466</v>
      </c>
      <c r="I25" s="7" t="s">
        <v>316</v>
      </c>
      <c r="J25" s="7" t="s">
        <v>447</v>
      </c>
      <c r="K25" s="7"/>
      <c r="L25" s="7"/>
      <c r="M25" s="7" t="s">
        <v>260</v>
      </c>
      <c r="N25" s="7" t="s">
        <v>304</v>
      </c>
      <c r="O25" s="7" t="s">
        <v>195</v>
      </c>
      <c r="P25" s="7"/>
      <c r="Q25" s="7" t="s">
        <v>318</v>
      </c>
      <c r="R25" s="7" t="s">
        <v>1568</v>
      </c>
    </row>
    <row r="26" spans="1:18">
      <c r="A26" s="7" t="s">
        <v>1610</v>
      </c>
      <c r="B26" s="7" t="s">
        <v>1611</v>
      </c>
      <c r="C26" s="7" t="s">
        <v>1320</v>
      </c>
      <c r="D26" s="7" t="s">
        <v>909</v>
      </c>
      <c r="E26" s="7" t="s">
        <v>281</v>
      </c>
      <c r="F26" s="7" t="s">
        <v>256</v>
      </c>
      <c r="G26" s="7" t="s">
        <v>429</v>
      </c>
      <c r="H26" s="7" t="s">
        <v>115</v>
      </c>
      <c r="I26" s="7" t="s">
        <v>316</v>
      </c>
      <c r="J26" s="7" t="s">
        <v>341</v>
      </c>
      <c r="K26" s="7" t="s">
        <v>1612</v>
      </c>
      <c r="L26" s="7" t="s">
        <v>1613</v>
      </c>
      <c r="M26" s="7" t="s">
        <v>303</v>
      </c>
      <c r="N26" s="7" t="s">
        <v>261</v>
      </c>
      <c r="O26" s="7" t="s">
        <v>195</v>
      </c>
      <c r="P26" s="7" t="s">
        <v>14</v>
      </c>
      <c r="Q26" s="7" t="s">
        <v>285</v>
      </c>
      <c r="R26" s="7" t="s">
        <v>1568</v>
      </c>
    </row>
    <row r="27" spans="1:18">
      <c r="A27" s="7" t="s">
        <v>1614</v>
      </c>
      <c r="B27" s="7" t="s">
        <v>1615</v>
      </c>
      <c r="C27" s="7" t="s">
        <v>1359</v>
      </c>
      <c r="D27" s="7" t="s">
        <v>1537</v>
      </c>
      <c r="E27" s="7" t="s">
        <v>281</v>
      </c>
      <c r="F27" s="7" t="s">
        <v>269</v>
      </c>
      <c r="G27" s="7" t="s">
        <v>322</v>
      </c>
      <c r="H27" s="7" t="s">
        <v>115</v>
      </c>
      <c r="I27" s="7" t="s">
        <v>258</v>
      </c>
      <c r="J27" s="7" t="s">
        <v>272</v>
      </c>
      <c r="K27" s="7" t="s">
        <v>272</v>
      </c>
      <c r="L27" s="7" t="s">
        <v>1160</v>
      </c>
      <c r="M27" s="7" t="s">
        <v>275</v>
      </c>
      <c r="N27" s="7" t="s">
        <v>276</v>
      </c>
      <c r="O27" s="7" t="s">
        <v>195</v>
      </c>
      <c r="P27" s="7" t="s">
        <v>17</v>
      </c>
      <c r="Q27" s="7" t="s">
        <v>262</v>
      </c>
      <c r="R27" s="7" t="s">
        <v>1568</v>
      </c>
    </row>
    <row r="28" spans="1:18">
      <c r="A28" s="7" t="s">
        <v>1616</v>
      </c>
      <c r="B28" s="7" t="s">
        <v>1617</v>
      </c>
      <c r="C28" s="7" t="s">
        <v>1359</v>
      </c>
      <c r="D28" s="7" t="s">
        <v>1425</v>
      </c>
      <c r="E28" s="7" t="s">
        <v>268</v>
      </c>
      <c r="F28" s="7" t="s">
        <v>282</v>
      </c>
      <c r="G28" s="7" t="s">
        <v>524</v>
      </c>
      <c r="H28" s="7" t="s">
        <v>115</v>
      </c>
      <c r="I28" s="7" t="s">
        <v>271</v>
      </c>
      <c r="J28" s="7" t="s">
        <v>346</v>
      </c>
      <c r="K28" s="7" t="s">
        <v>602</v>
      </c>
      <c r="L28" s="7" t="s">
        <v>1618</v>
      </c>
      <c r="M28" s="7" t="s">
        <v>303</v>
      </c>
      <c r="N28" s="7" t="s">
        <v>284</v>
      </c>
      <c r="O28" s="7" t="s">
        <v>195</v>
      </c>
      <c r="P28" s="7" t="s">
        <v>8</v>
      </c>
      <c r="Q28" s="7" t="s">
        <v>326</v>
      </c>
      <c r="R28" s="7" t="s">
        <v>1568</v>
      </c>
    </row>
    <row r="29" spans="1:18">
      <c r="A29" s="7" t="s">
        <v>1619</v>
      </c>
      <c r="B29" s="7" t="s">
        <v>1620</v>
      </c>
      <c r="C29" s="7" t="s">
        <v>1279</v>
      </c>
      <c r="D29" s="7" t="s">
        <v>951</v>
      </c>
      <c r="E29" s="7" t="s">
        <v>281</v>
      </c>
      <c r="F29" s="7" t="s">
        <v>269</v>
      </c>
      <c r="G29" s="7" t="s">
        <v>322</v>
      </c>
      <c r="H29" s="7" t="s">
        <v>466</v>
      </c>
      <c r="I29" s="7" t="s">
        <v>299</v>
      </c>
      <c r="J29" s="7" t="s">
        <v>404</v>
      </c>
      <c r="K29" s="7"/>
      <c r="L29" s="7"/>
      <c r="M29" s="7" t="s">
        <v>260</v>
      </c>
      <c r="N29" s="7" t="s">
        <v>276</v>
      </c>
      <c r="O29" s="7" t="s">
        <v>195</v>
      </c>
      <c r="P29" s="7"/>
      <c r="Q29" s="7" t="s">
        <v>305</v>
      </c>
      <c r="R29" s="7" t="s">
        <v>1568</v>
      </c>
    </row>
    <row r="30" spans="1:18">
      <c r="A30" s="7" t="s">
        <v>1621</v>
      </c>
      <c r="B30" s="7" t="s">
        <v>1609</v>
      </c>
      <c r="C30" s="7" t="s">
        <v>1622</v>
      </c>
      <c r="D30" s="7" t="s">
        <v>795</v>
      </c>
      <c r="E30" s="7" t="s">
        <v>255</v>
      </c>
      <c r="F30" s="7" t="s">
        <v>282</v>
      </c>
      <c r="G30" s="7" t="s">
        <v>290</v>
      </c>
      <c r="H30" s="7" t="s">
        <v>115</v>
      </c>
      <c r="I30" s="7" t="s">
        <v>299</v>
      </c>
      <c r="J30" s="7" t="s">
        <v>259</v>
      </c>
      <c r="K30" s="7" t="s">
        <v>382</v>
      </c>
      <c r="L30" s="7" t="s">
        <v>1058</v>
      </c>
      <c r="M30" s="7" t="s">
        <v>303</v>
      </c>
      <c r="N30" s="7" t="s">
        <v>284</v>
      </c>
      <c r="O30" s="7" t="s">
        <v>195</v>
      </c>
      <c r="P30" s="7" t="s">
        <v>17</v>
      </c>
      <c r="Q30" s="7" t="s">
        <v>285</v>
      </c>
      <c r="R30" s="7" t="s">
        <v>1568</v>
      </c>
    </row>
    <row r="31" spans="1:18">
      <c r="A31" s="7" t="s">
        <v>1623</v>
      </c>
      <c r="B31" s="7" t="s">
        <v>1615</v>
      </c>
      <c r="C31" s="7" t="s">
        <v>1620</v>
      </c>
      <c r="D31" s="7" t="s">
        <v>315</v>
      </c>
      <c r="E31" s="7" t="s">
        <v>268</v>
      </c>
      <c r="F31" s="7" t="s">
        <v>282</v>
      </c>
      <c r="G31" s="7" t="s">
        <v>524</v>
      </c>
      <c r="H31" s="7" t="s">
        <v>115</v>
      </c>
      <c r="I31" s="7" t="s">
        <v>271</v>
      </c>
      <c r="J31" s="7" t="s">
        <v>399</v>
      </c>
      <c r="K31" s="7" t="s">
        <v>1009</v>
      </c>
      <c r="L31" s="7" t="s">
        <v>1307</v>
      </c>
      <c r="M31" s="7" t="s">
        <v>275</v>
      </c>
      <c r="N31" s="7" t="s">
        <v>284</v>
      </c>
      <c r="O31" s="7" t="s">
        <v>195</v>
      </c>
      <c r="P31" s="7" t="s">
        <v>14</v>
      </c>
      <c r="Q31" s="7" t="s">
        <v>285</v>
      </c>
      <c r="R31" s="7" t="s">
        <v>1568</v>
      </c>
    </row>
    <row r="32" spans="1:18">
      <c r="A32" s="7" t="s">
        <v>1624</v>
      </c>
      <c r="B32" s="7" t="s">
        <v>1625</v>
      </c>
      <c r="C32" s="7" t="s">
        <v>902</v>
      </c>
      <c r="D32" s="7" t="s">
        <v>500</v>
      </c>
      <c r="E32" s="7" t="s">
        <v>281</v>
      </c>
      <c r="F32" s="7" t="s">
        <v>297</v>
      </c>
      <c r="G32" s="7" t="s">
        <v>368</v>
      </c>
      <c r="H32" s="7" t="s">
        <v>122</v>
      </c>
      <c r="I32" s="7" t="s">
        <v>271</v>
      </c>
      <c r="J32" s="7" t="s">
        <v>332</v>
      </c>
      <c r="K32" s="7"/>
      <c r="L32" s="7"/>
      <c r="M32" s="7" t="s">
        <v>260</v>
      </c>
      <c r="N32" s="7" t="s">
        <v>304</v>
      </c>
      <c r="O32" s="7" t="s">
        <v>195</v>
      </c>
      <c r="P32" s="7"/>
      <c r="Q32" s="7" t="s">
        <v>318</v>
      </c>
      <c r="R32" s="7" t="s">
        <v>1568</v>
      </c>
    </row>
    <row r="33" spans="1:18">
      <c r="A33" s="7" t="s">
        <v>1626</v>
      </c>
      <c r="B33" s="7" t="s">
        <v>1627</v>
      </c>
      <c r="C33" s="7" t="s">
        <v>939</v>
      </c>
      <c r="D33" s="7" t="s">
        <v>1065</v>
      </c>
      <c r="E33" s="7" t="s">
        <v>339</v>
      </c>
      <c r="F33" s="7" t="s">
        <v>282</v>
      </c>
      <c r="G33" s="7" t="s">
        <v>564</v>
      </c>
      <c r="H33" s="7" t="s">
        <v>115</v>
      </c>
      <c r="I33" s="7" t="s">
        <v>258</v>
      </c>
      <c r="J33" s="7" t="s">
        <v>529</v>
      </c>
      <c r="K33" s="7" t="s">
        <v>1436</v>
      </c>
      <c r="L33" s="7" t="s">
        <v>1628</v>
      </c>
      <c r="M33" s="7" t="s">
        <v>275</v>
      </c>
      <c r="N33" s="7" t="s">
        <v>284</v>
      </c>
      <c r="O33" s="7" t="s">
        <v>169</v>
      </c>
      <c r="P33" s="7" t="s">
        <v>14</v>
      </c>
      <c r="Q33" s="7" t="s">
        <v>305</v>
      </c>
      <c r="R33" s="7" t="s">
        <v>1568</v>
      </c>
    </row>
    <row r="34" spans="1:18">
      <c r="A34" s="7" t="s">
        <v>1629</v>
      </c>
      <c r="B34" s="7" t="s">
        <v>1617</v>
      </c>
      <c r="C34" s="7" t="s">
        <v>1570</v>
      </c>
      <c r="D34" s="7" t="s">
        <v>1206</v>
      </c>
      <c r="E34" s="7" t="s">
        <v>339</v>
      </c>
      <c r="F34" s="7" t="s">
        <v>256</v>
      </c>
      <c r="G34" s="7" t="s">
        <v>403</v>
      </c>
      <c r="H34" s="7" t="s">
        <v>115</v>
      </c>
      <c r="I34" s="7" t="s">
        <v>299</v>
      </c>
      <c r="J34" s="7" t="s">
        <v>411</v>
      </c>
      <c r="K34" s="7" t="s">
        <v>1118</v>
      </c>
      <c r="L34" s="7" t="s">
        <v>595</v>
      </c>
      <c r="M34" s="7" t="s">
        <v>335</v>
      </c>
      <c r="N34" s="7" t="s">
        <v>261</v>
      </c>
      <c r="O34" s="7" t="s">
        <v>195</v>
      </c>
      <c r="P34" s="7" t="s">
        <v>14</v>
      </c>
      <c r="Q34" s="7" t="s">
        <v>326</v>
      </c>
      <c r="R34" s="7" t="s">
        <v>1568</v>
      </c>
    </row>
    <row r="35" spans="1:18">
      <c r="A35" s="7" t="s">
        <v>1630</v>
      </c>
      <c r="B35" s="7" t="s">
        <v>1627</v>
      </c>
      <c r="C35" s="7" t="s">
        <v>1285</v>
      </c>
      <c r="D35" s="7" t="s">
        <v>921</v>
      </c>
      <c r="E35" s="7" t="s">
        <v>268</v>
      </c>
      <c r="F35" s="7" t="s">
        <v>256</v>
      </c>
      <c r="G35" s="7" t="s">
        <v>419</v>
      </c>
      <c r="H35" s="7" t="s">
        <v>122</v>
      </c>
      <c r="I35" s="7" t="s">
        <v>316</v>
      </c>
      <c r="J35" s="7" t="s">
        <v>332</v>
      </c>
      <c r="K35" s="7"/>
      <c r="L35" s="7"/>
      <c r="M35" s="7" t="s">
        <v>260</v>
      </c>
      <c r="N35" s="7" t="s">
        <v>261</v>
      </c>
      <c r="O35" s="7" t="s">
        <v>195</v>
      </c>
      <c r="P35" s="7"/>
      <c r="Q35" s="7" t="s">
        <v>285</v>
      </c>
      <c r="R35" s="7" t="s">
        <v>1568</v>
      </c>
    </row>
    <row r="36" spans="1:18">
      <c r="A36" s="7" t="s">
        <v>1631</v>
      </c>
      <c r="B36" s="7" t="s">
        <v>1632</v>
      </c>
      <c r="C36" s="7" t="s">
        <v>993</v>
      </c>
      <c r="D36" s="7" t="s">
        <v>1189</v>
      </c>
      <c r="E36" s="7" t="s">
        <v>268</v>
      </c>
      <c r="F36" s="7" t="s">
        <v>256</v>
      </c>
      <c r="G36" s="7" t="s">
        <v>886</v>
      </c>
      <c r="H36" s="7" t="s">
        <v>787</v>
      </c>
      <c r="I36" s="7" t="s">
        <v>316</v>
      </c>
      <c r="J36" s="7" t="s">
        <v>447</v>
      </c>
      <c r="K36" s="7" t="s">
        <v>1527</v>
      </c>
      <c r="L36" s="7" t="s">
        <v>1633</v>
      </c>
      <c r="M36" s="7" t="s">
        <v>335</v>
      </c>
      <c r="N36" s="7" t="s">
        <v>261</v>
      </c>
      <c r="O36" s="7" t="s">
        <v>169</v>
      </c>
      <c r="P36" s="7" t="s">
        <v>14</v>
      </c>
      <c r="Q36" s="7" t="s">
        <v>326</v>
      </c>
      <c r="R36" s="7" t="s">
        <v>1568</v>
      </c>
    </row>
    <row r="37" spans="1:18">
      <c r="A37" s="7" t="s">
        <v>1634</v>
      </c>
      <c r="B37" s="7" t="s">
        <v>1576</v>
      </c>
      <c r="C37" s="7" t="s">
        <v>1320</v>
      </c>
      <c r="D37" s="7" t="s">
        <v>691</v>
      </c>
      <c r="E37" s="7" t="s">
        <v>268</v>
      </c>
      <c r="F37" s="7" t="s">
        <v>409</v>
      </c>
      <c r="G37" s="7" t="s">
        <v>552</v>
      </c>
      <c r="H37" s="7" t="s">
        <v>122</v>
      </c>
      <c r="I37" s="7" t="s">
        <v>316</v>
      </c>
      <c r="J37" s="7" t="s">
        <v>529</v>
      </c>
      <c r="K37" s="7"/>
      <c r="L37" s="7"/>
      <c r="M37" s="7" t="s">
        <v>260</v>
      </c>
      <c r="N37" s="7" t="s">
        <v>412</v>
      </c>
      <c r="O37" s="7" t="s">
        <v>195</v>
      </c>
      <c r="P37" s="7"/>
      <c r="Q37" s="7" t="s">
        <v>262</v>
      </c>
      <c r="R37" s="7" t="s">
        <v>1568</v>
      </c>
    </row>
    <row r="38" spans="1:18">
      <c r="A38" s="7" t="s">
        <v>1635</v>
      </c>
      <c r="B38" s="7" t="s">
        <v>1566</v>
      </c>
      <c r="C38" s="7" t="s">
        <v>1318</v>
      </c>
      <c r="D38" s="7" t="s">
        <v>877</v>
      </c>
      <c r="E38" s="7" t="s">
        <v>268</v>
      </c>
      <c r="F38" s="7" t="s">
        <v>297</v>
      </c>
      <c r="G38" s="7" t="s">
        <v>583</v>
      </c>
      <c r="H38" s="7" t="s">
        <v>115</v>
      </c>
      <c r="I38" s="7" t="s">
        <v>316</v>
      </c>
      <c r="J38" s="7" t="s">
        <v>272</v>
      </c>
      <c r="K38" s="7" t="s">
        <v>1168</v>
      </c>
      <c r="L38" s="7" t="s">
        <v>274</v>
      </c>
      <c r="M38" s="7" t="s">
        <v>293</v>
      </c>
      <c r="N38" s="7" t="s">
        <v>304</v>
      </c>
      <c r="O38" s="7" t="s">
        <v>169</v>
      </c>
      <c r="P38" s="7" t="s">
        <v>17</v>
      </c>
      <c r="Q38" s="7" t="s">
        <v>318</v>
      </c>
      <c r="R38" s="7" t="s">
        <v>1568</v>
      </c>
    </row>
    <row r="39" spans="1:18">
      <c r="A39" s="7" t="s">
        <v>1636</v>
      </c>
      <c r="B39" s="7" t="s">
        <v>1611</v>
      </c>
      <c r="C39" s="7" t="s">
        <v>1320</v>
      </c>
      <c r="D39" s="7" t="s">
        <v>704</v>
      </c>
      <c r="E39" s="7" t="s">
        <v>339</v>
      </c>
      <c r="F39" s="7" t="s">
        <v>282</v>
      </c>
      <c r="G39" s="7" t="s">
        <v>461</v>
      </c>
      <c r="H39" s="7" t="s">
        <v>115</v>
      </c>
      <c r="I39" s="7" t="s">
        <v>316</v>
      </c>
      <c r="J39" s="7" t="s">
        <v>525</v>
      </c>
      <c r="K39" s="7" t="s">
        <v>1440</v>
      </c>
      <c r="L39" s="7" t="s">
        <v>1637</v>
      </c>
      <c r="M39" s="7" t="s">
        <v>293</v>
      </c>
      <c r="N39" s="7" t="s">
        <v>284</v>
      </c>
      <c r="O39" s="7" t="s">
        <v>195</v>
      </c>
      <c r="P39" s="7" t="s">
        <v>17</v>
      </c>
      <c r="Q39" s="7" t="s">
        <v>326</v>
      </c>
      <c r="R39" s="7" t="s">
        <v>1568</v>
      </c>
    </row>
    <row r="40" spans="1:18">
      <c r="A40" s="7" t="s">
        <v>1638</v>
      </c>
      <c r="B40" s="7" t="s">
        <v>1620</v>
      </c>
      <c r="C40" s="7" t="s">
        <v>1571</v>
      </c>
      <c r="D40" s="7" t="s">
        <v>414</v>
      </c>
      <c r="E40" s="7" t="s">
        <v>268</v>
      </c>
      <c r="F40" s="7" t="s">
        <v>269</v>
      </c>
      <c r="G40" s="7" t="s">
        <v>270</v>
      </c>
      <c r="H40" s="7" t="s">
        <v>115</v>
      </c>
      <c r="I40" s="7" t="s">
        <v>258</v>
      </c>
      <c r="J40" s="7" t="s">
        <v>529</v>
      </c>
      <c r="K40" s="7" t="s">
        <v>770</v>
      </c>
      <c r="L40" s="7" t="s">
        <v>866</v>
      </c>
      <c r="M40" s="7" t="s">
        <v>293</v>
      </c>
      <c r="N40" s="7" t="s">
        <v>276</v>
      </c>
      <c r="O40" s="7" t="s">
        <v>169</v>
      </c>
      <c r="P40" s="7" t="s">
        <v>8</v>
      </c>
      <c r="Q40" s="7" t="s">
        <v>285</v>
      </c>
      <c r="R40" s="7" t="s">
        <v>1568</v>
      </c>
    </row>
    <row r="41" spans="1:18">
      <c r="A41" s="7" t="s">
        <v>1639</v>
      </c>
      <c r="B41" s="7" t="s">
        <v>1640</v>
      </c>
      <c r="C41" s="7" t="s">
        <v>1641</v>
      </c>
      <c r="D41" s="7" t="s">
        <v>594</v>
      </c>
      <c r="E41" s="7" t="s">
        <v>268</v>
      </c>
      <c r="F41" s="7" t="s">
        <v>256</v>
      </c>
      <c r="G41" s="7" t="s">
        <v>419</v>
      </c>
      <c r="H41" s="7" t="s">
        <v>115</v>
      </c>
      <c r="I41" s="7" t="s">
        <v>258</v>
      </c>
      <c r="J41" s="7" t="s">
        <v>525</v>
      </c>
      <c r="K41" s="7" t="s">
        <v>1642</v>
      </c>
      <c r="L41" s="7" t="s">
        <v>1643</v>
      </c>
      <c r="M41" s="7" t="s">
        <v>293</v>
      </c>
      <c r="N41" s="7" t="s">
        <v>261</v>
      </c>
      <c r="O41" s="7" t="s">
        <v>195</v>
      </c>
      <c r="P41" s="7" t="s">
        <v>17</v>
      </c>
      <c r="Q41" s="7" t="s">
        <v>305</v>
      </c>
      <c r="R41" s="7" t="s">
        <v>1568</v>
      </c>
    </row>
    <row r="42" spans="1:18">
      <c r="A42" s="7" t="s">
        <v>1644</v>
      </c>
      <c r="B42" s="7" t="s">
        <v>1641</v>
      </c>
      <c r="C42" s="7" t="s">
        <v>1309</v>
      </c>
      <c r="D42" s="7" t="s">
        <v>756</v>
      </c>
      <c r="E42" s="7" t="s">
        <v>281</v>
      </c>
      <c r="F42" s="7" t="s">
        <v>409</v>
      </c>
      <c r="G42" s="7" t="s">
        <v>535</v>
      </c>
      <c r="H42" s="7" t="s">
        <v>115</v>
      </c>
      <c r="I42" s="7" t="s">
        <v>258</v>
      </c>
      <c r="J42" s="7" t="s">
        <v>525</v>
      </c>
      <c r="K42" s="7" t="s">
        <v>1104</v>
      </c>
      <c r="L42" s="7" t="s">
        <v>529</v>
      </c>
      <c r="M42" s="7" t="s">
        <v>335</v>
      </c>
      <c r="N42" s="7" t="s">
        <v>412</v>
      </c>
      <c r="O42" s="7" t="s">
        <v>1645</v>
      </c>
      <c r="P42" s="7" t="s">
        <v>14</v>
      </c>
      <c r="Q42" s="7" t="s">
        <v>326</v>
      </c>
      <c r="R42" s="7" t="s">
        <v>1568</v>
      </c>
    </row>
    <row r="43" spans="1:18">
      <c r="A43" s="7" t="s">
        <v>1646</v>
      </c>
      <c r="B43" s="7" t="s">
        <v>1587</v>
      </c>
      <c r="C43" s="7" t="s">
        <v>1341</v>
      </c>
      <c r="D43" s="7" t="s">
        <v>845</v>
      </c>
      <c r="E43" s="7" t="s">
        <v>281</v>
      </c>
      <c r="F43" s="7" t="s">
        <v>297</v>
      </c>
      <c r="G43" s="7" t="s">
        <v>298</v>
      </c>
      <c r="H43" s="7" t="s">
        <v>115</v>
      </c>
      <c r="I43" s="7" t="s">
        <v>299</v>
      </c>
      <c r="J43" s="7" t="s">
        <v>272</v>
      </c>
      <c r="K43" s="7" t="s">
        <v>644</v>
      </c>
      <c r="L43" s="7" t="s">
        <v>1647</v>
      </c>
      <c r="M43" s="7" t="s">
        <v>293</v>
      </c>
      <c r="N43" s="7" t="s">
        <v>304</v>
      </c>
      <c r="O43" s="7" t="s">
        <v>195</v>
      </c>
      <c r="P43" s="7" t="s">
        <v>17</v>
      </c>
      <c r="Q43" s="7" t="s">
        <v>318</v>
      </c>
      <c r="R43" s="7" t="s">
        <v>1568</v>
      </c>
    </row>
    <row r="44" spans="1:18">
      <c r="A44" s="7" t="s">
        <v>1648</v>
      </c>
      <c r="B44" s="7" t="s">
        <v>1649</v>
      </c>
      <c r="C44" s="7" t="s">
        <v>894</v>
      </c>
      <c r="D44" s="7" t="s">
        <v>1650</v>
      </c>
      <c r="E44" s="7" t="s">
        <v>255</v>
      </c>
      <c r="F44" s="7" t="s">
        <v>256</v>
      </c>
      <c r="G44" s="7" t="s">
        <v>398</v>
      </c>
      <c r="H44" s="7" t="s">
        <v>115</v>
      </c>
      <c r="I44" s="7" t="s">
        <v>316</v>
      </c>
      <c r="J44" s="7" t="s">
        <v>525</v>
      </c>
      <c r="K44" s="7" t="s">
        <v>1440</v>
      </c>
      <c r="L44" s="7" t="s">
        <v>1128</v>
      </c>
      <c r="M44" s="7" t="s">
        <v>303</v>
      </c>
      <c r="N44" s="7" t="s">
        <v>261</v>
      </c>
      <c r="O44" s="7" t="s">
        <v>169</v>
      </c>
      <c r="P44" s="7" t="s">
        <v>17</v>
      </c>
      <c r="Q44" s="7" t="s">
        <v>285</v>
      </c>
      <c r="R44" s="7" t="s">
        <v>1568</v>
      </c>
    </row>
    <row r="45" spans="1:18">
      <c r="A45" s="7" t="s">
        <v>1651</v>
      </c>
      <c r="B45" s="7" t="s">
        <v>1604</v>
      </c>
      <c r="C45" s="7" t="s">
        <v>903</v>
      </c>
      <c r="D45" s="7" t="s">
        <v>1227</v>
      </c>
      <c r="E45" s="7" t="s">
        <v>339</v>
      </c>
      <c r="F45" s="7" t="s">
        <v>297</v>
      </c>
      <c r="G45" s="7" t="s">
        <v>569</v>
      </c>
      <c r="H45" s="7" t="s">
        <v>115</v>
      </c>
      <c r="I45" s="7" t="s">
        <v>316</v>
      </c>
      <c r="J45" s="7" t="s">
        <v>300</v>
      </c>
      <c r="K45" s="7" t="s">
        <v>793</v>
      </c>
      <c r="L45" s="7" t="s">
        <v>1652</v>
      </c>
      <c r="M45" s="7" t="s">
        <v>303</v>
      </c>
      <c r="N45" s="7" t="s">
        <v>304</v>
      </c>
      <c r="O45" s="7" t="s">
        <v>195</v>
      </c>
      <c r="P45" s="7" t="s">
        <v>14</v>
      </c>
      <c r="Q45" s="7" t="s">
        <v>326</v>
      </c>
      <c r="R45" s="7" t="s">
        <v>1568</v>
      </c>
    </row>
    <row r="46" spans="1:18">
      <c r="A46" s="7" t="s">
        <v>1653</v>
      </c>
      <c r="B46" s="7" t="s">
        <v>1641</v>
      </c>
      <c r="C46" s="7" t="s">
        <v>1318</v>
      </c>
      <c r="D46" s="7" t="s">
        <v>408</v>
      </c>
      <c r="E46" s="7" t="s">
        <v>339</v>
      </c>
      <c r="F46" s="7" t="s">
        <v>409</v>
      </c>
      <c r="G46" s="7" t="s">
        <v>476</v>
      </c>
      <c r="H46" s="7" t="s">
        <v>115</v>
      </c>
      <c r="I46" s="7" t="s">
        <v>316</v>
      </c>
      <c r="J46" s="7" t="s">
        <v>259</v>
      </c>
      <c r="K46" s="7" t="s">
        <v>1654</v>
      </c>
      <c r="L46" s="7" t="s">
        <v>1655</v>
      </c>
      <c r="M46" s="7" t="s">
        <v>303</v>
      </c>
      <c r="N46" s="7" t="s">
        <v>412</v>
      </c>
      <c r="O46" s="7" t="s">
        <v>195</v>
      </c>
      <c r="P46" s="7" t="s">
        <v>17</v>
      </c>
      <c r="Q46" s="7" t="s">
        <v>285</v>
      </c>
      <c r="R46" s="7" t="s">
        <v>1568</v>
      </c>
    </row>
    <row r="47" spans="1:18">
      <c r="A47" s="7" t="s">
        <v>1656</v>
      </c>
      <c r="B47" s="7" t="s">
        <v>1571</v>
      </c>
      <c r="C47" s="7" t="s">
        <v>1087</v>
      </c>
      <c r="D47" s="7" t="s">
        <v>280</v>
      </c>
      <c r="E47" s="7" t="s">
        <v>255</v>
      </c>
      <c r="F47" s="7" t="s">
        <v>282</v>
      </c>
      <c r="G47" s="7" t="s">
        <v>424</v>
      </c>
      <c r="H47" s="7" t="s">
        <v>127</v>
      </c>
      <c r="I47" s="7" t="s">
        <v>258</v>
      </c>
      <c r="J47" s="7" t="s">
        <v>272</v>
      </c>
      <c r="K47" s="7"/>
      <c r="L47" s="7"/>
      <c r="M47" s="7" t="s">
        <v>260</v>
      </c>
      <c r="N47" s="7" t="s">
        <v>284</v>
      </c>
      <c r="O47" s="7" t="s">
        <v>195</v>
      </c>
      <c r="P47" s="7"/>
      <c r="Q47" s="7" t="s">
        <v>285</v>
      </c>
      <c r="R47" s="7" t="s">
        <v>1568</v>
      </c>
    </row>
    <row r="48" spans="1:18">
      <c r="A48" s="7" t="s">
        <v>1657</v>
      </c>
      <c r="B48" s="7" t="s">
        <v>1640</v>
      </c>
      <c r="C48" s="7" t="s">
        <v>913</v>
      </c>
      <c r="D48" s="7" t="s">
        <v>837</v>
      </c>
      <c r="E48" s="7" t="s">
        <v>1658</v>
      </c>
      <c r="F48" s="7" t="s">
        <v>269</v>
      </c>
      <c r="G48" s="7" t="s">
        <v>363</v>
      </c>
      <c r="H48" s="7" t="s">
        <v>115</v>
      </c>
      <c r="I48" s="7" t="s">
        <v>299</v>
      </c>
      <c r="J48" s="7" t="s">
        <v>259</v>
      </c>
      <c r="K48" s="7" t="s">
        <v>370</v>
      </c>
      <c r="L48" s="7" t="s">
        <v>1659</v>
      </c>
      <c r="M48" s="7" t="s">
        <v>293</v>
      </c>
      <c r="N48" s="7" t="s">
        <v>276</v>
      </c>
      <c r="O48" s="7" t="s">
        <v>195</v>
      </c>
      <c r="P48" s="7" t="s">
        <v>11</v>
      </c>
      <c r="Q48" s="7" t="s">
        <v>262</v>
      </c>
      <c r="R48" s="7" t="s">
        <v>1568</v>
      </c>
    </row>
    <row r="49" spans="1:18">
      <c r="A49" s="7" t="s">
        <v>1660</v>
      </c>
      <c r="B49" s="7" t="s">
        <v>1609</v>
      </c>
      <c r="C49" s="7" t="s">
        <v>1288</v>
      </c>
      <c r="D49" s="7" t="s">
        <v>682</v>
      </c>
      <c r="E49" s="7" t="s">
        <v>255</v>
      </c>
      <c r="F49" s="7" t="s">
        <v>256</v>
      </c>
      <c r="G49" s="7" t="s">
        <v>257</v>
      </c>
      <c r="H49" s="7" t="s">
        <v>115</v>
      </c>
      <c r="I49" s="7" t="s">
        <v>258</v>
      </c>
      <c r="J49" s="7" t="s">
        <v>447</v>
      </c>
      <c r="K49" s="7" t="s">
        <v>1370</v>
      </c>
      <c r="L49" s="7" t="s">
        <v>1263</v>
      </c>
      <c r="M49" s="7" t="s">
        <v>335</v>
      </c>
      <c r="N49" s="7" t="s">
        <v>261</v>
      </c>
      <c r="O49" s="7" t="s">
        <v>195</v>
      </c>
      <c r="P49" s="7" t="s">
        <v>11</v>
      </c>
      <c r="Q49" s="7" t="s">
        <v>318</v>
      </c>
      <c r="R49" s="7" t="s">
        <v>1568</v>
      </c>
    </row>
    <row r="50" spans="1:18">
      <c r="A50" s="7" t="s">
        <v>1661</v>
      </c>
      <c r="B50" s="7" t="s">
        <v>1587</v>
      </c>
      <c r="C50" s="7" t="s">
        <v>924</v>
      </c>
      <c r="D50" s="7" t="s">
        <v>1231</v>
      </c>
      <c r="E50" s="7" t="s">
        <v>268</v>
      </c>
      <c r="F50" s="7" t="s">
        <v>409</v>
      </c>
      <c r="G50" s="7" t="s">
        <v>587</v>
      </c>
      <c r="H50" s="7" t="s">
        <v>115</v>
      </c>
      <c r="I50" s="7" t="s">
        <v>271</v>
      </c>
      <c r="J50" s="7" t="s">
        <v>469</v>
      </c>
      <c r="K50" s="7" t="s">
        <v>1662</v>
      </c>
      <c r="L50" s="7" t="s">
        <v>640</v>
      </c>
      <c r="M50" s="7" t="s">
        <v>293</v>
      </c>
      <c r="N50" s="7" t="s">
        <v>412</v>
      </c>
      <c r="O50" s="7" t="s">
        <v>169</v>
      </c>
      <c r="P50" s="7" t="s">
        <v>8</v>
      </c>
      <c r="Q50" s="7" t="s">
        <v>262</v>
      </c>
      <c r="R50" s="7" t="s">
        <v>1568</v>
      </c>
    </row>
    <row r="51" spans="1:18">
      <c r="A51" s="7" t="s">
        <v>1663</v>
      </c>
      <c r="B51" s="7" t="s">
        <v>1632</v>
      </c>
      <c r="C51" s="7" t="s">
        <v>1283</v>
      </c>
      <c r="D51" s="7" t="s">
        <v>882</v>
      </c>
      <c r="E51" s="7" t="s">
        <v>339</v>
      </c>
      <c r="F51" s="7" t="s">
        <v>256</v>
      </c>
      <c r="G51" s="7" t="s">
        <v>345</v>
      </c>
      <c r="H51" s="7" t="s">
        <v>115</v>
      </c>
      <c r="I51" s="7" t="s">
        <v>258</v>
      </c>
      <c r="J51" s="7" t="s">
        <v>529</v>
      </c>
      <c r="K51" s="7" t="s">
        <v>598</v>
      </c>
      <c r="L51" s="7" t="s">
        <v>1194</v>
      </c>
      <c r="M51" s="7" t="s">
        <v>335</v>
      </c>
      <c r="N51" s="7" t="s">
        <v>261</v>
      </c>
      <c r="O51" s="7" t="s">
        <v>195</v>
      </c>
      <c r="P51" s="7" t="s">
        <v>17</v>
      </c>
      <c r="Q51" s="7" t="s">
        <v>326</v>
      </c>
      <c r="R51" s="7" t="s">
        <v>1568</v>
      </c>
    </row>
    <row r="52" spans="1:18">
      <c r="A52" s="7" t="s">
        <v>1664</v>
      </c>
      <c r="B52" s="7" t="s">
        <v>1573</v>
      </c>
      <c r="C52" s="7" t="s">
        <v>1363</v>
      </c>
      <c r="D52" s="7" t="s">
        <v>1022</v>
      </c>
      <c r="E52" s="7" t="s">
        <v>268</v>
      </c>
      <c r="F52" s="7" t="s">
        <v>297</v>
      </c>
      <c r="G52" s="7" t="s">
        <v>583</v>
      </c>
      <c r="H52" s="7" t="s">
        <v>115</v>
      </c>
      <c r="I52" s="7" t="s">
        <v>846</v>
      </c>
      <c r="J52" s="7" t="s">
        <v>272</v>
      </c>
      <c r="K52" s="7" t="s">
        <v>425</v>
      </c>
      <c r="L52" s="7" t="s">
        <v>784</v>
      </c>
      <c r="M52" s="7" t="s">
        <v>293</v>
      </c>
      <c r="N52" s="7" t="s">
        <v>304</v>
      </c>
      <c r="O52" s="7" t="s">
        <v>169</v>
      </c>
      <c r="P52" s="7" t="s">
        <v>17</v>
      </c>
      <c r="Q52" s="7" t="s">
        <v>305</v>
      </c>
      <c r="R52" s="7" t="s">
        <v>1568</v>
      </c>
    </row>
    <row r="53" spans="1:18">
      <c r="A53" s="7" t="s">
        <v>1665</v>
      </c>
      <c r="B53" s="7" t="s">
        <v>1566</v>
      </c>
      <c r="C53" s="7" t="s">
        <v>1343</v>
      </c>
      <c r="D53" s="7" t="s">
        <v>951</v>
      </c>
      <c r="E53" s="7" t="s">
        <v>339</v>
      </c>
      <c r="F53" s="7" t="s">
        <v>256</v>
      </c>
      <c r="G53" s="7" t="s">
        <v>345</v>
      </c>
      <c r="H53" s="7" t="s">
        <v>115</v>
      </c>
      <c r="I53" s="7" t="s">
        <v>316</v>
      </c>
      <c r="J53" s="7" t="s">
        <v>469</v>
      </c>
      <c r="K53" s="7" t="s">
        <v>640</v>
      </c>
      <c r="L53" s="7" t="s">
        <v>469</v>
      </c>
      <c r="M53" s="7" t="s">
        <v>335</v>
      </c>
      <c r="N53" s="7" t="s">
        <v>261</v>
      </c>
      <c r="O53" s="7" t="s">
        <v>195</v>
      </c>
      <c r="P53" s="7" t="s">
        <v>17</v>
      </c>
      <c r="Q53" s="7" t="s">
        <v>326</v>
      </c>
      <c r="R53" s="7" t="s">
        <v>1568</v>
      </c>
    </row>
    <row r="54" spans="1:18">
      <c r="A54" s="7" t="s">
        <v>1666</v>
      </c>
      <c r="B54" s="7" t="s">
        <v>1580</v>
      </c>
      <c r="C54" s="7" t="s">
        <v>1314</v>
      </c>
      <c r="D54" s="7" t="s">
        <v>879</v>
      </c>
      <c r="E54" s="7" t="s">
        <v>255</v>
      </c>
      <c r="F54" s="7" t="s">
        <v>409</v>
      </c>
      <c r="G54" s="7" t="s">
        <v>648</v>
      </c>
      <c r="H54" s="7" t="s">
        <v>127</v>
      </c>
      <c r="I54" s="7" t="s">
        <v>299</v>
      </c>
      <c r="J54" s="7" t="s">
        <v>399</v>
      </c>
      <c r="K54" s="7"/>
      <c r="L54" s="7"/>
      <c r="M54" s="7" t="s">
        <v>260</v>
      </c>
      <c r="N54" s="7" t="s">
        <v>412</v>
      </c>
      <c r="O54" s="7" t="s">
        <v>195</v>
      </c>
      <c r="P54" s="7"/>
      <c r="Q54" s="7" t="s">
        <v>326</v>
      </c>
      <c r="R54" s="7" t="s">
        <v>1568</v>
      </c>
    </row>
    <row r="55" spans="1:18">
      <c r="A55" s="7" t="s">
        <v>1667</v>
      </c>
      <c r="B55" s="7" t="s">
        <v>1591</v>
      </c>
      <c r="C55" s="7" t="s">
        <v>1641</v>
      </c>
      <c r="D55" s="7" t="s">
        <v>508</v>
      </c>
      <c r="E55" s="7" t="s">
        <v>339</v>
      </c>
      <c r="F55" s="7" t="s">
        <v>269</v>
      </c>
      <c r="G55" s="7" t="s">
        <v>340</v>
      </c>
      <c r="H55" s="7" t="s">
        <v>115</v>
      </c>
      <c r="I55" s="7" t="s">
        <v>299</v>
      </c>
      <c r="J55" s="7" t="s">
        <v>351</v>
      </c>
      <c r="K55" s="7" t="s">
        <v>1668</v>
      </c>
      <c r="L55" s="7" t="s">
        <v>1594</v>
      </c>
      <c r="M55" s="7" t="s">
        <v>303</v>
      </c>
      <c r="N55" s="7" t="s">
        <v>276</v>
      </c>
      <c r="O55" s="7" t="s">
        <v>195</v>
      </c>
      <c r="P55" s="7" t="s">
        <v>14</v>
      </c>
      <c r="Q55" s="7" t="s">
        <v>318</v>
      </c>
      <c r="R55" s="7" t="s">
        <v>1568</v>
      </c>
    </row>
    <row r="56" spans="1:18">
      <c r="A56" s="7" t="s">
        <v>1669</v>
      </c>
      <c r="B56" s="7" t="s">
        <v>1573</v>
      </c>
      <c r="C56" s="7" t="s">
        <v>1604</v>
      </c>
      <c r="D56" s="7" t="s">
        <v>610</v>
      </c>
      <c r="E56" s="7" t="s">
        <v>255</v>
      </c>
      <c r="F56" s="7" t="s">
        <v>297</v>
      </c>
      <c r="G56" s="7" t="s">
        <v>331</v>
      </c>
      <c r="H56" s="7" t="s">
        <v>115</v>
      </c>
      <c r="I56" s="7" t="s">
        <v>299</v>
      </c>
      <c r="J56" s="7" t="s">
        <v>259</v>
      </c>
      <c r="K56" s="7" t="s">
        <v>1406</v>
      </c>
      <c r="L56" s="7" t="s">
        <v>1006</v>
      </c>
      <c r="M56" s="7" t="s">
        <v>293</v>
      </c>
      <c r="N56" s="7" t="s">
        <v>304</v>
      </c>
      <c r="O56" s="7" t="s">
        <v>195</v>
      </c>
      <c r="P56" s="7" t="s">
        <v>17</v>
      </c>
      <c r="Q56" s="7" t="s">
        <v>262</v>
      </c>
      <c r="R56" s="7" t="s">
        <v>1568</v>
      </c>
    </row>
    <row r="57" spans="1:18">
      <c r="A57" s="7" t="s">
        <v>1670</v>
      </c>
      <c r="B57" s="7" t="s">
        <v>1566</v>
      </c>
      <c r="C57" s="7" t="s">
        <v>1087</v>
      </c>
      <c r="D57" s="7" t="s">
        <v>296</v>
      </c>
      <c r="E57" s="7" t="s">
        <v>339</v>
      </c>
      <c r="F57" s="7" t="s">
        <v>409</v>
      </c>
      <c r="G57" s="7" t="s">
        <v>476</v>
      </c>
      <c r="H57" s="7" t="s">
        <v>115</v>
      </c>
      <c r="I57" s="7" t="s">
        <v>299</v>
      </c>
      <c r="J57" s="7" t="s">
        <v>469</v>
      </c>
      <c r="K57" s="7" t="s">
        <v>866</v>
      </c>
      <c r="L57" s="7" t="s">
        <v>1099</v>
      </c>
      <c r="M57" s="7" t="s">
        <v>303</v>
      </c>
      <c r="N57" s="7" t="s">
        <v>412</v>
      </c>
      <c r="O57" s="7" t="s">
        <v>195</v>
      </c>
      <c r="P57" s="7" t="s">
        <v>14</v>
      </c>
      <c r="Q57" s="7" t="s">
        <v>262</v>
      </c>
      <c r="R57" s="7" t="s">
        <v>1568</v>
      </c>
    </row>
    <row r="58" spans="1:18">
      <c r="A58" s="7" t="s">
        <v>1671</v>
      </c>
      <c r="B58" s="7" t="s">
        <v>1578</v>
      </c>
      <c r="C58" s="7" t="s">
        <v>974</v>
      </c>
      <c r="D58" s="7" t="s">
        <v>523</v>
      </c>
      <c r="E58" s="7" t="s">
        <v>255</v>
      </c>
      <c r="F58" s="7" t="s">
        <v>256</v>
      </c>
      <c r="G58" s="7" t="s">
        <v>398</v>
      </c>
      <c r="H58" s="7" t="s">
        <v>115</v>
      </c>
      <c r="I58" s="7" t="s">
        <v>271</v>
      </c>
      <c r="J58" s="7" t="s">
        <v>525</v>
      </c>
      <c r="K58" s="7" t="s">
        <v>1128</v>
      </c>
      <c r="L58" s="7" t="s">
        <v>1672</v>
      </c>
      <c r="M58" s="7" t="s">
        <v>335</v>
      </c>
      <c r="N58" s="7" t="s">
        <v>888</v>
      </c>
      <c r="O58" s="7" t="s">
        <v>195</v>
      </c>
      <c r="P58" s="7" t="s">
        <v>17</v>
      </c>
      <c r="Q58" s="7" t="s">
        <v>318</v>
      </c>
      <c r="R58" s="7" t="s">
        <v>1568</v>
      </c>
    </row>
    <row r="59" spans="1:18">
      <c r="A59" s="7" t="s">
        <v>1673</v>
      </c>
      <c r="B59" s="7" t="s">
        <v>1641</v>
      </c>
      <c r="C59" s="7" t="s">
        <v>1087</v>
      </c>
      <c r="D59" s="7" t="s">
        <v>1508</v>
      </c>
      <c r="E59" s="7" t="s">
        <v>339</v>
      </c>
      <c r="F59" s="7" t="s">
        <v>282</v>
      </c>
      <c r="G59" s="7" t="s">
        <v>564</v>
      </c>
      <c r="H59" s="7" t="s">
        <v>127</v>
      </c>
      <c r="I59" s="7" t="s">
        <v>271</v>
      </c>
      <c r="J59" s="7" t="s">
        <v>300</v>
      </c>
      <c r="K59" s="7"/>
      <c r="L59" s="7"/>
      <c r="M59" s="7" t="s">
        <v>260</v>
      </c>
      <c r="N59" s="7" t="s">
        <v>284</v>
      </c>
      <c r="O59" s="7" t="s">
        <v>195</v>
      </c>
      <c r="P59" s="7"/>
      <c r="Q59" s="7" t="s">
        <v>318</v>
      </c>
      <c r="R59" s="7" t="s">
        <v>1568</v>
      </c>
    </row>
    <row r="60" spans="1:18">
      <c r="A60" s="7" t="s">
        <v>1674</v>
      </c>
      <c r="B60" s="7" t="s">
        <v>1571</v>
      </c>
      <c r="C60" s="7" t="s">
        <v>898</v>
      </c>
      <c r="D60" s="7" t="s">
        <v>1110</v>
      </c>
      <c r="E60" s="7" t="s">
        <v>255</v>
      </c>
      <c r="F60" s="7" t="s">
        <v>269</v>
      </c>
      <c r="G60" s="7" t="s">
        <v>542</v>
      </c>
      <c r="H60" s="7" t="s">
        <v>122</v>
      </c>
      <c r="I60" s="7" t="s">
        <v>271</v>
      </c>
      <c r="J60" s="7" t="s">
        <v>351</v>
      </c>
      <c r="K60" s="7"/>
      <c r="L60" s="7"/>
      <c r="M60" s="7" t="s">
        <v>260</v>
      </c>
      <c r="N60" s="7" t="s">
        <v>276</v>
      </c>
      <c r="O60" s="7" t="s">
        <v>195</v>
      </c>
      <c r="P60" s="7"/>
      <c r="Q60" s="7" t="s">
        <v>305</v>
      </c>
      <c r="R60" s="7" t="s">
        <v>1568</v>
      </c>
    </row>
    <row r="61" spans="1:18">
      <c r="A61" s="7" t="s">
        <v>1675</v>
      </c>
      <c r="B61" s="7" t="s">
        <v>1580</v>
      </c>
      <c r="C61" s="7" t="s">
        <v>1003</v>
      </c>
      <c r="D61" s="7" t="s">
        <v>921</v>
      </c>
      <c r="E61" s="7" t="s">
        <v>339</v>
      </c>
      <c r="F61" s="7" t="s">
        <v>269</v>
      </c>
      <c r="G61" s="7" t="s">
        <v>340</v>
      </c>
      <c r="H61" s="7" t="s">
        <v>115</v>
      </c>
      <c r="I61" s="7" t="s">
        <v>316</v>
      </c>
      <c r="J61" s="7" t="s">
        <v>525</v>
      </c>
      <c r="K61" s="7" t="s">
        <v>975</v>
      </c>
      <c r="L61" s="7" t="s">
        <v>1676</v>
      </c>
      <c r="M61" s="7" t="s">
        <v>303</v>
      </c>
      <c r="N61" s="7" t="s">
        <v>276</v>
      </c>
      <c r="O61" s="7" t="s">
        <v>195</v>
      </c>
      <c r="P61" s="7" t="s">
        <v>14</v>
      </c>
      <c r="Q61" s="7" t="s">
        <v>318</v>
      </c>
      <c r="R61" s="7" t="s">
        <v>1568</v>
      </c>
    </row>
    <row r="62" spans="1:18">
      <c r="A62" s="7" t="s">
        <v>1677</v>
      </c>
      <c r="B62" s="7" t="s">
        <v>1615</v>
      </c>
      <c r="C62" s="7" t="s">
        <v>1609</v>
      </c>
      <c r="D62" s="7" t="s">
        <v>450</v>
      </c>
      <c r="E62" s="7" t="s">
        <v>281</v>
      </c>
      <c r="F62" s="7" t="s">
        <v>409</v>
      </c>
      <c r="G62" s="7" t="s">
        <v>496</v>
      </c>
      <c r="H62" s="7" t="s">
        <v>115</v>
      </c>
      <c r="I62" s="7" t="s">
        <v>258</v>
      </c>
      <c r="J62" s="7" t="s">
        <v>351</v>
      </c>
      <c r="K62" s="7" t="s">
        <v>917</v>
      </c>
      <c r="L62" s="7" t="s">
        <v>1023</v>
      </c>
      <c r="M62" s="7" t="s">
        <v>303</v>
      </c>
      <c r="N62" s="7" t="s">
        <v>412</v>
      </c>
      <c r="O62" s="7" t="s">
        <v>195</v>
      </c>
      <c r="P62" s="7" t="s">
        <v>14</v>
      </c>
      <c r="Q62" s="7" t="s">
        <v>318</v>
      </c>
      <c r="R62" s="7" t="s">
        <v>1568</v>
      </c>
    </row>
    <row r="63" spans="1:18">
      <c r="A63" s="7" t="s">
        <v>1678</v>
      </c>
      <c r="B63" s="7" t="s">
        <v>1640</v>
      </c>
      <c r="C63" s="7" t="s">
        <v>902</v>
      </c>
      <c r="D63" s="7" t="s">
        <v>1537</v>
      </c>
      <c r="E63" s="7" t="s">
        <v>281</v>
      </c>
      <c r="F63" s="7" t="s">
        <v>282</v>
      </c>
      <c r="G63" s="7" t="s">
        <v>446</v>
      </c>
      <c r="H63" s="7" t="s">
        <v>115</v>
      </c>
      <c r="I63" s="7" t="s">
        <v>258</v>
      </c>
      <c r="J63" s="7" t="s">
        <v>272</v>
      </c>
      <c r="K63" s="7" t="s">
        <v>784</v>
      </c>
      <c r="L63" s="7" t="s">
        <v>544</v>
      </c>
      <c r="M63" s="7" t="s">
        <v>293</v>
      </c>
      <c r="N63" s="7" t="s">
        <v>284</v>
      </c>
      <c r="O63" s="7" t="s">
        <v>195</v>
      </c>
      <c r="P63" s="7" t="s">
        <v>8</v>
      </c>
      <c r="Q63" s="7" t="s">
        <v>318</v>
      </c>
      <c r="R63" s="7" t="s">
        <v>1568</v>
      </c>
    </row>
    <row r="64" spans="1:18">
      <c r="A64" s="7" t="s">
        <v>1679</v>
      </c>
      <c r="B64" s="7" t="s">
        <v>1680</v>
      </c>
      <c r="C64" s="7" t="s">
        <v>1311</v>
      </c>
      <c r="D64" s="7" t="s">
        <v>558</v>
      </c>
      <c r="E64" s="7" t="s">
        <v>268</v>
      </c>
      <c r="F64" s="7" t="s">
        <v>409</v>
      </c>
      <c r="G64" s="7" t="s">
        <v>587</v>
      </c>
      <c r="H64" s="7" t="s">
        <v>115</v>
      </c>
      <c r="I64" s="7" t="s">
        <v>299</v>
      </c>
      <c r="J64" s="7" t="s">
        <v>469</v>
      </c>
      <c r="K64" s="7" t="s">
        <v>1681</v>
      </c>
      <c r="L64" s="7" t="s">
        <v>477</v>
      </c>
      <c r="M64" s="7" t="s">
        <v>335</v>
      </c>
      <c r="N64" s="7" t="s">
        <v>412</v>
      </c>
      <c r="O64" s="7" t="s">
        <v>195</v>
      </c>
      <c r="P64" s="7" t="s">
        <v>8</v>
      </c>
      <c r="Q64" s="7" t="s">
        <v>262</v>
      </c>
      <c r="R64" s="7" t="s">
        <v>1568</v>
      </c>
    </row>
    <row r="65" spans="1:18">
      <c r="A65" s="7" t="s">
        <v>1682</v>
      </c>
      <c r="B65" s="7" t="s">
        <v>1625</v>
      </c>
      <c r="C65" s="7" t="s">
        <v>1288</v>
      </c>
      <c r="D65" s="7" t="s">
        <v>995</v>
      </c>
      <c r="E65" s="7" t="s">
        <v>281</v>
      </c>
      <c r="F65" s="7" t="s">
        <v>409</v>
      </c>
      <c r="G65" s="7" t="s">
        <v>535</v>
      </c>
      <c r="H65" s="7" t="s">
        <v>122</v>
      </c>
      <c r="I65" s="7" t="s">
        <v>299</v>
      </c>
      <c r="J65" s="7" t="s">
        <v>358</v>
      </c>
      <c r="K65" s="7"/>
      <c r="L65" s="7"/>
      <c r="M65" s="7" t="s">
        <v>260</v>
      </c>
      <c r="N65" s="7" t="s">
        <v>412</v>
      </c>
      <c r="O65" s="7" t="s">
        <v>195</v>
      </c>
      <c r="P65" s="7"/>
      <c r="Q65" s="7" t="s">
        <v>326</v>
      </c>
      <c r="R65" s="7" t="s">
        <v>1568</v>
      </c>
    </row>
    <row r="66" spans="1:18">
      <c r="A66" s="7" t="s">
        <v>1683</v>
      </c>
      <c r="B66" s="7" t="s">
        <v>1632</v>
      </c>
      <c r="C66" s="7" t="s">
        <v>1030</v>
      </c>
      <c r="D66" s="7" t="s">
        <v>1144</v>
      </c>
      <c r="E66" s="7" t="s">
        <v>339</v>
      </c>
      <c r="F66" s="7" t="s">
        <v>580</v>
      </c>
      <c r="G66" s="7" t="s">
        <v>569</v>
      </c>
      <c r="H66" s="7" t="s">
        <v>115</v>
      </c>
      <c r="I66" s="7" t="s">
        <v>316</v>
      </c>
      <c r="J66" s="7" t="s">
        <v>346</v>
      </c>
      <c r="K66" s="7" t="s">
        <v>1046</v>
      </c>
      <c r="L66" s="7" t="s">
        <v>1684</v>
      </c>
      <c r="M66" s="7" t="s">
        <v>303</v>
      </c>
      <c r="N66" s="7" t="s">
        <v>304</v>
      </c>
      <c r="O66" s="7" t="s">
        <v>169</v>
      </c>
      <c r="P66" s="7" t="s">
        <v>8</v>
      </c>
      <c r="Q66" s="7" t="s">
        <v>262</v>
      </c>
      <c r="R66" s="7" t="s">
        <v>1568</v>
      </c>
    </row>
    <row r="67" spans="1:18">
      <c r="A67" s="7" t="s">
        <v>1685</v>
      </c>
      <c r="B67" s="7" t="s">
        <v>1611</v>
      </c>
      <c r="C67" s="7" t="s">
        <v>1640</v>
      </c>
      <c r="D67" s="7" t="s">
        <v>1237</v>
      </c>
      <c r="E67" s="7" t="s">
        <v>281</v>
      </c>
      <c r="F67" s="7" t="s">
        <v>409</v>
      </c>
      <c r="G67" s="7" t="s">
        <v>496</v>
      </c>
      <c r="H67" s="7" t="s">
        <v>451</v>
      </c>
      <c r="I67" s="7" t="s">
        <v>258</v>
      </c>
      <c r="J67" s="7" t="s">
        <v>259</v>
      </c>
      <c r="K67" s="7" t="s">
        <v>259</v>
      </c>
      <c r="L67" s="7" t="s">
        <v>358</v>
      </c>
      <c r="M67" s="7" t="s">
        <v>275</v>
      </c>
      <c r="N67" s="7" t="s">
        <v>412</v>
      </c>
      <c r="O67" s="7" t="s">
        <v>195</v>
      </c>
      <c r="P67" s="7" t="s">
        <v>14</v>
      </c>
      <c r="Q67" s="7" t="s">
        <v>262</v>
      </c>
      <c r="R67" s="7" t="s">
        <v>1568</v>
      </c>
    </row>
    <row r="68" spans="1:18">
      <c r="A68" s="7" t="s">
        <v>1686</v>
      </c>
      <c r="B68" s="7" t="s">
        <v>1687</v>
      </c>
      <c r="C68" s="7" t="s">
        <v>1688</v>
      </c>
      <c r="D68" s="7" t="s">
        <v>1251</v>
      </c>
      <c r="E68" s="7" t="s">
        <v>268</v>
      </c>
      <c r="F68" s="7" t="s">
        <v>297</v>
      </c>
      <c r="G68" s="7" t="s">
        <v>583</v>
      </c>
      <c r="H68" s="7" t="s">
        <v>127</v>
      </c>
      <c r="I68" s="7" t="s">
        <v>316</v>
      </c>
      <c r="J68" s="7" t="s">
        <v>411</v>
      </c>
      <c r="K68" s="7"/>
      <c r="L68" s="7"/>
      <c r="M68" s="7" t="s">
        <v>260</v>
      </c>
      <c r="N68" s="7" t="s">
        <v>304</v>
      </c>
      <c r="O68" s="7" t="s">
        <v>169</v>
      </c>
      <c r="P68" s="7"/>
      <c r="Q68" s="7" t="s">
        <v>326</v>
      </c>
      <c r="R68" s="7" t="s">
        <v>1568</v>
      </c>
    </row>
    <row r="69" spans="1:18">
      <c r="A69" s="7" t="s">
        <v>1689</v>
      </c>
      <c r="B69" s="7" t="s">
        <v>1601</v>
      </c>
      <c r="C69" s="7" t="s">
        <v>1622</v>
      </c>
      <c r="D69" s="7" t="s">
        <v>857</v>
      </c>
      <c r="E69" s="7" t="s">
        <v>281</v>
      </c>
      <c r="F69" s="7" t="s">
        <v>282</v>
      </c>
      <c r="G69" s="7" t="s">
        <v>283</v>
      </c>
      <c r="H69" s="7" t="s">
        <v>115</v>
      </c>
      <c r="I69" s="7" t="s">
        <v>271</v>
      </c>
      <c r="J69" s="7" t="s">
        <v>411</v>
      </c>
      <c r="K69" s="7" t="s">
        <v>869</v>
      </c>
      <c r="L69" s="7" t="s">
        <v>1119</v>
      </c>
      <c r="M69" s="7" t="s">
        <v>335</v>
      </c>
      <c r="N69" s="7" t="s">
        <v>284</v>
      </c>
      <c r="O69" s="7" t="s">
        <v>169</v>
      </c>
      <c r="P69" s="7" t="s">
        <v>17</v>
      </c>
      <c r="Q69" s="7" t="s">
        <v>318</v>
      </c>
      <c r="R69" s="7" t="s">
        <v>1568</v>
      </c>
    </row>
    <row r="70" spans="1:18">
      <c r="A70" s="7" t="s">
        <v>1690</v>
      </c>
      <c r="B70" s="7" t="s">
        <v>1593</v>
      </c>
      <c r="C70" s="7" t="s">
        <v>1649</v>
      </c>
      <c r="D70" s="7" t="s">
        <v>1447</v>
      </c>
      <c r="E70" s="7" t="s">
        <v>281</v>
      </c>
      <c r="F70" s="7" t="s">
        <v>297</v>
      </c>
      <c r="G70" s="7" t="s">
        <v>298</v>
      </c>
      <c r="H70" s="7" t="s">
        <v>466</v>
      </c>
      <c r="I70" s="7" t="s">
        <v>299</v>
      </c>
      <c r="J70" s="7" t="s">
        <v>447</v>
      </c>
      <c r="K70" s="7"/>
      <c r="L70" s="7"/>
      <c r="M70" s="7" t="s">
        <v>260</v>
      </c>
      <c r="N70" s="7" t="s">
        <v>304</v>
      </c>
      <c r="O70" s="7" t="s">
        <v>195</v>
      </c>
      <c r="P70" s="7"/>
      <c r="Q70" s="7" t="s">
        <v>305</v>
      </c>
      <c r="R70" s="7" t="s">
        <v>1568</v>
      </c>
    </row>
    <row r="71" spans="1:18">
      <c r="A71" s="7" t="s">
        <v>1691</v>
      </c>
      <c r="B71" s="7" t="s">
        <v>1570</v>
      </c>
      <c r="C71" s="7" t="s">
        <v>981</v>
      </c>
      <c r="D71" s="7" t="s">
        <v>1525</v>
      </c>
      <c r="E71" s="7" t="s">
        <v>281</v>
      </c>
      <c r="F71" s="7" t="s">
        <v>282</v>
      </c>
      <c r="G71" s="7" t="s">
        <v>283</v>
      </c>
      <c r="H71" s="7" t="s">
        <v>466</v>
      </c>
      <c r="I71" s="7" t="s">
        <v>258</v>
      </c>
      <c r="J71" s="7" t="s">
        <v>323</v>
      </c>
      <c r="K71" s="7"/>
      <c r="L71" s="7"/>
      <c r="M71" s="7" t="s">
        <v>260</v>
      </c>
      <c r="N71" s="7" t="s">
        <v>284</v>
      </c>
      <c r="O71" s="7" t="s">
        <v>195</v>
      </c>
      <c r="P71" s="7"/>
      <c r="Q71" s="7" t="s">
        <v>285</v>
      </c>
      <c r="R71" s="7" t="s">
        <v>1568</v>
      </c>
    </row>
    <row r="72" spans="1:18">
      <c r="A72" s="7" t="s">
        <v>1692</v>
      </c>
      <c r="B72" s="7" t="s">
        <v>1640</v>
      </c>
      <c r="C72" s="7" t="s">
        <v>1359</v>
      </c>
      <c r="D72" s="7" t="s">
        <v>741</v>
      </c>
      <c r="E72" s="7" t="s">
        <v>268</v>
      </c>
      <c r="F72" s="7" t="s">
        <v>256</v>
      </c>
      <c r="G72" s="7" t="s">
        <v>886</v>
      </c>
      <c r="H72" s="7" t="s">
        <v>115</v>
      </c>
      <c r="I72" s="7" t="s">
        <v>258</v>
      </c>
      <c r="J72" s="7" t="s">
        <v>341</v>
      </c>
      <c r="K72" s="7" t="s">
        <v>643</v>
      </c>
      <c r="L72" s="7" t="s">
        <v>783</v>
      </c>
      <c r="M72" s="7" t="s">
        <v>604</v>
      </c>
      <c r="N72" s="7" t="s">
        <v>261</v>
      </c>
      <c r="O72" s="7" t="s">
        <v>195</v>
      </c>
      <c r="P72" s="7" t="s">
        <v>17</v>
      </c>
      <c r="Q72" s="7" t="s">
        <v>318</v>
      </c>
      <c r="R72" s="7" t="s">
        <v>1568</v>
      </c>
    </row>
    <row r="73" spans="1:18">
      <c r="A73" s="7" t="s">
        <v>1693</v>
      </c>
      <c r="B73" s="7" t="s">
        <v>1615</v>
      </c>
      <c r="C73" s="7" t="s">
        <v>1381</v>
      </c>
      <c r="D73" s="7" t="s">
        <v>1361</v>
      </c>
      <c r="E73" s="7" t="s">
        <v>281</v>
      </c>
      <c r="F73" s="7" t="s">
        <v>409</v>
      </c>
      <c r="G73" s="7" t="s">
        <v>496</v>
      </c>
      <c r="H73" s="7" t="s">
        <v>122</v>
      </c>
      <c r="I73" s="7" t="s">
        <v>316</v>
      </c>
      <c r="J73" s="7" t="s">
        <v>341</v>
      </c>
      <c r="K73" s="7"/>
      <c r="L73" s="7"/>
      <c r="M73" s="7" t="s">
        <v>260</v>
      </c>
      <c r="N73" s="7" t="s">
        <v>412</v>
      </c>
      <c r="O73" s="7" t="s">
        <v>195</v>
      </c>
      <c r="P73" s="7"/>
      <c r="Q73" s="7" t="s">
        <v>318</v>
      </c>
      <c r="R73" s="7" t="s">
        <v>1568</v>
      </c>
    </row>
    <row r="74" spans="1:18">
      <c r="A74" s="7" t="s">
        <v>1694</v>
      </c>
      <c r="B74" s="7" t="s">
        <v>1615</v>
      </c>
      <c r="C74" s="7" t="s">
        <v>1573</v>
      </c>
      <c r="D74" s="7" t="s">
        <v>445</v>
      </c>
      <c r="E74" s="7" t="s">
        <v>339</v>
      </c>
      <c r="F74" s="7" t="s">
        <v>256</v>
      </c>
      <c r="G74" s="7" t="s">
        <v>403</v>
      </c>
      <c r="H74" s="7" t="s">
        <v>115</v>
      </c>
      <c r="I74" s="7" t="s">
        <v>299</v>
      </c>
      <c r="J74" s="7" t="s">
        <v>259</v>
      </c>
      <c r="K74" s="7" t="s">
        <v>1058</v>
      </c>
      <c r="L74" s="7" t="s">
        <v>713</v>
      </c>
      <c r="M74" s="7" t="s">
        <v>335</v>
      </c>
      <c r="N74" s="7" t="s">
        <v>261</v>
      </c>
      <c r="O74" s="7" t="s">
        <v>195</v>
      </c>
      <c r="P74" s="7" t="s">
        <v>14</v>
      </c>
      <c r="Q74" s="7" t="s">
        <v>326</v>
      </c>
      <c r="R74" s="7" t="s">
        <v>1568</v>
      </c>
    </row>
    <row r="75" spans="1:18">
      <c r="A75" s="7" t="s">
        <v>1695</v>
      </c>
      <c r="B75" s="7" t="s">
        <v>1580</v>
      </c>
      <c r="C75" s="7" t="s">
        <v>1570</v>
      </c>
      <c r="D75" s="7" t="s">
        <v>759</v>
      </c>
      <c r="E75" s="7" t="s">
        <v>339</v>
      </c>
      <c r="F75" s="7" t="s">
        <v>409</v>
      </c>
      <c r="G75" s="7" t="s">
        <v>501</v>
      </c>
      <c r="H75" s="7" t="s">
        <v>127</v>
      </c>
      <c r="I75" s="7" t="s">
        <v>258</v>
      </c>
      <c r="J75" s="7" t="s">
        <v>351</v>
      </c>
      <c r="K75" s="7"/>
      <c r="L75" s="7"/>
      <c r="M75" s="7" t="s">
        <v>260</v>
      </c>
      <c r="N75" s="7" t="s">
        <v>412</v>
      </c>
      <c r="O75" s="7" t="s">
        <v>195</v>
      </c>
      <c r="P75" s="7"/>
      <c r="Q75" s="7" t="s">
        <v>326</v>
      </c>
      <c r="R75" s="7" t="s">
        <v>1568</v>
      </c>
    </row>
    <row r="76" spans="1:18">
      <c r="A76" s="7" t="s">
        <v>1696</v>
      </c>
      <c r="B76" s="7" t="s">
        <v>1640</v>
      </c>
      <c r="C76" s="7" t="s">
        <v>1283</v>
      </c>
      <c r="D76" s="7" t="s">
        <v>460</v>
      </c>
      <c r="E76" s="7" t="s">
        <v>255</v>
      </c>
      <c r="F76" s="7" t="s">
        <v>409</v>
      </c>
      <c r="G76" s="7" t="s">
        <v>648</v>
      </c>
      <c r="H76" s="7" t="s">
        <v>115</v>
      </c>
      <c r="I76" s="7" t="s">
        <v>316</v>
      </c>
      <c r="J76" s="7" t="s">
        <v>529</v>
      </c>
      <c r="K76" s="7" t="s">
        <v>1078</v>
      </c>
      <c r="L76" s="7" t="s">
        <v>1697</v>
      </c>
      <c r="M76" s="7" t="s">
        <v>303</v>
      </c>
      <c r="N76" s="7" t="s">
        <v>412</v>
      </c>
      <c r="O76" s="7" t="s">
        <v>169</v>
      </c>
      <c r="P76" s="7" t="s">
        <v>14</v>
      </c>
      <c r="Q76" s="7" t="s">
        <v>285</v>
      </c>
      <c r="R76" s="7" t="s">
        <v>1568</v>
      </c>
    </row>
    <row r="77" spans="1:18">
      <c r="A77" s="7" t="s">
        <v>1698</v>
      </c>
      <c r="B77" s="7" t="s">
        <v>1586</v>
      </c>
      <c r="C77" s="7" t="s">
        <v>1625</v>
      </c>
      <c r="D77" s="7" t="s">
        <v>682</v>
      </c>
      <c r="E77" s="7" t="s">
        <v>255</v>
      </c>
      <c r="F77" s="7" t="s">
        <v>297</v>
      </c>
      <c r="G77" s="7" t="s">
        <v>639</v>
      </c>
      <c r="H77" s="7" t="s">
        <v>115</v>
      </c>
      <c r="I77" s="7" t="s">
        <v>299</v>
      </c>
      <c r="J77" s="7" t="s">
        <v>272</v>
      </c>
      <c r="K77" s="7" t="s">
        <v>425</v>
      </c>
      <c r="L77" s="7" t="s">
        <v>1160</v>
      </c>
      <c r="M77" s="7" t="s">
        <v>335</v>
      </c>
      <c r="N77" s="7" t="s">
        <v>304</v>
      </c>
      <c r="O77" s="7" t="s">
        <v>195</v>
      </c>
      <c r="P77" s="7" t="s">
        <v>14</v>
      </c>
      <c r="Q77" s="7" t="s">
        <v>318</v>
      </c>
      <c r="R77" s="7" t="s">
        <v>1568</v>
      </c>
    </row>
    <row r="78" spans="1:18">
      <c r="A78" s="7" t="s">
        <v>1699</v>
      </c>
      <c r="B78" s="7" t="s">
        <v>1688</v>
      </c>
      <c r="C78" s="7" t="s">
        <v>1272</v>
      </c>
      <c r="D78" s="7" t="s">
        <v>795</v>
      </c>
      <c r="E78" s="7" t="s">
        <v>281</v>
      </c>
      <c r="F78" s="7" t="s">
        <v>409</v>
      </c>
      <c r="G78" s="7" t="s">
        <v>535</v>
      </c>
      <c r="H78" s="7" t="s">
        <v>127</v>
      </c>
      <c r="I78" s="7" t="s">
        <v>299</v>
      </c>
      <c r="J78" s="7" t="s">
        <v>323</v>
      </c>
      <c r="K78" s="7"/>
      <c r="L78" s="7"/>
      <c r="M78" s="7" t="s">
        <v>260</v>
      </c>
      <c r="N78" s="7" t="s">
        <v>412</v>
      </c>
      <c r="O78" s="7" t="s">
        <v>195</v>
      </c>
      <c r="P78" s="7"/>
      <c r="Q78" s="7" t="s">
        <v>262</v>
      </c>
      <c r="R78" s="7" t="s">
        <v>1568</v>
      </c>
    </row>
    <row r="79" spans="1:18">
      <c r="A79" s="7" t="s">
        <v>1700</v>
      </c>
      <c r="B79" s="7" t="s">
        <v>1598</v>
      </c>
      <c r="C79" s="7" t="s">
        <v>1615</v>
      </c>
      <c r="D79" s="7" t="s">
        <v>527</v>
      </c>
      <c r="E79" s="7" t="s">
        <v>281</v>
      </c>
      <c r="F79" s="7" t="s">
        <v>297</v>
      </c>
      <c r="G79" s="7" t="s">
        <v>368</v>
      </c>
      <c r="H79" s="7" t="s">
        <v>115</v>
      </c>
      <c r="I79" s="7" t="s">
        <v>271</v>
      </c>
      <c r="J79" s="7" t="s">
        <v>399</v>
      </c>
      <c r="K79" s="7" t="s">
        <v>1701</v>
      </c>
      <c r="L79" s="7" t="s">
        <v>447</v>
      </c>
      <c r="M79" s="7" t="s">
        <v>303</v>
      </c>
      <c r="N79" s="7" t="s">
        <v>304</v>
      </c>
      <c r="O79" s="7" t="s">
        <v>483</v>
      </c>
      <c r="P79" s="7" t="s">
        <v>11</v>
      </c>
      <c r="Q79" s="7" t="s">
        <v>305</v>
      </c>
      <c r="R79" s="7" t="s">
        <v>1568</v>
      </c>
    </row>
    <row r="80" spans="1:18">
      <c r="A80" s="7" t="s">
        <v>1702</v>
      </c>
      <c r="B80" s="7" t="s">
        <v>1604</v>
      </c>
      <c r="C80" s="7" t="s">
        <v>894</v>
      </c>
      <c r="D80" s="7" t="s">
        <v>763</v>
      </c>
      <c r="E80" s="7" t="s">
        <v>255</v>
      </c>
      <c r="F80" s="7" t="s">
        <v>297</v>
      </c>
      <c r="G80" s="7" t="s">
        <v>639</v>
      </c>
      <c r="H80" s="7" t="s">
        <v>115</v>
      </c>
      <c r="I80" s="7" t="s">
        <v>316</v>
      </c>
      <c r="J80" s="7" t="s">
        <v>529</v>
      </c>
      <c r="K80" s="7" t="s">
        <v>1436</v>
      </c>
      <c r="L80" s="7" t="s">
        <v>770</v>
      </c>
      <c r="M80" s="7" t="s">
        <v>275</v>
      </c>
      <c r="N80" s="7" t="s">
        <v>304</v>
      </c>
      <c r="O80" s="7" t="s">
        <v>195</v>
      </c>
      <c r="P80" s="7" t="s">
        <v>8</v>
      </c>
      <c r="Q80" s="7" t="s">
        <v>285</v>
      </c>
      <c r="R80" s="7" t="s">
        <v>1568</v>
      </c>
    </row>
    <row r="81" spans="1:18">
      <c r="A81" s="7" t="s">
        <v>1703</v>
      </c>
      <c r="B81" s="7" t="s">
        <v>1609</v>
      </c>
      <c r="C81" s="7" t="s">
        <v>1570</v>
      </c>
      <c r="D81" s="7" t="s">
        <v>1008</v>
      </c>
      <c r="E81" s="7" t="s">
        <v>339</v>
      </c>
      <c r="F81" s="7" t="s">
        <v>297</v>
      </c>
      <c r="G81" s="7" t="s">
        <v>780</v>
      </c>
      <c r="H81" s="7" t="s">
        <v>115</v>
      </c>
      <c r="I81" s="7" t="s">
        <v>258</v>
      </c>
      <c r="J81" s="7" t="s">
        <v>259</v>
      </c>
      <c r="K81" s="7" t="s">
        <v>1300</v>
      </c>
      <c r="L81" s="7" t="s">
        <v>291</v>
      </c>
      <c r="M81" s="7" t="s">
        <v>293</v>
      </c>
      <c r="N81" s="7" t="s">
        <v>304</v>
      </c>
      <c r="O81" s="7" t="s">
        <v>169</v>
      </c>
      <c r="P81" s="7" t="s">
        <v>17</v>
      </c>
      <c r="Q81" s="7" t="s">
        <v>305</v>
      </c>
      <c r="R81" s="7" t="s">
        <v>1568</v>
      </c>
    </row>
    <row r="82" spans="1:18">
      <c r="A82" s="7" t="s">
        <v>1704</v>
      </c>
      <c r="B82" s="7" t="s">
        <v>1573</v>
      </c>
      <c r="C82" s="7" t="s">
        <v>1320</v>
      </c>
      <c r="D82" s="7" t="s">
        <v>786</v>
      </c>
      <c r="E82" s="7" t="s">
        <v>281</v>
      </c>
      <c r="F82" s="7" t="s">
        <v>256</v>
      </c>
      <c r="G82" s="7" t="s">
        <v>796</v>
      </c>
      <c r="H82" s="7" t="s">
        <v>115</v>
      </c>
      <c r="I82" s="7" t="s">
        <v>299</v>
      </c>
      <c r="J82" s="7" t="s">
        <v>525</v>
      </c>
      <c r="K82" s="7" t="s">
        <v>1128</v>
      </c>
      <c r="L82" s="7" t="s">
        <v>1104</v>
      </c>
      <c r="M82" s="7" t="s">
        <v>275</v>
      </c>
      <c r="N82" s="7" t="s">
        <v>261</v>
      </c>
      <c r="O82" s="7" t="s">
        <v>195</v>
      </c>
      <c r="P82" s="7" t="s">
        <v>11</v>
      </c>
      <c r="Q82" s="7" t="s">
        <v>262</v>
      </c>
      <c r="R82" s="7" t="s">
        <v>1568</v>
      </c>
    </row>
    <row r="83" spans="1:18">
      <c r="A83" s="7" t="s">
        <v>1705</v>
      </c>
      <c r="B83" s="7" t="s">
        <v>1578</v>
      </c>
      <c r="C83" s="7" t="s">
        <v>981</v>
      </c>
      <c r="D83" s="7" t="s">
        <v>999</v>
      </c>
      <c r="E83" s="7" t="s">
        <v>268</v>
      </c>
      <c r="F83" s="7" t="s">
        <v>409</v>
      </c>
      <c r="G83" s="7" t="s">
        <v>587</v>
      </c>
      <c r="H83" s="7" t="s">
        <v>115</v>
      </c>
      <c r="I83" s="7" t="s">
        <v>316</v>
      </c>
      <c r="J83" s="7" t="s">
        <v>525</v>
      </c>
      <c r="K83" s="7" t="s">
        <v>360</v>
      </c>
      <c r="L83" s="7" t="s">
        <v>971</v>
      </c>
      <c r="M83" s="7" t="s">
        <v>275</v>
      </c>
      <c r="N83" s="7" t="s">
        <v>412</v>
      </c>
      <c r="O83" s="7" t="s">
        <v>169</v>
      </c>
      <c r="P83" s="7" t="s">
        <v>11</v>
      </c>
      <c r="Q83" s="7" t="s">
        <v>318</v>
      </c>
      <c r="R83" s="7" t="s">
        <v>1568</v>
      </c>
    </row>
    <row r="84" spans="1:18">
      <c r="A84" s="7" t="s">
        <v>1706</v>
      </c>
      <c r="B84" s="7" t="s">
        <v>1620</v>
      </c>
      <c r="C84" s="7" t="s">
        <v>1292</v>
      </c>
      <c r="D84" s="7" t="s">
        <v>1366</v>
      </c>
      <c r="E84" s="7" t="s">
        <v>339</v>
      </c>
      <c r="F84" s="7"/>
      <c r="G84" s="7" t="s">
        <v>564</v>
      </c>
      <c r="H84" s="7" t="s">
        <v>115</v>
      </c>
      <c r="I84" s="7" t="s">
        <v>299</v>
      </c>
      <c r="J84" s="7" t="s">
        <v>411</v>
      </c>
      <c r="K84" s="7" t="s">
        <v>1134</v>
      </c>
      <c r="L84" s="7" t="s">
        <v>595</v>
      </c>
      <c r="M84" s="7" t="s">
        <v>335</v>
      </c>
      <c r="N84" s="7" t="s">
        <v>284</v>
      </c>
      <c r="O84" s="7" t="s">
        <v>195</v>
      </c>
      <c r="P84" s="7" t="s">
        <v>14</v>
      </c>
      <c r="Q84" s="7" t="s">
        <v>305</v>
      </c>
      <c r="R84" s="7" t="s">
        <v>1568</v>
      </c>
    </row>
    <row r="85" spans="1:18">
      <c r="A85" s="7" t="s">
        <v>1707</v>
      </c>
      <c r="B85" s="7" t="s">
        <v>1583</v>
      </c>
      <c r="C85" s="7" t="s">
        <v>1290</v>
      </c>
      <c r="D85" s="7" t="s">
        <v>1478</v>
      </c>
      <c r="E85" s="7" t="s">
        <v>255</v>
      </c>
      <c r="F85" s="7" t="s">
        <v>282</v>
      </c>
      <c r="G85" s="7" t="s">
        <v>290</v>
      </c>
      <c r="H85" s="7" t="s">
        <v>115</v>
      </c>
      <c r="I85" s="7" t="s">
        <v>316</v>
      </c>
      <c r="J85" s="7" t="s">
        <v>351</v>
      </c>
      <c r="K85" s="7" t="s">
        <v>917</v>
      </c>
      <c r="L85" s="7" t="s">
        <v>1023</v>
      </c>
      <c r="M85" s="7" t="s">
        <v>293</v>
      </c>
      <c r="N85" s="7" t="s">
        <v>284</v>
      </c>
      <c r="O85" s="7" t="s">
        <v>195</v>
      </c>
      <c r="P85" s="7" t="s">
        <v>14</v>
      </c>
      <c r="Q85" s="7" t="s">
        <v>305</v>
      </c>
      <c r="R85" s="7" t="s">
        <v>1568</v>
      </c>
    </row>
    <row r="86" spans="1:18">
      <c r="A86" s="7" t="s">
        <v>1708</v>
      </c>
      <c r="B86" s="7" t="s">
        <v>1611</v>
      </c>
      <c r="C86" s="7" t="s">
        <v>1326</v>
      </c>
      <c r="D86" s="7" t="s">
        <v>704</v>
      </c>
      <c r="E86" s="7" t="s">
        <v>268</v>
      </c>
      <c r="F86" s="7" t="s">
        <v>297</v>
      </c>
      <c r="G86" s="7" t="s">
        <v>583</v>
      </c>
      <c r="H86" s="7" t="s">
        <v>127</v>
      </c>
      <c r="I86" s="7" t="s">
        <v>299</v>
      </c>
      <c r="J86" s="7" t="s">
        <v>323</v>
      </c>
      <c r="K86" s="7"/>
      <c r="L86" s="7"/>
      <c r="M86" s="7" t="s">
        <v>260</v>
      </c>
      <c r="N86" s="7" t="s">
        <v>304</v>
      </c>
      <c r="O86" s="7" t="s">
        <v>195</v>
      </c>
      <c r="P86" s="7"/>
      <c r="Q86" s="7" t="s">
        <v>326</v>
      </c>
      <c r="R86" s="7" t="s">
        <v>1568</v>
      </c>
    </row>
    <row r="87" spans="1:18">
      <c r="A87" s="7" t="s">
        <v>1709</v>
      </c>
      <c r="B87" s="7" t="s">
        <v>1649</v>
      </c>
      <c r="C87" s="7" t="s">
        <v>1381</v>
      </c>
      <c r="D87" s="7" t="s">
        <v>711</v>
      </c>
      <c r="E87" s="7" t="s">
        <v>255</v>
      </c>
      <c r="F87" s="7" t="s">
        <v>409</v>
      </c>
      <c r="G87" s="7" t="s">
        <v>648</v>
      </c>
      <c r="H87" s="7" t="s">
        <v>115</v>
      </c>
      <c r="I87" s="7" t="s">
        <v>258</v>
      </c>
      <c r="J87" s="7" t="s">
        <v>300</v>
      </c>
      <c r="K87" s="7" t="s">
        <v>1710</v>
      </c>
      <c r="L87" s="7" t="s">
        <v>1711</v>
      </c>
      <c r="M87" s="7" t="s">
        <v>335</v>
      </c>
      <c r="N87" s="7" t="s">
        <v>412</v>
      </c>
      <c r="O87" s="7" t="s">
        <v>195</v>
      </c>
      <c r="P87" s="7" t="s">
        <v>14</v>
      </c>
      <c r="Q87" s="7" t="s">
        <v>318</v>
      </c>
      <c r="R87" s="7" t="s">
        <v>1568</v>
      </c>
    </row>
    <row r="88" spans="1:18">
      <c r="A88" s="7" t="s">
        <v>1712</v>
      </c>
      <c r="B88" s="7" t="s">
        <v>1601</v>
      </c>
      <c r="C88" s="7" t="s">
        <v>1341</v>
      </c>
      <c r="D88" s="7" t="s">
        <v>1055</v>
      </c>
      <c r="E88" s="7" t="s">
        <v>268</v>
      </c>
      <c r="F88" s="7" t="s">
        <v>409</v>
      </c>
      <c r="G88" s="7" t="s">
        <v>587</v>
      </c>
      <c r="H88" s="7" t="s">
        <v>115</v>
      </c>
      <c r="I88" s="7" t="s">
        <v>316</v>
      </c>
      <c r="J88" s="7" t="s">
        <v>525</v>
      </c>
      <c r="K88" s="7" t="s">
        <v>1303</v>
      </c>
      <c r="L88" s="7" t="s">
        <v>1643</v>
      </c>
      <c r="M88" s="7" t="s">
        <v>303</v>
      </c>
      <c r="N88" s="7" t="s">
        <v>412</v>
      </c>
      <c r="O88" s="7" t="s">
        <v>195</v>
      </c>
      <c r="P88" s="7" t="s">
        <v>664</v>
      </c>
      <c r="Q88" s="7" t="s">
        <v>318</v>
      </c>
      <c r="R88" s="7" t="s">
        <v>1568</v>
      </c>
    </row>
    <row r="89" spans="1:18">
      <c r="A89" s="7" t="s">
        <v>1713</v>
      </c>
      <c r="B89" s="7" t="s">
        <v>1566</v>
      </c>
      <c r="C89" s="7" t="s">
        <v>1330</v>
      </c>
      <c r="D89" s="7" t="s">
        <v>445</v>
      </c>
      <c r="E89" s="7" t="s">
        <v>281</v>
      </c>
      <c r="F89" s="7" t="s">
        <v>282</v>
      </c>
      <c r="G89" s="7" t="s">
        <v>283</v>
      </c>
      <c r="H89" s="7" t="s">
        <v>466</v>
      </c>
      <c r="I89" s="7" t="s">
        <v>258</v>
      </c>
      <c r="J89" s="7" t="s">
        <v>323</v>
      </c>
      <c r="K89" s="7"/>
      <c r="L89" s="7"/>
      <c r="M89" s="7" t="s">
        <v>260</v>
      </c>
      <c r="N89" s="7" t="s">
        <v>284</v>
      </c>
      <c r="O89" s="7" t="s">
        <v>169</v>
      </c>
      <c r="P89" s="7"/>
      <c r="Q89" s="7" t="s">
        <v>285</v>
      </c>
      <c r="R89" s="7" t="s">
        <v>1568</v>
      </c>
    </row>
    <row r="90" spans="1:18">
      <c r="A90" s="7" t="s">
        <v>1714</v>
      </c>
      <c r="B90" s="7" t="s">
        <v>1593</v>
      </c>
      <c r="C90" s="7" t="s">
        <v>1279</v>
      </c>
      <c r="D90" s="7" t="s">
        <v>610</v>
      </c>
      <c r="E90" s="7" t="s">
        <v>255</v>
      </c>
      <c r="F90" s="7" t="s">
        <v>282</v>
      </c>
      <c r="G90" s="7" t="s">
        <v>424</v>
      </c>
      <c r="H90" s="7" t="s">
        <v>115</v>
      </c>
      <c r="I90" s="7" t="s">
        <v>316</v>
      </c>
      <c r="J90" s="7" t="s">
        <v>259</v>
      </c>
      <c r="K90" s="7" t="s">
        <v>317</v>
      </c>
      <c r="L90" s="7" t="s">
        <v>1411</v>
      </c>
      <c r="M90" s="7" t="s">
        <v>303</v>
      </c>
      <c r="N90" s="7" t="s">
        <v>284</v>
      </c>
      <c r="O90" s="7" t="s">
        <v>195</v>
      </c>
      <c r="P90" s="7" t="s">
        <v>17</v>
      </c>
      <c r="Q90" s="7" t="s">
        <v>285</v>
      </c>
      <c r="R90" s="7" t="s">
        <v>1568</v>
      </c>
    </row>
    <row r="91" spans="1:18">
      <c r="A91" s="7" t="s">
        <v>1715</v>
      </c>
      <c r="B91" s="7" t="s">
        <v>1587</v>
      </c>
      <c r="C91" s="7" t="s">
        <v>1285</v>
      </c>
      <c r="D91" s="7" t="s">
        <v>1042</v>
      </c>
      <c r="E91" s="7" t="s">
        <v>281</v>
      </c>
      <c r="F91" s="7" t="s">
        <v>409</v>
      </c>
      <c r="G91" s="7" t="s">
        <v>535</v>
      </c>
      <c r="H91" s="7" t="s">
        <v>115</v>
      </c>
      <c r="I91" s="7" t="s">
        <v>258</v>
      </c>
      <c r="J91" s="7" t="s">
        <v>358</v>
      </c>
      <c r="K91" s="7" t="s">
        <v>1006</v>
      </c>
      <c r="L91" s="7" t="s">
        <v>702</v>
      </c>
      <c r="M91" s="7" t="s">
        <v>335</v>
      </c>
      <c r="N91" s="7" t="s">
        <v>412</v>
      </c>
      <c r="O91" s="7" t="s">
        <v>195</v>
      </c>
      <c r="P91" s="7" t="s">
        <v>14</v>
      </c>
      <c r="Q91" s="7" t="s">
        <v>305</v>
      </c>
      <c r="R91" s="7" t="s">
        <v>1568</v>
      </c>
    </row>
    <row r="92" spans="1:18">
      <c r="A92" s="7" t="s">
        <v>1716</v>
      </c>
      <c r="B92" s="7" t="s">
        <v>1617</v>
      </c>
      <c r="C92" s="7" t="s">
        <v>1305</v>
      </c>
      <c r="D92" s="7" t="s">
        <v>741</v>
      </c>
      <c r="E92" s="7" t="s">
        <v>255</v>
      </c>
      <c r="F92" s="7" t="s">
        <v>409</v>
      </c>
      <c r="G92" s="7" t="s">
        <v>648</v>
      </c>
      <c r="H92" s="7" t="s">
        <v>115</v>
      </c>
      <c r="I92" s="7" t="s">
        <v>299</v>
      </c>
      <c r="J92" s="7" t="s">
        <v>525</v>
      </c>
      <c r="K92" s="7" t="s">
        <v>1073</v>
      </c>
      <c r="L92" s="7" t="s">
        <v>1672</v>
      </c>
      <c r="M92" s="7" t="s">
        <v>303</v>
      </c>
      <c r="N92" s="7" t="s">
        <v>412</v>
      </c>
      <c r="O92" s="7" t="s">
        <v>195</v>
      </c>
      <c r="P92" s="7" t="s">
        <v>14</v>
      </c>
      <c r="Q92" s="7" t="s">
        <v>305</v>
      </c>
      <c r="R92" s="7" t="s">
        <v>1568</v>
      </c>
    </row>
    <row r="93" spans="1:18">
      <c r="A93" s="7" t="s">
        <v>1717</v>
      </c>
      <c r="B93" s="7" t="s">
        <v>1609</v>
      </c>
      <c r="C93" s="7" t="s">
        <v>1330</v>
      </c>
      <c r="D93" s="7" t="s">
        <v>267</v>
      </c>
      <c r="E93" s="7" t="s">
        <v>339</v>
      </c>
      <c r="F93" s="7" t="s">
        <v>256</v>
      </c>
      <c r="G93" s="7" t="s">
        <v>345</v>
      </c>
      <c r="H93" s="7" t="s">
        <v>115</v>
      </c>
      <c r="I93" s="7" t="s">
        <v>271</v>
      </c>
      <c r="J93" s="7" t="s">
        <v>351</v>
      </c>
      <c r="K93" s="7" t="s">
        <v>1718</v>
      </c>
      <c r="L93" s="7" t="s">
        <v>1479</v>
      </c>
      <c r="M93" s="7" t="s">
        <v>293</v>
      </c>
      <c r="N93" s="7" t="s">
        <v>261</v>
      </c>
      <c r="O93" s="7" t="s">
        <v>169</v>
      </c>
      <c r="P93" s="7" t="s">
        <v>11</v>
      </c>
      <c r="Q93" s="7" t="s">
        <v>285</v>
      </c>
      <c r="R93" s="7" t="s">
        <v>1568</v>
      </c>
    </row>
    <row r="94" spans="1:18">
      <c r="A94" s="7" t="s">
        <v>1719</v>
      </c>
      <c r="B94" s="7" t="s">
        <v>1580</v>
      </c>
      <c r="C94" s="7" t="s">
        <v>1343</v>
      </c>
      <c r="D94" s="7" t="s">
        <v>882</v>
      </c>
      <c r="E94" s="7" t="s">
        <v>281</v>
      </c>
      <c r="F94" s="7" t="s">
        <v>409</v>
      </c>
      <c r="G94" s="7" t="s">
        <v>496</v>
      </c>
      <c r="H94" s="7" t="s">
        <v>115</v>
      </c>
      <c r="I94" s="7" t="s">
        <v>299</v>
      </c>
      <c r="J94" s="7" t="s">
        <v>300</v>
      </c>
      <c r="K94" s="7" t="s">
        <v>612</v>
      </c>
      <c r="L94" s="7" t="s">
        <v>1720</v>
      </c>
      <c r="M94" s="7" t="s">
        <v>686</v>
      </c>
      <c r="N94" s="7" t="s">
        <v>412</v>
      </c>
      <c r="O94" s="7" t="s">
        <v>195</v>
      </c>
      <c r="P94" s="7" t="s">
        <v>11</v>
      </c>
      <c r="Q94" s="7" t="s">
        <v>318</v>
      </c>
      <c r="R94" s="7" t="s">
        <v>1568</v>
      </c>
    </row>
    <row r="95" spans="1:18">
      <c r="A95" s="7" t="s">
        <v>1721</v>
      </c>
      <c r="B95" s="7" t="s">
        <v>1611</v>
      </c>
      <c r="C95" s="7" t="s">
        <v>1649</v>
      </c>
      <c r="D95" s="7" t="s">
        <v>541</v>
      </c>
      <c r="E95" s="7" t="s">
        <v>255</v>
      </c>
      <c r="F95" s="7" t="s">
        <v>409</v>
      </c>
      <c r="G95" s="7" t="s">
        <v>648</v>
      </c>
      <c r="H95" s="7" t="s">
        <v>115</v>
      </c>
      <c r="I95" s="7" t="s">
        <v>299</v>
      </c>
      <c r="J95" s="7" t="s">
        <v>399</v>
      </c>
      <c r="K95" s="7" t="s">
        <v>742</v>
      </c>
      <c r="L95" s="7" t="s">
        <v>1482</v>
      </c>
      <c r="M95" s="7" t="s">
        <v>303</v>
      </c>
      <c r="N95" s="7" t="s">
        <v>412</v>
      </c>
      <c r="O95" s="7" t="s">
        <v>195</v>
      </c>
      <c r="P95" s="7" t="s">
        <v>11</v>
      </c>
      <c r="Q95" s="7" t="s">
        <v>262</v>
      </c>
      <c r="R95" s="7" t="s">
        <v>1568</v>
      </c>
    </row>
    <row r="96" spans="1:18">
      <c r="A96" s="7" t="s">
        <v>1722</v>
      </c>
      <c r="B96" s="7" t="s">
        <v>1576</v>
      </c>
      <c r="C96" s="7" t="s">
        <v>1279</v>
      </c>
      <c r="D96" s="7" t="s">
        <v>1475</v>
      </c>
      <c r="E96" s="7" t="s">
        <v>268</v>
      </c>
      <c r="F96" s="7" t="s">
        <v>269</v>
      </c>
      <c r="G96" s="7" t="s">
        <v>435</v>
      </c>
      <c r="H96" s="7" t="s">
        <v>115</v>
      </c>
      <c r="I96" s="7" t="s">
        <v>258</v>
      </c>
      <c r="J96" s="7" t="s">
        <v>332</v>
      </c>
      <c r="K96" s="7" t="s">
        <v>1567</v>
      </c>
      <c r="L96" s="7" t="s">
        <v>1723</v>
      </c>
      <c r="M96" s="7" t="s">
        <v>335</v>
      </c>
      <c r="N96" s="7" t="s">
        <v>276</v>
      </c>
      <c r="O96" s="7" t="s">
        <v>195</v>
      </c>
      <c r="P96" s="7" t="s">
        <v>17</v>
      </c>
      <c r="Q96" s="7" t="s">
        <v>305</v>
      </c>
      <c r="R96" s="7" t="s">
        <v>1568</v>
      </c>
    </row>
    <row r="97" spans="1:18">
      <c r="A97" s="7" t="s">
        <v>1724</v>
      </c>
      <c r="B97" s="7" t="s">
        <v>1566</v>
      </c>
      <c r="C97" s="7" t="s">
        <v>1343</v>
      </c>
      <c r="D97" s="7" t="s">
        <v>1189</v>
      </c>
      <c r="E97" s="7" t="s">
        <v>339</v>
      </c>
      <c r="F97" s="7" t="s">
        <v>282</v>
      </c>
      <c r="G97" s="7" t="s">
        <v>461</v>
      </c>
      <c r="H97" s="7" t="s">
        <v>127</v>
      </c>
      <c r="I97" s="7" t="s">
        <v>316</v>
      </c>
      <c r="J97" s="7" t="s">
        <v>272</v>
      </c>
      <c r="K97" s="7"/>
      <c r="L97" s="7"/>
      <c r="M97" s="7" t="s">
        <v>260</v>
      </c>
      <c r="N97" s="7" t="s">
        <v>284</v>
      </c>
      <c r="O97" s="7" t="s">
        <v>195</v>
      </c>
      <c r="P97" s="7"/>
      <c r="Q97" s="7" t="s">
        <v>305</v>
      </c>
      <c r="R97" s="7" t="s">
        <v>1568</v>
      </c>
    </row>
    <row r="98" spans="1:18">
      <c r="A98" s="7" t="s">
        <v>1725</v>
      </c>
      <c r="B98" s="7" t="s">
        <v>1627</v>
      </c>
      <c r="C98" s="7" t="s">
        <v>1688</v>
      </c>
      <c r="D98" s="7" t="s">
        <v>1726</v>
      </c>
      <c r="E98" s="7" t="s">
        <v>339</v>
      </c>
      <c r="F98" s="7" t="s">
        <v>409</v>
      </c>
      <c r="G98" s="7" t="s">
        <v>501</v>
      </c>
      <c r="H98" s="7" t="s">
        <v>696</v>
      </c>
      <c r="I98" s="7" t="s">
        <v>299</v>
      </c>
      <c r="J98" s="7" t="s">
        <v>525</v>
      </c>
      <c r="K98" s="7" t="s">
        <v>1175</v>
      </c>
      <c r="L98" s="7" t="s">
        <v>1727</v>
      </c>
      <c r="M98" s="7" t="s">
        <v>335</v>
      </c>
      <c r="N98" s="7" t="s">
        <v>412</v>
      </c>
      <c r="O98" s="7" t="s">
        <v>195</v>
      </c>
      <c r="P98" s="7" t="s">
        <v>17</v>
      </c>
      <c r="Q98" s="7" t="s">
        <v>305</v>
      </c>
      <c r="R98" s="7" t="s">
        <v>1568</v>
      </c>
    </row>
    <row r="99" spans="1:18">
      <c r="A99" s="7" t="s">
        <v>1728</v>
      </c>
      <c r="B99" s="7" t="s">
        <v>1583</v>
      </c>
      <c r="C99" s="7" t="s">
        <v>1620</v>
      </c>
      <c r="D99" s="7" t="s">
        <v>1050</v>
      </c>
      <c r="E99" s="7" t="s">
        <v>255</v>
      </c>
      <c r="F99" s="7" t="s">
        <v>282</v>
      </c>
      <c r="G99" s="7" t="s">
        <v>290</v>
      </c>
      <c r="H99" s="7" t="s">
        <v>115</v>
      </c>
      <c r="I99" s="7" t="s">
        <v>519</v>
      </c>
      <c r="J99" s="7" t="s">
        <v>525</v>
      </c>
      <c r="K99" s="7" t="s">
        <v>431</v>
      </c>
      <c r="L99" s="7" t="s">
        <v>1518</v>
      </c>
      <c r="M99" s="7" t="s">
        <v>303</v>
      </c>
      <c r="N99" s="7" t="s">
        <v>284</v>
      </c>
      <c r="O99" s="7" t="s">
        <v>169</v>
      </c>
      <c r="P99" s="7" t="s">
        <v>14</v>
      </c>
      <c r="Q99" s="7" t="s">
        <v>326</v>
      </c>
      <c r="R99" s="7" t="s">
        <v>1568</v>
      </c>
    </row>
    <row r="100" spans="1:18">
      <c r="A100" s="7" t="s">
        <v>1729</v>
      </c>
      <c r="B100" s="7" t="s">
        <v>1576</v>
      </c>
      <c r="C100" s="7" t="s">
        <v>1578</v>
      </c>
      <c r="D100" s="7" t="s">
        <v>659</v>
      </c>
      <c r="E100" s="7" t="s">
        <v>268</v>
      </c>
      <c r="F100" s="7" t="s">
        <v>409</v>
      </c>
      <c r="G100" s="7" t="s">
        <v>587</v>
      </c>
      <c r="H100" s="7" t="s">
        <v>122</v>
      </c>
      <c r="I100" s="7" t="s">
        <v>258</v>
      </c>
      <c r="J100" s="7" t="s">
        <v>351</v>
      </c>
      <c r="K100" s="7"/>
      <c r="L100" s="7"/>
      <c r="M100" s="7" t="s">
        <v>260</v>
      </c>
      <c r="N100" s="7" t="s">
        <v>412</v>
      </c>
      <c r="O100" s="7" t="s">
        <v>195</v>
      </c>
      <c r="P100" s="7"/>
      <c r="Q100" s="7" t="s">
        <v>318</v>
      </c>
      <c r="R100" s="7" t="s">
        <v>1568</v>
      </c>
    </row>
    <row r="101" spans="1:18">
      <c r="A101" s="7" t="s">
        <v>1730</v>
      </c>
      <c r="B101" s="7" t="s">
        <v>1625</v>
      </c>
      <c r="C101" s="7" t="s">
        <v>1277</v>
      </c>
      <c r="D101" s="7" t="s">
        <v>1246</v>
      </c>
      <c r="E101" s="7" t="s">
        <v>268</v>
      </c>
      <c r="F101" s="7" t="s">
        <v>282</v>
      </c>
      <c r="G101" s="7" t="s">
        <v>505</v>
      </c>
      <c r="H101" s="7" t="s">
        <v>115</v>
      </c>
      <c r="I101" s="7" t="s">
        <v>258</v>
      </c>
      <c r="J101" s="7" t="s">
        <v>323</v>
      </c>
      <c r="K101" s="7" t="s">
        <v>1460</v>
      </c>
      <c r="L101" s="7" t="s">
        <v>965</v>
      </c>
      <c r="M101" s="7" t="s">
        <v>303</v>
      </c>
      <c r="N101" s="7" t="s">
        <v>284</v>
      </c>
      <c r="O101" s="7" t="s">
        <v>195</v>
      </c>
      <c r="P101" s="7" t="s">
        <v>17</v>
      </c>
      <c r="Q101" s="7" t="s">
        <v>305</v>
      </c>
      <c r="R101" s="7" t="s">
        <v>1568</v>
      </c>
    </row>
    <row r="102" spans="1:18">
      <c r="A102" s="7" t="s">
        <v>1731</v>
      </c>
      <c r="B102" s="7" t="s">
        <v>709</v>
      </c>
      <c r="C102" s="7" t="s">
        <v>1285</v>
      </c>
      <c r="D102" s="7" t="s">
        <v>534</v>
      </c>
      <c r="E102" s="7" t="s">
        <v>268</v>
      </c>
      <c r="F102" s="7" t="s">
        <v>409</v>
      </c>
      <c r="G102" s="7" t="s">
        <v>587</v>
      </c>
      <c r="H102" s="7" t="s">
        <v>115</v>
      </c>
      <c r="I102" s="7" t="s">
        <v>271</v>
      </c>
      <c r="J102" s="7" t="s">
        <v>392</v>
      </c>
      <c r="K102" s="7" t="s">
        <v>392</v>
      </c>
      <c r="L102" s="7" t="s">
        <v>394</v>
      </c>
      <c r="M102" s="7" t="s">
        <v>293</v>
      </c>
      <c r="N102" s="7" t="s">
        <v>412</v>
      </c>
      <c r="O102" s="7" t="s">
        <v>169</v>
      </c>
      <c r="P102" s="7" t="s">
        <v>17</v>
      </c>
      <c r="Q102" s="7" t="s">
        <v>305</v>
      </c>
      <c r="R102" s="7" t="s">
        <v>1568</v>
      </c>
    </row>
    <row r="103" spans="1:18">
      <c r="A103" s="7" t="s">
        <v>1732</v>
      </c>
      <c r="B103" s="7" t="s">
        <v>1586</v>
      </c>
      <c r="C103" s="7" t="s">
        <v>1620</v>
      </c>
      <c r="D103" s="7" t="s">
        <v>1222</v>
      </c>
      <c r="E103" s="7" t="s">
        <v>339</v>
      </c>
      <c r="F103" s="7" t="s">
        <v>282</v>
      </c>
      <c r="G103" s="7" t="s">
        <v>564</v>
      </c>
      <c r="H103" s="7" t="s">
        <v>115</v>
      </c>
      <c r="I103" s="7" t="s">
        <v>316</v>
      </c>
      <c r="J103" s="7" t="s">
        <v>525</v>
      </c>
      <c r="K103" s="7" t="s">
        <v>1727</v>
      </c>
      <c r="L103" s="7" t="s">
        <v>1733</v>
      </c>
      <c r="M103" s="7" t="s">
        <v>275</v>
      </c>
      <c r="N103" s="7" t="s">
        <v>284</v>
      </c>
      <c r="O103" s="7" t="s">
        <v>195</v>
      </c>
      <c r="P103" s="7" t="s">
        <v>11</v>
      </c>
      <c r="Q103" s="7" t="s">
        <v>305</v>
      </c>
      <c r="R103" s="7" t="s">
        <v>1568</v>
      </c>
    </row>
    <row r="104" spans="1:18">
      <c r="A104" s="7" t="s">
        <v>1734</v>
      </c>
      <c r="B104" s="7" t="s">
        <v>1687</v>
      </c>
      <c r="C104" s="7" t="s">
        <v>1570</v>
      </c>
      <c r="D104" s="7" t="s">
        <v>397</v>
      </c>
      <c r="E104" s="7" t="s">
        <v>339</v>
      </c>
      <c r="F104" s="7" t="s">
        <v>282</v>
      </c>
      <c r="G104" s="7" t="s">
        <v>564</v>
      </c>
      <c r="H104" s="7" t="s">
        <v>127</v>
      </c>
      <c r="I104" s="7" t="s">
        <v>258</v>
      </c>
      <c r="J104" s="7" t="s">
        <v>332</v>
      </c>
      <c r="K104" s="7"/>
      <c r="L104" s="7"/>
      <c r="M104" s="7" t="s">
        <v>260</v>
      </c>
      <c r="N104" s="7" t="s">
        <v>284</v>
      </c>
      <c r="O104" s="7" t="s">
        <v>169</v>
      </c>
      <c r="P104" s="7"/>
      <c r="Q104" s="7" t="s">
        <v>305</v>
      </c>
      <c r="R104" s="7" t="s">
        <v>1568</v>
      </c>
    </row>
    <row r="105" spans="1:18">
      <c r="A105" s="7" t="s">
        <v>1735</v>
      </c>
      <c r="B105" s="7" t="s">
        <v>1598</v>
      </c>
      <c r="C105" s="7" t="s">
        <v>1559</v>
      </c>
      <c r="D105" s="7" t="s">
        <v>1322</v>
      </c>
      <c r="E105" s="7" t="s">
        <v>339</v>
      </c>
      <c r="F105" s="7" t="s">
        <v>282</v>
      </c>
      <c r="G105" s="7" t="s">
        <v>564</v>
      </c>
      <c r="H105" s="7" t="s">
        <v>115</v>
      </c>
      <c r="I105" s="7" t="s">
        <v>258</v>
      </c>
      <c r="J105" s="7" t="s">
        <v>392</v>
      </c>
      <c r="K105" s="7" t="s">
        <v>678</v>
      </c>
      <c r="L105" s="7" t="s">
        <v>679</v>
      </c>
      <c r="M105" s="7" t="s">
        <v>275</v>
      </c>
      <c r="N105" s="7" t="s">
        <v>284</v>
      </c>
      <c r="O105" s="7" t="s">
        <v>169</v>
      </c>
      <c r="P105" s="7" t="s">
        <v>17</v>
      </c>
      <c r="Q105" s="7" t="s">
        <v>262</v>
      </c>
      <c r="R105" s="7" t="s">
        <v>1568</v>
      </c>
    </row>
    <row r="106" spans="1:18">
      <c r="A106" s="7" t="s">
        <v>1736</v>
      </c>
      <c r="B106" s="7" t="s">
        <v>1632</v>
      </c>
      <c r="C106" s="7" t="s">
        <v>1272</v>
      </c>
      <c r="D106" s="7" t="s">
        <v>1097</v>
      </c>
      <c r="E106" s="7" t="s">
        <v>339</v>
      </c>
      <c r="F106" s="7" t="s">
        <v>256</v>
      </c>
      <c r="G106" s="7" t="s">
        <v>725</v>
      </c>
      <c r="H106" s="7" t="s">
        <v>115</v>
      </c>
      <c r="I106" s="7" t="s">
        <v>271</v>
      </c>
      <c r="J106" s="7" t="s">
        <v>341</v>
      </c>
      <c r="K106" s="7" t="s">
        <v>1534</v>
      </c>
      <c r="L106" s="7" t="s">
        <v>849</v>
      </c>
      <c r="M106" s="7" t="s">
        <v>293</v>
      </c>
      <c r="N106" s="7" t="s">
        <v>261</v>
      </c>
      <c r="O106" s="7" t="s">
        <v>195</v>
      </c>
      <c r="P106" s="7" t="s">
        <v>14</v>
      </c>
      <c r="Q106" s="7" t="s">
        <v>326</v>
      </c>
      <c r="R106" s="7" t="s">
        <v>1568</v>
      </c>
    </row>
    <row r="107" spans="1:18">
      <c r="A107" s="7" t="s">
        <v>1737</v>
      </c>
      <c r="B107" s="7" t="s">
        <v>1627</v>
      </c>
      <c r="C107" s="7" t="s">
        <v>1409</v>
      </c>
      <c r="D107" s="7" t="s">
        <v>357</v>
      </c>
      <c r="E107" s="7" t="s">
        <v>255</v>
      </c>
      <c r="F107" s="7" t="s">
        <v>269</v>
      </c>
      <c r="G107" s="7" t="s">
        <v>542</v>
      </c>
      <c r="H107" s="7" t="s">
        <v>122</v>
      </c>
      <c r="I107" s="7" t="s">
        <v>299</v>
      </c>
      <c r="J107" s="7" t="s">
        <v>525</v>
      </c>
      <c r="K107" s="7"/>
      <c r="L107" s="7"/>
      <c r="M107" s="7" t="s">
        <v>260</v>
      </c>
      <c r="N107" s="7" t="s">
        <v>276</v>
      </c>
      <c r="O107" s="7" t="s">
        <v>169</v>
      </c>
      <c r="P107" s="7"/>
      <c r="Q107" s="7" t="s">
        <v>285</v>
      </c>
      <c r="R107" s="7" t="s">
        <v>1568</v>
      </c>
    </row>
    <row r="108" spans="1:18">
      <c r="A108" s="7" t="s">
        <v>1738</v>
      </c>
      <c r="B108" s="7" t="s">
        <v>1627</v>
      </c>
      <c r="C108" s="7" t="s">
        <v>1279</v>
      </c>
      <c r="D108" s="7" t="s">
        <v>1136</v>
      </c>
      <c r="E108" s="7" t="s">
        <v>268</v>
      </c>
      <c r="F108" s="7" t="s">
        <v>409</v>
      </c>
      <c r="G108" s="7" t="s">
        <v>587</v>
      </c>
      <c r="H108" s="7" t="s">
        <v>122</v>
      </c>
      <c r="I108" s="7" t="s">
        <v>316</v>
      </c>
      <c r="J108" s="7" t="s">
        <v>323</v>
      </c>
      <c r="K108" s="7"/>
      <c r="L108" s="7"/>
      <c r="M108" s="7" t="s">
        <v>260</v>
      </c>
      <c r="N108" s="7" t="s">
        <v>412</v>
      </c>
      <c r="O108" s="7" t="s">
        <v>195</v>
      </c>
      <c r="P108" s="7"/>
      <c r="Q108" s="7" t="s">
        <v>285</v>
      </c>
      <c r="R108" s="7" t="s">
        <v>1568</v>
      </c>
    </row>
    <row r="109" spans="1:18">
      <c r="A109" s="7" t="s">
        <v>1739</v>
      </c>
      <c r="B109" s="7" t="s">
        <v>1578</v>
      </c>
      <c r="C109" s="7" t="s">
        <v>1325</v>
      </c>
      <c r="D109" s="7" t="s">
        <v>1022</v>
      </c>
      <c r="E109" s="7" t="s">
        <v>339</v>
      </c>
      <c r="F109" s="7" t="s">
        <v>269</v>
      </c>
      <c r="G109" s="7" t="s">
        <v>528</v>
      </c>
      <c r="H109" s="7" t="s">
        <v>127</v>
      </c>
      <c r="I109" s="7" t="s">
        <v>258</v>
      </c>
      <c r="J109" s="7" t="s">
        <v>341</v>
      </c>
      <c r="K109" s="7"/>
      <c r="L109" s="7"/>
      <c r="M109" s="7" t="s">
        <v>260</v>
      </c>
      <c r="N109" s="7" t="s">
        <v>276</v>
      </c>
      <c r="O109" s="7" t="s">
        <v>195</v>
      </c>
      <c r="P109" s="7"/>
      <c r="Q109" s="7" t="s">
        <v>285</v>
      </c>
      <c r="R109" s="7" t="s">
        <v>1568</v>
      </c>
    </row>
    <row r="110" spans="1:18">
      <c r="A110" s="7" t="s">
        <v>1740</v>
      </c>
      <c r="B110" s="7" t="s">
        <v>1587</v>
      </c>
      <c r="C110" s="7" t="s">
        <v>1570</v>
      </c>
      <c r="D110" s="7" t="s">
        <v>315</v>
      </c>
      <c r="E110" s="7" t="s">
        <v>281</v>
      </c>
      <c r="F110" s="7" t="s">
        <v>297</v>
      </c>
      <c r="G110" s="7" t="s">
        <v>298</v>
      </c>
      <c r="H110" s="7" t="s">
        <v>115</v>
      </c>
      <c r="I110" s="7" t="s">
        <v>258</v>
      </c>
      <c r="J110" s="7" t="s">
        <v>351</v>
      </c>
      <c r="K110" s="7" t="s">
        <v>1741</v>
      </c>
      <c r="L110" s="7" t="s">
        <v>1286</v>
      </c>
      <c r="M110" s="7" t="s">
        <v>303</v>
      </c>
      <c r="N110" s="7" t="s">
        <v>304</v>
      </c>
      <c r="O110" s="7" t="s">
        <v>195</v>
      </c>
      <c r="P110" s="7" t="s">
        <v>8</v>
      </c>
      <c r="Q110" s="7" t="s">
        <v>305</v>
      </c>
      <c r="R110" s="7" t="s">
        <v>1568</v>
      </c>
    </row>
    <row r="111" spans="1:18">
      <c r="A111" s="7" t="s">
        <v>1742</v>
      </c>
      <c r="B111" s="7" t="s">
        <v>1615</v>
      </c>
      <c r="C111" s="7" t="s">
        <v>1288</v>
      </c>
      <c r="D111" s="7" t="s">
        <v>1475</v>
      </c>
      <c r="E111" s="7" t="s">
        <v>268</v>
      </c>
      <c r="F111" s="7" t="s">
        <v>409</v>
      </c>
      <c r="G111" s="7" t="s">
        <v>587</v>
      </c>
      <c r="H111" s="7" t="s">
        <v>115</v>
      </c>
      <c r="I111" s="7" t="s">
        <v>271</v>
      </c>
      <c r="J111" s="7" t="s">
        <v>300</v>
      </c>
      <c r="K111" s="7" t="s">
        <v>1743</v>
      </c>
      <c r="L111" s="7" t="s">
        <v>1720</v>
      </c>
      <c r="M111" s="7" t="s">
        <v>275</v>
      </c>
      <c r="N111" s="7" t="s">
        <v>549</v>
      </c>
      <c r="O111" s="7" t="s">
        <v>169</v>
      </c>
      <c r="P111" s="7" t="s">
        <v>11</v>
      </c>
      <c r="Q111" s="7" t="s">
        <v>262</v>
      </c>
      <c r="R111" s="7" t="s">
        <v>1568</v>
      </c>
    </row>
    <row r="112" spans="1:18">
      <c r="A112" s="7" t="s">
        <v>1744</v>
      </c>
      <c r="B112" s="7" t="s">
        <v>1622</v>
      </c>
      <c r="C112" s="7" t="s">
        <v>1359</v>
      </c>
      <c r="D112" s="7" t="s">
        <v>280</v>
      </c>
      <c r="E112" s="7" t="s">
        <v>255</v>
      </c>
      <c r="F112" s="7" t="s">
        <v>297</v>
      </c>
      <c r="G112" s="7" t="s">
        <v>639</v>
      </c>
      <c r="H112" s="7" t="s">
        <v>115</v>
      </c>
      <c r="I112" s="7" t="s">
        <v>271</v>
      </c>
      <c r="J112" s="7" t="s">
        <v>332</v>
      </c>
      <c r="K112" s="7" t="s">
        <v>556</v>
      </c>
      <c r="L112" s="7" t="s">
        <v>556</v>
      </c>
      <c r="M112" s="7" t="s">
        <v>293</v>
      </c>
      <c r="N112" s="7" t="s">
        <v>686</v>
      </c>
      <c r="O112" s="7" t="s">
        <v>195</v>
      </c>
      <c r="P112" s="7" t="s">
        <v>14</v>
      </c>
      <c r="Q112" s="7" t="s">
        <v>305</v>
      </c>
      <c r="R112" s="7" t="s">
        <v>1568</v>
      </c>
    </row>
    <row r="113" spans="1:18">
      <c r="A113" s="7" t="s">
        <v>1745</v>
      </c>
      <c r="B113" s="7" t="s">
        <v>1590</v>
      </c>
      <c r="C113" s="7" t="s">
        <v>1288</v>
      </c>
      <c r="D113" s="7" t="s">
        <v>691</v>
      </c>
      <c r="E113" s="7" t="s">
        <v>281</v>
      </c>
      <c r="F113" s="7" t="s">
        <v>256</v>
      </c>
      <c r="G113" s="7" t="s">
        <v>796</v>
      </c>
      <c r="H113" s="7" t="s">
        <v>115</v>
      </c>
      <c r="I113" s="7" t="s">
        <v>316</v>
      </c>
      <c r="J113" s="7" t="s">
        <v>447</v>
      </c>
      <c r="K113" s="7" t="s">
        <v>636</v>
      </c>
      <c r="L113" s="7" t="s">
        <v>1307</v>
      </c>
      <c r="M113" s="7" t="s">
        <v>303</v>
      </c>
      <c r="N113" s="7" t="s">
        <v>261</v>
      </c>
      <c r="O113" s="7" t="s">
        <v>195</v>
      </c>
      <c r="P113" s="7" t="s">
        <v>17</v>
      </c>
      <c r="Q113" s="7" t="s">
        <v>318</v>
      </c>
      <c r="R113" s="7" t="s">
        <v>1568</v>
      </c>
    </row>
    <row r="114" spans="1:18">
      <c r="A114" s="7" t="s">
        <v>1746</v>
      </c>
      <c r="B114" s="7" t="s">
        <v>1649</v>
      </c>
      <c r="C114" s="7" t="s">
        <v>1625</v>
      </c>
      <c r="D114" s="7"/>
      <c r="E114" s="7" t="s">
        <v>281</v>
      </c>
      <c r="F114" s="7" t="s">
        <v>409</v>
      </c>
      <c r="G114" s="7" t="s">
        <v>535</v>
      </c>
      <c r="H114" s="7" t="s">
        <v>115</v>
      </c>
      <c r="I114" s="7" t="s">
        <v>299</v>
      </c>
      <c r="J114" s="7" t="s">
        <v>469</v>
      </c>
      <c r="K114" s="7" t="s">
        <v>1747</v>
      </c>
      <c r="L114" s="7" t="s">
        <v>884</v>
      </c>
      <c r="M114" s="7" t="s">
        <v>293</v>
      </c>
      <c r="N114" s="7" t="s">
        <v>412</v>
      </c>
      <c r="O114" s="7" t="s">
        <v>195</v>
      </c>
      <c r="P114" s="7" t="s">
        <v>14</v>
      </c>
      <c r="Q114" s="7" t="s">
        <v>262</v>
      </c>
      <c r="R114" s="7" t="s">
        <v>1568</v>
      </c>
    </row>
    <row r="115" spans="1:18">
      <c r="A115" s="7" t="s">
        <v>1748</v>
      </c>
      <c r="B115" s="7" t="s">
        <v>1617</v>
      </c>
      <c r="C115" s="7" t="s">
        <v>1279</v>
      </c>
      <c r="D115" s="7" t="s">
        <v>1262</v>
      </c>
      <c r="E115" s="7" t="s">
        <v>281</v>
      </c>
      <c r="F115" s="7" t="s">
        <v>297</v>
      </c>
      <c r="G115" s="7" t="s">
        <v>298</v>
      </c>
      <c r="H115" s="7" t="s">
        <v>115</v>
      </c>
      <c r="I115" s="7" t="s">
        <v>299</v>
      </c>
      <c r="J115" s="7" t="s">
        <v>351</v>
      </c>
      <c r="K115" s="7" t="s">
        <v>1486</v>
      </c>
      <c r="L115" s="7" t="s">
        <v>1749</v>
      </c>
      <c r="M115" s="7" t="s">
        <v>293</v>
      </c>
      <c r="N115" s="7" t="s">
        <v>304</v>
      </c>
      <c r="O115" s="7" t="s">
        <v>195</v>
      </c>
      <c r="P115" s="7" t="s">
        <v>11</v>
      </c>
      <c r="Q115" s="7" t="s">
        <v>326</v>
      </c>
      <c r="R115" s="7" t="s">
        <v>1568</v>
      </c>
    </row>
    <row r="116" spans="1:18">
      <c r="A116" s="7" t="s">
        <v>1750</v>
      </c>
      <c r="B116" s="7" t="s">
        <v>1641</v>
      </c>
      <c r="C116" s="7" t="s">
        <v>1566</v>
      </c>
      <c r="D116" s="7" t="s">
        <v>1344</v>
      </c>
      <c r="E116" s="7" t="s">
        <v>255</v>
      </c>
      <c r="F116" s="7" t="s">
        <v>297</v>
      </c>
      <c r="G116" s="7" t="s">
        <v>639</v>
      </c>
      <c r="H116" s="7" t="s">
        <v>115</v>
      </c>
      <c r="I116" s="7" t="s">
        <v>299</v>
      </c>
      <c r="J116" s="7" t="s">
        <v>300</v>
      </c>
      <c r="K116" s="7" t="s">
        <v>1182</v>
      </c>
      <c r="L116" s="7" t="s">
        <v>481</v>
      </c>
      <c r="M116" s="7" t="s">
        <v>293</v>
      </c>
      <c r="N116" s="7" t="s">
        <v>304</v>
      </c>
      <c r="O116" s="7" t="s">
        <v>483</v>
      </c>
      <c r="P116" s="7" t="s">
        <v>8</v>
      </c>
      <c r="Q116" s="7" t="s">
        <v>305</v>
      </c>
      <c r="R116" s="7" t="s">
        <v>1568</v>
      </c>
    </row>
    <row r="117" spans="1:18">
      <c r="A117" s="7" t="s">
        <v>1751</v>
      </c>
      <c r="B117" s="7" t="s">
        <v>1649</v>
      </c>
      <c r="C117" s="7" t="s">
        <v>1363</v>
      </c>
      <c r="D117" s="7" t="s">
        <v>634</v>
      </c>
      <c r="E117" s="7" t="s">
        <v>281</v>
      </c>
      <c r="F117" s="7" t="s">
        <v>256</v>
      </c>
      <c r="G117" s="7" t="s">
        <v>429</v>
      </c>
      <c r="H117" s="7" t="s">
        <v>115</v>
      </c>
      <c r="I117" s="7" t="s">
        <v>299</v>
      </c>
      <c r="J117" s="7" t="s">
        <v>300</v>
      </c>
      <c r="K117" s="7" t="s">
        <v>1027</v>
      </c>
      <c r="L117" s="7" t="s">
        <v>1752</v>
      </c>
      <c r="M117" s="7" t="s">
        <v>335</v>
      </c>
      <c r="N117" s="7" t="s">
        <v>261</v>
      </c>
      <c r="O117" s="7" t="s">
        <v>195</v>
      </c>
      <c r="P117" s="7" t="s">
        <v>17</v>
      </c>
      <c r="Q117" s="7" t="s">
        <v>326</v>
      </c>
      <c r="R117" s="7" t="s">
        <v>1568</v>
      </c>
    </row>
    <row r="118" spans="1:18">
      <c r="A118" s="7" t="s">
        <v>1753</v>
      </c>
      <c r="B118" s="7" t="s">
        <v>1586</v>
      </c>
      <c r="C118" s="7" t="s">
        <v>755</v>
      </c>
      <c r="D118" s="7" t="s">
        <v>1251</v>
      </c>
      <c r="E118" s="7" t="s">
        <v>281</v>
      </c>
      <c r="F118" s="7" t="s">
        <v>269</v>
      </c>
      <c r="G118" s="7" t="s">
        <v>363</v>
      </c>
      <c r="H118" s="7" t="s">
        <v>115</v>
      </c>
      <c r="I118" s="7" t="s">
        <v>316</v>
      </c>
      <c r="J118" s="7" t="s">
        <v>332</v>
      </c>
      <c r="K118" s="7" t="s">
        <v>373</v>
      </c>
      <c r="L118" s="7" t="s">
        <v>332</v>
      </c>
      <c r="M118" s="7" t="s">
        <v>303</v>
      </c>
      <c r="N118" s="7" t="s">
        <v>276</v>
      </c>
      <c r="O118" s="7" t="s">
        <v>195</v>
      </c>
      <c r="P118" s="7" t="s">
        <v>14</v>
      </c>
      <c r="Q118" s="7" t="s">
        <v>285</v>
      </c>
      <c r="R118" s="7" t="s">
        <v>1568</v>
      </c>
    </row>
    <row r="119" spans="1:18">
      <c r="A119" s="7" t="s">
        <v>1754</v>
      </c>
      <c r="B119" s="7" t="s">
        <v>1587</v>
      </c>
      <c r="C119" s="7" t="s">
        <v>902</v>
      </c>
      <c r="D119" s="7" t="s">
        <v>1755</v>
      </c>
      <c r="E119" s="7" t="s">
        <v>281</v>
      </c>
      <c r="F119" s="7" t="s">
        <v>297</v>
      </c>
      <c r="G119" s="7" t="s">
        <v>298</v>
      </c>
      <c r="H119" s="7" t="s">
        <v>115</v>
      </c>
      <c r="I119" s="7" t="s">
        <v>316</v>
      </c>
      <c r="J119" s="7" t="s">
        <v>272</v>
      </c>
      <c r="K119" s="7" t="s">
        <v>425</v>
      </c>
      <c r="L119" s="7" t="s">
        <v>393</v>
      </c>
      <c r="M119" s="7" t="s">
        <v>293</v>
      </c>
      <c r="N119" s="7" t="s">
        <v>304</v>
      </c>
      <c r="O119" s="7" t="s">
        <v>195</v>
      </c>
      <c r="P119" s="7" t="s">
        <v>17</v>
      </c>
      <c r="Q119" s="7" t="s">
        <v>326</v>
      </c>
      <c r="R119" s="7" t="s">
        <v>1568</v>
      </c>
    </row>
    <row r="120" spans="1:18">
      <c r="A120" s="7" t="s">
        <v>1756</v>
      </c>
      <c r="B120" s="7" t="s">
        <v>1615</v>
      </c>
      <c r="C120" s="7" t="s">
        <v>1329</v>
      </c>
      <c r="D120" s="7" t="s">
        <v>1378</v>
      </c>
      <c r="E120" s="7" t="s">
        <v>339</v>
      </c>
      <c r="F120" s="7" t="s">
        <v>297</v>
      </c>
      <c r="G120" s="7" t="s">
        <v>780</v>
      </c>
      <c r="H120" s="7" t="s">
        <v>115</v>
      </c>
      <c r="I120" s="7" t="s">
        <v>316</v>
      </c>
      <c r="J120" s="7" t="s">
        <v>411</v>
      </c>
      <c r="K120" s="7" t="s">
        <v>834</v>
      </c>
      <c r="L120" s="7" t="s">
        <v>1757</v>
      </c>
      <c r="M120" s="7" t="s">
        <v>275</v>
      </c>
      <c r="N120" s="7" t="s">
        <v>304</v>
      </c>
      <c r="O120" s="7" t="s">
        <v>195</v>
      </c>
      <c r="P120" s="7" t="s">
        <v>14</v>
      </c>
      <c r="Q120" s="7" t="s">
        <v>262</v>
      </c>
      <c r="R120" s="7" t="s">
        <v>1568</v>
      </c>
    </row>
    <row r="121" spans="1:18">
      <c r="A121" s="7" t="s">
        <v>1758</v>
      </c>
      <c r="B121" s="7" t="s">
        <v>1571</v>
      </c>
      <c r="C121" s="7" t="s">
        <v>993</v>
      </c>
      <c r="D121" s="7" t="s">
        <v>1116</v>
      </c>
      <c r="E121" s="7" t="s">
        <v>281</v>
      </c>
      <c r="F121" s="7" t="s">
        <v>269</v>
      </c>
      <c r="G121" s="7" t="s">
        <v>322</v>
      </c>
      <c r="H121" s="7" t="s">
        <v>127</v>
      </c>
      <c r="I121" s="7" t="s">
        <v>271</v>
      </c>
      <c r="J121" s="7" t="s">
        <v>300</v>
      </c>
      <c r="K121" s="7"/>
      <c r="L121" s="7"/>
      <c r="M121" s="7" t="s">
        <v>260</v>
      </c>
      <c r="N121" s="7" t="s">
        <v>276</v>
      </c>
      <c r="O121" s="7" t="s">
        <v>169</v>
      </c>
      <c r="P121" s="7"/>
      <c r="Q121" s="7" t="s">
        <v>305</v>
      </c>
      <c r="R121" s="7" t="s">
        <v>1568</v>
      </c>
    </row>
    <row r="122" spans="1:18">
      <c r="A122" s="7" t="s">
        <v>1759</v>
      </c>
      <c r="B122" s="7" t="s">
        <v>1649</v>
      </c>
      <c r="C122" s="7" t="s">
        <v>1314</v>
      </c>
      <c r="D122" s="7" t="s">
        <v>1760</v>
      </c>
      <c r="E122" s="7" t="s">
        <v>255</v>
      </c>
      <c r="F122" s="7" t="s">
        <v>256</v>
      </c>
      <c r="G122" s="7" t="s">
        <v>398</v>
      </c>
      <c r="H122" s="7" t="s">
        <v>115</v>
      </c>
      <c r="I122" s="7" t="s">
        <v>316</v>
      </c>
      <c r="J122" s="7" t="s">
        <v>332</v>
      </c>
      <c r="K122" s="7" t="s">
        <v>1019</v>
      </c>
      <c r="L122" s="7" t="s">
        <v>370</v>
      </c>
      <c r="M122" s="7" t="s">
        <v>275</v>
      </c>
      <c r="N122" s="7" t="s">
        <v>261</v>
      </c>
      <c r="O122" s="7" t="s">
        <v>195</v>
      </c>
      <c r="P122" s="7" t="s">
        <v>8</v>
      </c>
      <c r="Q122" s="7" t="s">
        <v>318</v>
      </c>
      <c r="R122" s="7" t="s">
        <v>1568</v>
      </c>
    </row>
    <row r="123" spans="1:18">
      <c r="A123" s="7" t="s">
        <v>1761</v>
      </c>
      <c r="B123" s="7" t="s">
        <v>1762</v>
      </c>
      <c r="C123" s="7" t="s">
        <v>1296</v>
      </c>
      <c r="D123" s="7" t="s">
        <v>904</v>
      </c>
      <c r="E123" s="7" t="s">
        <v>339</v>
      </c>
      <c r="F123" s="7" t="s">
        <v>256</v>
      </c>
      <c r="G123" s="7" t="s">
        <v>403</v>
      </c>
      <c r="H123" s="7" t="s">
        <v>122</v>
      </c>
      <c r="I123" s="7" t="s">
        <v>271</v>
      </c>
      <c r="J123" s="7" t="s">
        <v>272</v>
      </c>
      <c r="K123" s="7"/>
      <c r="L123" s="7"/>
      <c r="M123" s="7" t="s">
        <v>260</v>
      </c>
      <c r="N123" s="7" t="s">
        <v>261</v>
      </c>
      <c r="O123" s="7" t="s">
        <v>195</v>
      </c>
      <c r="P123" s="7"/>
      <c r="Q123" s="7" t="s">
        <v>326</v>
      </c>
      <c r="R123" s="7" t="s">
        <v>1568</v>
      </c>
    </row>
    <row r="124" spans="1:18">
      <c r="A124" s="7" t="s">
        <v>1763</v>
      </c>
      <c r="B124" s="7" t="s">
        <v>1604</v>
      </c>
      <c r="C124" s="7" t="s">
        <v>974</v>
      </c>
      <c r="D124" s="7" t="s">
        <v>1268</v>
      </c>
      <c r="E124" s="7" t="s">
        <v>281</v>
      </c>
      <c r="F124" s="7" t="s">
        <v>282</v>
      </c>
      <c r="G124" s="7" t="s">
        <v>283</v>
      </c>
      <c r="H124" s="7" t="s">
        <v>115</v>
      </c>
      <c r="I124" s="7" t="s">
        <v>299</v>
      </c>
      <c r="J124" s="7" t="s">
        <v>392</v>
      </c>
      <c r="K124" s="7" t="s">
        <v>392</v>
      </c>
      <c r="L124" s="7" t="s">
        <v>415</v>
      </c>
      <c r="M124" s="7" t="s">
        <v>275</v>
      </c>
      <c r="N124" s="7" t="s">
        <v>284</v>
      </c>
      <c r="O124" s="7" t="s">
        <v>169</v>
      </c>
      <c r="P124" s="7" t="s">
        <v>8</v>
      </c>
      <c r="Q124" s="7" t="s">
        <v>262</v>
      </c>
      <c r="R124" s="7" t="s">
        <v>1568</v>
      </c>
    </row>
    <row r="125" spans="1:18">
      <c r="A125" s="7" t="s">
        <v>1764</v>
      </c>
      <c r="B125" s="7" t="s">
        <v>1570</v>
      </c>
      <c r="C125" s="7" t="s">
        <v>1314</v>
      </c>
      <c r="D125" s="7" t="s">
        <v>586</v>
      </c>
      <c r="E125" s="7" t="s">
        <v>255</v>
      </c>
      <c r="F125" s="7" t="s">
        <v>269</v>
      </c>
      <c r="G125" s="7" t="s">
        <v>391</v>
      </c>
      <c r="H125" s="7" t="s">
        <v>115</v>
      </c>
      <c r="I125" s="7" t="s">
        <v>299</v>
      </c>
      <c r="J125" s="7" t="s">
        <v>272</v>
      </c>
      <c r="K125" s="7" t="s">
        <v>425</v>
      </c>
      <c r="L125" s="7" t="s">
        <v>1765</v>
      </c>
      <c r="M125" s="7" t="s">
        <v>303</v>
      </c>
      <c r="N125" s="7" t="s">
        <v>276</v>
      </c>
      <c r="O125" s="7" t="s">
        <v>195</v>
      </c>
      <c r="P125" s="7" t="s">
        <v>17</v>
      </c>
      <c r="Q125" s="7" t="s">
        <v>305</v>
      </c>
      <c r="R125" s="7" t="s">
        <v>1568</v>
      </c>
    </row>
    <row r="126" spans="1:18">
      <c r="A126" s="7" t="s">
        <v>1766</v>
      </c>
      <c r="B126" s="7" t="s">
        <v>1627</v>
      </c>
      <c r="C126" s="7" t="s">
        <v>1409</v>
      </c>
      <c r="D126" s="7" t="s">
        <v>622</v>
      </c>
      <c r="E126" s="7" t="s">
        <v>281</v>
      </c>
      <c r="F126" s="7" t="s">
        <v>409</v>
      </c>
      <c r="G126" s="7" t="s">
        <v>496</v>
      </c>
      <c r="H126" s="7" t="s">
        <v>115</v>
      </c>
      <c r="I126" s="7" t="s">
        <v>271</v>
      </c>
      <c r="J126" s="7" t="s">
        <v>411</v>
      </c>
      <c r="K126" s="7" t="s">
        <v>1757</v>
      </c>
      <c r="L126" s="7" t="s">
        <v>1767</v>
      </c>
      <c r="M126" s="7" t="s">
        <v>335</v>
      </c>
      <c r="N126" s="7" t="s">
        <v>412</v>
      </c>
      <c r="O126" s="7" t="s">
        <v>195</v>
      </c>
      <c r="P126" s="7" t="s">
        <v>11</v>
      </c>
      <c r="Q126" s="7" t="s">
        <v>262</v>
      </c>
      <c r="R126" s="7" t="s">
        <v>1568</v>
      </c>
    </row>
    <row r="127" spans="1:18">
      <c r="A127" s="7" t="s">
        <v>1768</v>
      </c>
      <c r="B127" s="7" t="s">
        <v>1593</v>
      </c>
      <c r="C127" s="7" t="s">
        <v>1338</v>
      </c>
      <c r="D127" s="7" t="s">
        <v>1537</v>
      </c>
      <c r="E127" s="7" t="s">
        <v>281</v>
      </c>
      <c r="F127" s="7" t="s">
        <v>1769</v>
      </c>
      <c r="G127" s="7" t="s">
        <v>429</v>
      </c>
      <c r="H127" s="7" t="s">
        <v>127</v>
      </c>
      <c r="I127" s="7" t="s">
        <v>299</v>
      </c>
      <c r="J127" s="7" t="s">
        <v>411</v>
      </c>
      <c r="K127" s="7"/>
      <c r="L127" s="7"/>
      <c r="M127" s="7" t="s">
        <v>260</v>
      </c>
      <c r="N127" s="7" t="s">
        <v>261</v>
      </c>
      <c r="O127" s="7" t="s">
        <v>195</v>
      </c>
      <c r="P127" s="7"/>
      <c r="Q127" s="7" t="s">
        <v>305</v>
      </c>
      <c r="R127" s="7" t="s">
        <v>1568</v>
      </c>
    </row>
    <row r="128" spans="1:18">
      <c r="A128" s="7" t="s">
        <v>1770</v>
      </c>
      <c r="B128" s="7" t="s">
        <v>1573</v>
      </c>
      <c r="C128" s="7" t="s">
        <v>1314</v>
      </c>
      <c r="D128" s="7" t="s">
        <v>820</v>
      </c>
      <c r="E128" s="7" t="s">
        <v>281</v>
      </c>
      <c r="F128" s="7" t="s">
        <v>269</v>
      </c>
      <c r="G128" s="7" t="s">
        <v>322</v>
      </c>
      <c r="H128" s="7" t="s">
        <v>115</v>
      </c>
      <c r="I128" s="7" t="s">
        <v>299</v>
      </c>
      <c r="J128" s="7" t="s">
        <v>411</v>
      </c>
      <c r="K128" s="7" t="s">
        <v>1771</v>
      </c>
      <c r="L128" s="7" t="s">
        <v>817</v>
      </c>
      <c r="M128" s="7" t="s">
        <v>293</v>
      </c>
      <c r="N128" s="7" t="s">
        <v>276</v>
      </c>
      <c r="O128" s="7" t="s">
        <v>195</v>
      </c>
      <c r="P128" s="7" t="s">
        <v>14</v>
      </c>
      <c r="Q128" s="7" t="s">
        <v>262</v>
      </c>
      <c r="R128" s="7" t="s">
        <v>1568</v>
      </c>
    </row>
    <row r="129" spans="1:18">
      <c r="A129" s="7" t="s">
        <v>1772</v>
      </c>
      <c r="B129" s="7" t="s">
        <v>1601</v>
      </c>
      <c r="C129" s="7" t="s">
        <v>902</v>
      </c>
      <c r="D129" s="7" t="s">
        <v>1110</v>
      </c>
      <c r="E129" s="7" t="s">
        <v>281</v>
      </c>
      <c r="F129" s="7" t="s">
        <v>282</v>
      </c>
      <c r="G129" s="7" t="s">
        <v>446</v>
      </c>
      <c r="H129" s="7" t="s">
        <v>1202</v>
      </c>
      <c r="I129" s="7" t="s">
        <v>316</v>
      </c>
      <c r="J129" s="7" t="s">
        <v>399</v>
      </c>
      <c r="K129" s="7" t="s">
        <v>1752</v>
      </c>
      <c r="L129" s="7" t="s">
        <v>588</v>
      </c>
      <c r="M129" s="7" t="s">
        <v>275</v>
      </c>
      <c r="N129" s="7" t="s">
        <v>284</v>
      </c>
      <c r="O129" s="7" t="s">
        <v>195</v>
      </c>
      <c r="P129" s="7" t="s">
        <v>17</v>
      </c>
      <c r="Q129" s="7" t="s">
        <v>285</v>
      </c>
      <c r="R129" s="7" t="s">
        <v>1568</v>
      </c>
    </row>
    <row r="130" spans="1:18">
      <c r="A130" s="7" t="s">
        <v>1773</v>
      </c>
      <c r="B130" s="7" t="s">
        <v>1586</v>
      </c>
      <c r="C130" s="7" t="s">
        <v>1617</v>
      </c>
      <c r="D130" s="7" t="s">
        <v>1494</v>
      </c>
      <c r="E130" s="7" t="s">
        <v>255</v>
      </c>
      <c r="F130" s="7" t="s">
        <v>409</v>
      </c>
      <c r="G130" s="7" t="s">
        <v>410</v>
      </c>
      <c r="H130" s="7" t="s">
        <v>115</v>
      </c>
      <c r="I130" s="7" t="s">
        <v>299</v>
      </c>
      <c r="J130" s="7" t="s">
        <v>259</v>
      </c>
      <c r="K130" s="7" t="s">
        <v>854</v>
      </c>
      <c r="L130" s="7" t="s">
        <v>1774</v>
      </c>
      <c r="M130" s="7" t="s">
        <v>303</v>
      </c>
      <c r="N130" s="7" t="s">
        <v>412</v>
      </c>
      <c r="O130" s="7" t="s">
        <v>195</v>
      </c>
      <c r="P130" s="7" t="s">
        <v>17</v>
      </c>
      <c r="Q130" s="7" t="s">
        <v>326</v>
      </c>
      <c r="R130" s="7" t="s">
        <v>1568</v>
      </c>
    </row>
    <row r="131" spans="1:18">
      <c r="A131" s="7" t="s">
        <v>1775</v>
      </c>
      <c r="B131" s="7" t="s">
        <v>1580</v>
      </c>
      <c r="C131" s="7" t="s">
        <v>1292</v>
      </c>
      <c r="D131" s="7" t="s">
        <v>1503</v>
      </c>
      <c r="E131" s="7" t="s">
        <v>281</v>
      </c>
      <c r="F131" s="7" t="s">
        <v>409</v>
      </c>
      <c r="G131" s="7" t="s">
        <v>535</v>
      </c>
      <c r="H131" s="7" t="s">
        <v>115</v>
      </c>
      <c r="I131" s="7" t="s">
        <v>316</v>
      </c>
      <c r="J131" s="7" t="s">
        <v>351</v>
      </c>
      <c r="K131" s="7" t="s">
        <v>1741</v>
      </c>
      <c r="L131" s="7" t="s">
        <v>828</v>
      </c>
      <c r="M131" s="7" t="s">
        <v>293</v>
      </c>
      <c r="N131" s="7" t="s">
        <v>412</v>
      </c>
      <c r="O131" s="7" t="s">
        <v>195</v>
      </c>
      <c r="P131" s="7" t="s">
        <v>11</v>
      </c>
      <c r="Q131" s="7" t="s">
        <v>262</v>
      </c>
      <c r="R131" s="7" t="s">
        <v>1568</v>
      </c>
    </row>
    <row r="132" spans="1:18">
      <c r="A132" s="7" t="s">
        <v>1776</v>
      </c>
      <c r="B132" s="7" t="s">
        <v>1566</v>
      </c>
      <c r="C132" s="7" t="s">
        <v>894</v>
      </c>
      <c r="D132" s="7" t="s">
        <v>1126</v>
      </c>
      <c r="E132" s="7" t="s">
        <v>339</v>
      </c>
      <c r="F132" s="7" t="s">
        <v>269</v>
      </c>
      <c r="G132" s="7" t="s">
        <v>528</v>
      </c>
      <c r="H132" s="7" t="s">
        <v>115</v>
      </c>
      <c r="I132" s="7" t="s">
        <v>299</v>
      </c>
      <c r="J132" s="7" t="s">
        <v>529</v>
      </c>
      <c r="K132" s="7" t="s">
        <v>1777</v>
      </c>
      <c r="L132" s="7" t="s">
        <v>1778</v>
      </c>
      <c r="M132" s="7" t="s">
        <v>303</v>
      </c>
      <c r="N132" s="7" t="s">
        <v>276</v>
      </c>
      <c r="O132" s="7" t="s">
        <v>195</v>
      </c>
      <c r="P132" s="7" t="s">
        <v>260</v>
      </c>
      <c r="Q132" s="7" t="s">
        <v>262</v>
      </c>
      <c r="R132" s="7" t="s">
        <v>1568</v>
      </c>
    </row>
    <row r="133" spans="1:18">
      <c r="A133" s="7" t="s">
        <v>1779</v>
      </c>
      <c r="B133" s="7" t="s">
        <v>1573</v>
      </c>
      <c r="C133" s="7" t="s">
        <v>1359</v>
      </c>
      <c r="D133" s="7" t="s">
        <v>551</v>
      </c>
      <c r="E133" s="7" t="s">
        <v>281</v>
      </c>
      <c r="F133" s="7" t="s">
        <v>297</v>
      </c>
      <c r="G133" s="7" t="s">
        <v>368</v>
      </c>
      <c r="H133" s="7" t="s">
        <v>115</v>
      </c>
      <c r="I133" s="7" t="s">
        <v>258</v>
      </c>
      <c r="J133" s="7" t="s">
        <v>411</v>
      </c>
      <c r="K133" s="7" t="s">
        <v>1780</v>
      </c>
      <c r="L133" s="7" t="s">
        <v>553</v>
      </c>
      <c r="M133" s="7" t="s">
        <v>335</v>
      </c>
      <c r="N133" s="7" t="s">
        <v>304</v>
      </c>
      <c r="O133" s="7" t="s">
        <v>169</v>
      </c>
      <c r="P133" s="7" t="s">
        <v>14</v>
      </c>
      <c r="Q133" s="7" t="s">
        <v>262</v>
      </c>
      <c r="R133" s="7" t="s">
        <v>1568</v>
      </c>
    </row>
    <row r="134" spans="1:18">
      <c r="A134" s="7" t="s">
        <v>1781</v>
      </c>
      <c r="B134" s="7" t="s">
        <v>1611</v>
      </c>
      <c r="C134" s="7" t="s">
        <v>1625</v>
      </c>
      <c r="D134" s="7" t="s">
        <v>634</v>
      </c>
      <c r="E134" s="7" t="s">
        <v>339</v>
      </c>
      <c r="F134" s="7" t="s">
        <v>282</v>
      </c>
      <c r="G134" s="7" t="s">
        <v>564</v>
      </c>
      <c r="H134" s="7" t="s">
        <v>122</v>
      </c>
      <c r="I134" s="7" t="s">
        <v>271</v>
      </c>
      <c r="J134" s="7" t="s">
        <v>447</v>
      </c>
      <c r="K134" s="7"/>
      <c r="L134" s="7"/>
      <c r="M134" s="7" t="s">
        <v>260</v>
      </c>
      <c r="N134" s="7" t="s">
        <v>284</v>
      </c>
      <c r="O134" s="7" t="s">
        <v>195</v>
      </c>
      <c r="P134" s="7"/>
      <c r="Q134" s="7" t="s">
        <v>305</v>
      </c>
      <c r="R134" s="7" t="s">
        <v>1568</v>
      </c>
    </row>
    <row r="135" spans="1:18">
      <c r="A135" s="7" t="s">
        <v>1782</v>
      </c>
      <c r="B135" s="7" t="s">
        <v>1604</v>
      </c>
      <c r="C135" s="7" t="s">
        <v>1368</v>
      </c>
      <c r="D135" s="7" t="s">
        <v>592</v>
      </c>
      <c r="E135" s="7" t="s">
        <v>339</v>
      </c>
      <c r="F135" s="7" t="s">
        <v>409</v>
      </c>
      <c r="G135" s="7" t="s">
        <v>476</v>
      </c>
      <c r="H135" s="7" t="s">
        <v>122</v>
      </c>
      <c r="I135" s="7" t="s">
        <v>258</v>
      </c>
      <c r="J135" s="7" t="s">
        <v>346</v>
      </c>
      <c r="K135" s="7"/>
      <c r="L135" s="7"/>
      <c r="M135" s="7" t="s">
        <v>260</v>
      </c>
      <c r="N135" s="7" t="s">
        <v>412</v>
      </c>
      <c r="O135" s="7" t="s">
        <v>169</v>
      </c>
      <c r="P135" s="7"/>
      <c r="Q135" s="7" t="s">
        <v>326</v>
      </c>
      <c r="R135" s="7" t="s">
        <v>1568</v>
      </c>
    </row>
    <row r="136" spans="1:18">
      <c r="A136" s="7" t="s">
        <v>1783</v>
      </c>
      <c r="B136" s="7" t="s">
        <v>1566</v>
      </c>
      <c r="C136" s="7" t="s">
        <v>1571</v>
      </c>
      <c r="D136" s="7" t="s">
        <v>813</v>
      </c>
      <c r="E136" s="7" t="s">
        <v>255</v>
      </c>
      <c r="F136" s="7" t="s">
        <v>282</v>
      </c>
      <c r="G136" s="7" t="s">
        <v>424</v>
      </c>
      <c r="H136" s="7" t="s">
        <v>115</v>
      </c>
      <c r="I136" s="7" t="s">
        <v>299</v>
      </c>
      <c r="J136" s="7" t="s">
        <v>358</v>
      </c>
      <c r="K136" s="7" t="s">
        <v>1072</v>
      </c>
      <c r="L136" s="7" t="s">
        <v>1727</v>
      </c>
      <c r="M136" s="7" t="s">
        <v>275</v>
      </c>
      <c r="N136" s="7" t="s">
        <v>284</v>
      </c>
      <c r="O136" s="7" t="s">
        <v>169</v>
      </c>
      <c r="P136" s="7" t="s">
        <v>14</v>
      </c>
      <c r="Q136" s="7" t="s">
        <v>262</v>
      </c>
      <c r="R136" s="7" t="s">
        <v>1568</v>
      </c>
    </row>
    <row r="137" spans="1:18">
      <c r="A137" s="7" t="s">
        <v>1784</v>
      </c>
      <c r="B137" s="7" t="s">
        <v>1617</v>
      </c>
      <c r="C137" s="7" t="s">
        <v>1364</v>
      </c>
      <c r="D137" s="7" t="s">
        <v>877</v>
      </c>
      <c r="E137" s="7" t="s">
        <v>255</v>
      </c>
      <c r="F137" s="7" t="s">
        <v>297</v>
      </c>
      <c r="G137" s="7" t="s">
        <v>331</v>
      </c>
      <c r="H137" s="7" t="s">
        <v>122</v>
      </c>
      <c r="I137" s="7" t="s">
        <v>316</v>
      </c>
      <c r="J137" s="7" t="s">
        <v>411</v>
      </c>
      <c r="K137" s="7"/>
      <c r="L137" s="7"/>
      <c r="M137" s="7" t="s">
        <v>260</v>
      </c>
      <c r="N137" s="7" t="s">
        <v>304</v>
      </c>
      <c r="O137" s="7" t="s">
        <v>195</v>
      </c>
      <c r="P137" s="7"/>
      <c r="Q137" s="7" t="s">
        <v>285</v>
      </c>
      <c r="R137" s="7" t="s">
        <v>1568</v>
      </c>
    </row>
    <row r="138" spans="1:18">
      <c r="A138" s="7" t="s">
        <v>1785</v>
      </c>
      <c r="B138" s="7" t="s">
        <v>1609</v>
      </c>
      <c r="C138" s="7" t="s">
        <v>974</v>
      </c>
      <c r="D138" s="7" t="s">
        <v>694</v>
      </c>
      <c r="E138" s="7" t="s">
        <v>255</v>
      </c>
      <c r="F138" s="7" t="s">
        <v>269</v>
      </c>
      <c r="G138" s="7" t="s">
        <v>542</v>
      </c>
      <c r="H138" s="7" t="s">
        <v>466</v>
      </c>
      <c r="I138" s="7" t="s">
        <v>271</v>
      </c>
      <c r="J138" s="7" t="s">
        <v>525</v>
      </c>
      <c r="K138" s="7"/>
      <c r="L138" s="7"/>
      <c r="M138" s="7" t="s">
        <v>260</v>
      </c>
      <c r="N138" s="7" t="s">
        <v>276</v>
      </c>
      <c r="O138" s="7" t="s">
        <v>169</v>
      </c>
      <c r="P138" s="7"/>
      <c r="Q138" s="7" t="s">
        <v>318</v>
      </c>
      <c r="R138" s="7" t="s">
        <v>1568</v>
      </c>
    </row>
    <row r="139" spans="1:18">
      <c r="A139" s="7" t="s">
        <v>1786</v>
      </c>
      <c r="B139" s="7" t="s">
        <v>1578</v>
      </c>
      <c r="C139" s="7" t="s">
        <v>1305</v>
      </c>
      <c r="D139" s="7" t="s">
        <v>450</v>
      </c>
      <c r="E139" s="7" t="s">
        <v>255</v>
      </c>
      <c r="F139" s="7" t="s">
        <v>409</v>
      </c>
      <c r="G139" s="7" t="s">
        <v>648</v>
      </c>
      <c r="H139" s="7" t="s">
        <v>115</v>
      </c>
      <c r="I139" s="7" t="s">
        <v>271</v>
      </c>
      <c r="J139" s="7" t="s">
        <v>358</v>
      </c>
      <c r="K139" s="7" t="s">
        <v>1659</v>
      </c>
      <c r="L139" s="7" t="s">
        <v>430</v>
      </c>
      <c r="M139" s="7" t="s">
        <v>604</v>
      </c>
      <c r="N139" s="7" t="s">
        <v>412</v>
      </c>
      <c r="O139" s="7" t="s">
        <v>195</v>
      </c>
      <c r="P139" s="7" t="s">
        <v>17</v>
      </c>
      <c r="Q139" s="7" t="s">
        <v>285</v>
      </c>
      <c r="R139" s="7" t="s">
        <v>1568</v>
      </c>
    </row>
    <row r="140" spans="1:18">
      <c r="A140" s="7" t="s">
        <v>1787</v>
      </c>
      <c r="B140" s="7" t="s">
        <v>1641</v>
      </c>
      <c r="C140" s="7" t="s">
        <v>981</v>
      </c>
      <c r="D140" s="7" t="s">
        <v>1280</v>
      </c>
      <c r="E140" s="7" t="s">
        <v>339</v>
      </c>
      <c r="F140" s="7" t="s">
        <v>269</v>
      </c>
      <c r="G140" s="7" t="s">
        <v>528</v>
      </c>
      <c r="H140" s="7" t="s">
        <v>115</v>
      </c>
      <c r="I140" s="7" t="s">
        <v>299</v>
      </c>
      <c r="J140" s="7" t="s">
        <v>341</v>
      </c>
      <c r="K140" s="7" t="s">
        <v>1151</v>
      </c>
      <c r="L140" s="7" t="s">
        <v>928</v>
      </c>
      <c r="M140" s="7" t="s">
        <v>303</v>
      </c>
      <c r="N140" s="7" t="s">
        <v>276</v>
      </c>
      <c r="O140" s="7" t="s">
        <v>195</v>
      </c>
      <c r="P140" s="7" t="s">
        <v>17</v>
      </c>
      <c r="Q140" s="7" t="s">
        <v>285</v>
      </c>
      <c r="R140" s="7" t="s">
        <v>1568</v>
      </c>
    </row>
    <row r="141" spans="1:18">
      <c r="A141" s="7" t="s">
        <v>1788</v>
      </c>
      <c r="B141" s="7" t="s">
        <v>1601</v>
      </c>
      <c r="C141" s="7" t="s">
        <v>1272</v>
      </c>
      <c r="D141" s="7" t="s">
        <v>1065</v>
      </c>
      <c r="E141" s="7" t="s">
        <v>339</v>
      </c>
      <c r="F141" s="7" t="s">
        <v>256</v>
      </c>
      <c r="G141" s="7" t="s">
        <v>345</v>
      </c>
      <c r="H141" s="7" t="s">
        <v>115</v>
      </c>
      <c r="I141" s="7" t="s">
        <v>316</v>
      </c>
      <c r="J141" s="7" t="s">
        <v>404</v>
      </c>
      <c r="K141" s="7" t="s">
        <v>996</v>
      </c>
      <c r="L141" s="7" t="s">
        <v>1789</v>
      </c>
      <c r="M141" s="7" t="s">
        <v>303</v>
      </c>
      <c r="N141" s="7" t="s">
        <v>261</v>
      </c>
      <c r="O141" s="7" t="s">
        <v>195</v>
      </c>
      <c r="P141" s="7" t="s">
        <v>17</v>
      </c>
      <c r="Q141" s="7" t="s">
        <v>262</v>
      </c>
      <c r="R141" s="7" t="s">
        <v>1568</v>
      </c>
    </row>
    <row r="142" spans="1:18">
      <c r="A142" s="7" t="s">
        <v>1790</v>
      </c>
      <c r="B142" s="7" t="s">
        <v>1593</v>
      </c>
      <c r="C142" s="7" t="s">
        <v>1363</v>
      </c>
      <c r="D142" s="7" t="s">
        <v>1036</v>
      </c>
      <c r="E142" s="7" t="s">
        <v>339</v>
      </c>
      <c r="F142" s="7" t="s">
        <v>409</v>
      </c>
      <c r="G142" s="7" t="s">
        <v>501</v>
      </c>
      <c r="H142" s="7" t="s">
        <v>115</v>
      </c>
      <c r="I142" s="7" t="s">
        <v>258</v>
      </c>
      <c r="J142" s="7" t="s">
        <v>469</v>
      </c>
      <c r="K142" s="7" t="s">
        <v>471</v>
      </c>
      <c r="L142" s="7" t="s">
        <v>884</v>
      </c>
      <c r="M142" s="7" t="s">
        <v>835</v>
      </c>
      <c r="N142" s="7" t="s">
        <v>412</v>
      </c>
      <c r="O142" s="7" t="s">
        <v>169</v>
      </c>
      <c r="P142" s="7" t="s">
        <v>17</v>
      </c>
      <c r="Q142" s="7" t="s">
        <v>318</v>
      </c>
      <c r="R142" s="7" t="s">
        <v>1568</v>
      </c>
    </row>
    <row r="143" spans="1:18">
      <c r="A143" s="7" t="s">
        <v>1791</v>
      </c>
      <c r="B143" s="7" t="s">
        <v>1578</v>
      </c>
      <c r="C143" s="7" t="s">
        <v>1320</v>
      </c>
      <c r="D143" s="7" t="s">
        <v>756</v>
      </c>
      <c r="E143" s="7" t="s">
        <v>339</v>
      </c>
      <c r="F143" s="7" t="s">
        <v>282</v>
      </c>
      <c r="G143" s="7" t="s">
        <v>564</v>
      </c>
      <c r="H143" s="7" t="s">
        <v>115</v>
      </c>
      <c r="I143" s="7" t="s">
        <v>258</v>
      </c>
      <c r="J143" s="7" t="s">
        <v>323</v>
      </c>
      <c r="K143" s="7" t="s">
        <v>1460</v>
      </c>
      <c r="L143" s="7" t="s">
        <v>965</v>
      </c>
      <c r="M143" s="7" t="s">
        <v>303</v>
      </c>
      <c r="N143" s="7" t="s">
        <v>284</v>
      </c>
      <c r="O143" s="7" t="s">
        <v>195</v>
      </c>
      <c r="P143" s="7" t="s">
        <v>14</v>
      </c>
      <c r="Q143" s="7" t="s">
        <v>305</v>
      </c>
      <c r="R143" s="7" t="s">
        <v>1568</v>
      </c>
    </row>
    <row r="144" spans="1:18">
      <c r="A144" s="7"/>
      <c r="B144" s="7" t="s">
        <v>1611</v>
      </c>
      <c r="C144" s="7" t="s">
        <v>1279</v>
      </c>
      <c r="D144" s="7" t="s">
        <v>254</v>
      </c>
      <c r="E144" s="7" t="s">
        <v>339</v>
      </c>
      <c r="F144" s="7" t="s">
        <v>256</v>
      </c>
      <c r="G144" s="7" t="s">
        <v>345</v>
      </c>
      <c r="H144" s="7" t="s">
        <v>115</v>
      </c>
      <c r="I144" s="7" t="s">
        <v>299</v>
      </c>
      <c r="J144" s="7" t="s">
        <v>351</v>
      </c>
      <c r="K144" s="7" t="s">
        <v>1596</v>
      </c>
      <c r="L144" s="7" t="s">
        <v>1487</v>
      </c>
      <c r="M144" s="7" t="s">
        <v>275</v>
      </c>
      <c r="N144" s="7" t="s">
        <v>261</v>
      </c>
      <c r="O144" s="7" t="s">
        <v>195</v>
      </c>
      <c r="P144" s="7" t="s">
        <v>11</v>
      </c>
      <c r="Q144" s="7" t="s">
        <v>262</v>
      </c>
      <c r="R144" s="7" t="s">
        <v>1568</v>
      </c>
    </row>
    <row r="145" spans="1:18">
      <c r="A145" s="7" t="s">
        <v>1792</v>
      </c>
      <c r="B145" s="7" t="s">
        <v>1649</v>
      </c>
      <c r="C145" s="7" t="s">
        <v>1341</v>
      </c>
      <c r="D145" s="7" t="s">
        <v>769</v>
      </c>
      <c r="E145" s="7" t="s">
        <v>268</v>
      </c>
      <c r="F145" s="7" t="s">
        <v>269</v>
      </c>
      <c r="G145" s="7" t="s">
        <v>270</v>
      </c>
      <c r="H145" s="7" t="s">
        <v>115</v>
      </c>
      <c r="I145" s="7" t="s">
        <v>271</v>
      </c>
      <c r="J145" s="7" t="s">
        <v>346</v>
      </c>
      <c r="K145" s="7" t="s">
        <v>979</v>
      </c>
      <c r="L145" s="7" t="s">
        <v>1793</v>
      </c>
      <c r="M145" s="7" t="s">
        <v>275</v>
      </c>
      <c r="N145" s="7" t="s">
        <v>276</v>
      </c>
      <c r="O145" s="7" t="s">
        <v>195</v>
      </c>
      <c r="P145" s="7" t="s">
        <v>11</v>
      </c>
      <c r="Q145" s="7" t="s">
        <v>262</v>
      </c>
      <c r="R145" s="7" t="s">
        <v>1568</v>
      </c>
    </row>
    <row r="146" spans="1:18">
      <c r="A146" s="7" t="s">
        <v>1794</v>
      </c>
      <c r="B146" s="7" t="s">
        <v>1566</v>
      </c>
      <c r="C146" s="7" t="s">
        <v>1559</v>
      </c>
      <c r="D146" s="7" t="s">
        <v>1239</v>
      </c>
      <c r="E146" s="7" t="s">
        <v>255</v>
      </c>
      <c r="F146" s="7" t="s">
        <v>269</v>
      </c>
      <c r="G146" s="7" t="s">
        <v>542</v>
      </c>
      <c r="H146" s="7" t="s">
        <v>115</v>
      </c>
      <c r="I146" s="7" t="s">
        <v>1025</v>
      </c>
      <c r="J146" s="7" t="s">
        <v>300</v>
      </c>
      <c r="K146" s="7" t="s">
        <v>596</v>
      </c>
      <c r="L146" s="7" t="s">
        <v>482</v>
      </c>
      <c r="M146" s="7" t="s">
        <v>303</v>
      </c>
      <c r="N146" s="7" t="s">
        <v>276</v>
      </c>
      <c r="O146" s="7" t="s">
        <v>195</v>
      </c>
      <c r="P146" s="7" t="s">
        <v>14</v>
      </c>
      <c r="Q146" s="7" t="s">
        <v>285</v>
      </c>
      <c r="R146" s="7" t="s">
        <v>1568</v>
      </c>
    </row>
    <row r="147" spans="1:18">
      <c r="A147" s="7" t="s">
        <v>1795</v>
      </c>
      <c r="B147" s="7" t="s">
        <v>1590</v>
      </c>
      <c r="C147" s="7" t="s">
        <v>1587</v>
      </c>
      <c r="D147" s="7" t="s">
        <v>909</v>
      </c>
      <c r="E147" s="7" t="s">
        <v>268</v>
      </c>
      <c r="F147" s="7" t="s">
        <v>297</v>
      </c>
      <c r="G147" s="7" t="s">
        <v>628</v>
      </c>
      <c r="H147" s="7" t="s">
        <v>127</v>
      </c>
      <c r="I147" s="7" t="s">
        <v>316</v>
      </c>
      <c r="J147" s="7" t="s">
        <v>404</v>
      </c>
      <c r="K147" s="7"/>
      <c r="L147" s="7"/>
      <c r="M147" s="7" t="s">
        <v>260</v>
      </c>
      <c r="N147" s="7" t="s">
        <v>304</v>
      </c>
      <c r="O147" s="7" t="s">
        <v>195</v>
      </c>
      <c r="P147" s="7"/>
      <c r="Q147" s="7" t="s">
        <v>285</v>
      </c>
      <c r="R147" s="7" t="s">
        <v>1568</v>
      </c>
    </row>
    <row r="148" spans="1:18">
      <c r="A148" s="7" t="s">
        <v>1796</v>
      </c>
      <c r="B148" s="7" t="s">
        <v>1576</v>
      </c>
      <c r="C148" s="7" t="s">
        <v>1355</v>
      </c>
      <c r="D148" s="7" t="s">
        <v>527</v>
      </c>
      <c r="E148" s="7" t="s">
        <v>281</v>
      </c>
      <c r="F148" s="7" t="s">
        <v>409</v>
      </c>
      <c r="G148" s="7" t="s">
        <v>535</v>
      </c>
      <c r="H148" s="7" t="s">
        <v>127</v>
      </c>
      <c r="I148" s="7" t="s">
        <v>299</v>
      </c>
      <c r="J148" s="7" t="s">
        <v>351</v>
      </c>
      <c r="K148" s="7"/>
      <c r="L148" s="7"/>
      <c r="M148" s="7" t="s">
        <v>260</v>
      </c>
      <c r="N148" s="7" t="s">
        <v>412</v>
      </c>
      <c r="O148" s="7" t="s">
        <v>169</v>
      </c>
      <c r="P148" s="7"/>
      <c r="Q148" s="7" t="s">
        <v>318</v>
      </c>
      <c r="R148" s="7" t="s">
        <v>1568</v>
      </c>
    </row>
    <row r="149" spans="1:18">
      <c r="A149" s="7" t="s">
        <v>1797</v>
      </c>
      <c r="B149" s="7" t="s">
        <v>1578</v>
      </c>
      <c r="C149" s="7" t="s">
        <v>1314</v>
      </c>
      <c r="D149" s="7" t="s">
        <v>909</v>
      </c>
      <c r="E149" s="7" t="s">
        <v>339</v>
      </c>
      <c r="F149" s="7" t="s">
        <v>297</v>
      </c>
      <c r="G149" s="7" t="s">
        <v>569</v>
      </c>
      <c r="H149" s="7" t="s">
        <v>115</v>
      </c>
      <c r="I149" s="7" t="s">
        <v>271</v>
      </c>
      <c r="J149" s="7" t="s">
        <v>411</v>
      </c>
      <c r="K149" s="7" t="s">
        <v>536</v>
      </c>
      <c r="L149" s="7" t="s">
        <v>869</v>
      </c>
      <c r="M149" s="7" t="s">
        <v>293</v>
      </c>
      <c r="N149" s="7" t="s">
        <v>304</v>
      </c>
      <c r="O149" s="7" t="s">
        <v>195</v>
      </c>
      <c r="P149" s="7" t="s">
        <v>17</v>
      </c>
      <c r="Q149" s="7" t="s">
        <v>326</v>
      </c>
      <c r="R149" s="7" t="s">
        <v>1568</v>
      </c>
    </row>
    <row r="150" spans="1:18">
      <c r="A150" s="7" t="s">
        <v>1798</v>
      </c>
      <c r="B150" s="7" t="s">
        <v>1583</v>
      </c>
      <c r="C150" s="7" t="s">
        <v>1288</v>
      </c>
      <c r="D150" s="7" t="s">
        <v>1405</v>
      </c>
      <c r="E150" s="7" t="s">
        <v>339</v>
      </c>
      <c r="F150" s="7" t="s">
        <v>409</v>
      </c>
      <c r="G150" s="7" t="s">
        <v>501</v>
      </c>
      <c r="H150" s="7" t="s">
        <v>115</v>
      </c>
      <c r="I150" s="7" t="s">
        <v>299</v>
      </c>
      <c r="J150" s="7" t="s">
        <v>341</v>
      </c>
      <c r="K150" s="7" t="s">
        <v>1139</v>
      </c>
      <c r="L150" s="7" t="s">
        <v>849</v>
      </c>
      <c r="M150" s="7" t="s">
        <v>293</v>
      </c>
      <c r="N150" s="7" t="s">
        <v>412</v>
      </c>
      <c r="O150" s="7" t="s">
        <v>195</v>
      </c>
      <c r="P150" s="7" t="s">
        <v>17</v>
      </c>
      <c r="Q150" s="7" t="s">
        <v>318</v>
      </c>
      <c r="R150" s="7" t="s">
        <v>1568</v>
      </c>
    </row>
    <row r="151" spans="1:18">
      <c r="A151" s="7" t="s">
        <v>1799</v>
      </c>
      <c r="B151" s="7" t="s">
        <v>1604</v>
      </c>
      <c r="C151" s="7" t="s">
        <v>914</v>
      </c>
      <c r="D151" s="7" t="s">
        <v>1393</v>
      </c>
      <c r="E151" s="7" t="s">
        <v>339</v>
      </c>
      <c r="F151" s="7" t="s">
        <v>269</v>
      </c>
      <c r="G151" s="7" t="s">
        <v>340</v>
      </c>
      <c r="H151" s="7" t="s">
        <v>115</v>
      </c>
      <c r="I151" s="7" t="s">
        <v>299</v>
      </c>
      <c r="J151" s="7" t="s">
        <v>358</v>
      </c>
      <c r="K151" s="7" t="s">
        <v>1223</v>
      </c>
      <c r="L151" s="7" t="s">
        <v>702</v>
      </c>
      <c r="M151" s="7" t="s">
        <v>303</v>
      </c>
      <c r="N151" s="7" t="s">
        <v>276</v>
      </c>
      <c r="O151" s="7" t="s">
        <v>195</v>
      </c>
      <c r="P151" s="7" t="s">
        <v>17</v>
      </c>
      <c r="Q151" s="7" t="s">
        <v>326</v>
      </c>
      <c r="R151" s="7" t="s">
        <v>1568</v>
      </c>
    </row>
    <row r="152" spans="1:18">
      <c r="A152" s="7" t="s">
        <v>1800</v>
      </c>
      <c r="B152" s="7" t="s">
        <v>1570</v>
      </c>
      <c r="C152" s="7" t="s">
        <v>1288</v>
      </c>
      <c r="D152" s="7" t="s">
        <v>1650</v>
      </c>
      <c r="E152" s="7" t="s">
        <v>255</v>
      </c>
      <c r="F152" s="7" t="s">
        <v>409</v>
      </c>
      <c r="G152" s="7" t="s">
        <v>648</v>
      </c>
      <c r="H152" s="7" t="s">
        <v>127</v>
      </c>
      <c r="I152" s="7" t="s">
        <v>299</v>
      </c>
      <c r="J152" s="7" t="s">
        <v>332</v>
      </c>
      <c r="K152" s="7"/>
      <c r="L152" s="7"/>
      <c r="M152" s="7" t="s">
        <v>260</v>
      </c>
      <c r="N152" s="7" t="s">
        <v>412</v>
      </c>
      <c r="O152" s="7" t="s">
        <v>195</v>
      </c>
      <c r="P152" s="7"/>
      <c r="Q152" s="7" t="s">
        <v>326</v>
      </c>
      <c r="R152" s="7" t="s">
        <v>1568</v>
      </c>
    </row>
    <row r="153" spans="1:18">
      <c r="A153" s="7" t="s">
        <v>1801</v>
      </c>
      <c r="B153" s="7" t="s">
        <v>1573</v>
      </c>
      <c r="C153" s="7" t="s">
        <v>1688</v>
      </c>
      <c r="D153" s="7" t="s">
        <v>673</v>
      </c>
      <c r="E153" s="7" t="s">
        <v>255</v>
      </c>
      <c r="F153" s="7" t="s">
        <v>256</v>
      </c>
      <c r="G153" s="7" t="s">
        <v>257</v>
      </c>
      <c r="H153" s="7" t="s">
        <v>115</v>
      </c>
      <c r="I153" s="7" t="s">
        <v>299</v>
      </c>
      <c r="J153" s="7" t="s">
        <v>358</v>
      </c>
      <c r="K153" s="7" t="s">
        <v>712</v>
      </c>
      <c r="L153" s="7" t="s">
        <v>1642</v>
      </c>
      <c r="M153" s="7" t="s">
        <v>275</v>
      </c>
      <c r="N153" s="7" t="s">
        <v>261</v>
      </c>
      <c r="O153" s="7" t="s">
        <v>1645</v>
      </c>
      <c r="P153" s="7" t="s">
        <v>11</v>
      </c>
      <c r="Q153" s="7" t="s">
        <v>326</v>
      </c>
      <c r="R153" s="7" t="s">
        <v>1568</v>
      </c>
    </row>
    <row r="154" spans="1:18">
      <c r="A154" s="7" t="s">
        <v>1802</v>
      </c>
      <c r="B154" s="7" t="s">
        <v>1591</v>
      </c>
      <c r="C154" s="7" t="s">
        <v>1290</v>
      </c>
      <c r="D154" s="7" t="s">
        <v>1077</v>
      </c>
      <c r="E154" s="7" t="s">
        <v>281</v>
      </c>
      <c r="F154" s="7" t="s">
        <v>409</v>
      </c>
      <c r="G154" s="7" t="s">
        <v>496</v>
      </c>
      <c r="H154" s="7" t="s">
        <v>115</v>
      </c>
      <c r="I154" s="7" t="s">
        <v>316</v>
      </c>
      <c r="J154" s="7" t="s">
        <v>404</v>
      </c>
      <c r="K154" s="7" t="s">
        <v>746</v>
      </c>
      <c r="L154" s="7" t="s">
        <v>650</v>
      </c>
      <c r="M154" s="7" t="s">
        <v>275</v>
      </c>
      <c r="N154" s="7"/>
      <c r="O154" s="7" t="s">
        <v>169</v>
      </c>
      <c r="P154" s="7" t="s">
        <v>11</v>
      </c>
      <c r="Q154" s="7" t="s">
        <v>285</v>
      </c>
      <c r="R154" s="7" t="s">
        <v>1568</v>
      </c>
    </row>
    <row r="155" spans="1:18">
      <c r="A155" s="7" t="s">
        <v>1803</v>
      </c>
      <c r="B155" s="7" t="s">
        <v>1576</v>
      </c>
      <c r="C155" s="7" t="s">
        <v>1363</v>
      </c>
      <c r="D155" s="7" t="s">
        <v>1804</v>
      </c>
      <c r="E155" s="7" t="s">
        <v>255</v>
      </c>
      <c r="F155" s="7" t="s">
        <v>282</v>
      </c>
      <c r="G155" s="7" t="s">
        <v>424</v>
      </c>
      <c r="H155" s="7" t="s">
        <v>122</v>
      </c>
      <c r="I155" s="7" t="s">
        <v>299</v>
      </c>
      <c r="J155" s="7" t="s">
        <v>351</v>
      </c>
      <c r="K155" s="7"/>
      <c r="L155" s="7"/>
      <c r="M155" s="7" t="s">
        <v>260</v>
      </c>
      <c r="N155" s="7" t="s">
        <v>284</v>
      </c>
      <c r="O155" s="7" t="s">
        <v>169</v>
      </c>
      <c r="P155" s="7"/>
      <c r="Q155" s="7" t="s">
        <v>318</v>
      </c>
      <c r="R155" s="7" t="s">
        <v>1568</v>
      </c>
    </row>
    <row r="156" spans="1:18">
      <c r="A156" s="7" t="s">
        <v>1805</v>
      </c>
      <c r="B156" s="7" t="s">
        <v>1688</v>
      </c>
      <c r="C156" s="7" t="s">
        <v>1003</v>
      </c>
      <c r="D156" s="7" t="s">
        <v>1416</v>
      </c>
      <c r="E156" s="7" t="s">
        <v>281</v>
      </c>
      <c r="F156" s="7" t="s">
        <v>409</v>
      </c>
      <c r="G156" s="7" t="s">
        <v>496</v>
      </c>
      <c r="H156" s="7" t="s">
        <v>115</v>
      </c>
      <c r="I156" s="7" t="s">
        <v>316</v>
      </c>
      <c r="J156" s="7" t="s">
        <v>259</v>
      </c>
      <c r="K156" s="7" t="s">
        <v>619</v>
      </c>
      <c r="L156" s="7" t="s">
        <v>713</v>
      </c>
      <c r="M156" s="7" t="s">
        <v>293</v>
      </c>
      <c r="N156" s="7" t="s">
        <v>412</v>
      </c>
      <c r="O156" s="7" t="s">
        <v>169</v>
      </c>
      <c r="P156" s="7" t="s">
        <v>17</v>
      </c>
      <c r="Q156" s="7" t="s">
        <v>305</v>
      </c>
      <c r="R156" s="7" t="s">
        <v>1568</v>
      </c>
    </row>
    <row r="157" spans="1:18">
      <c r="A157" s="7" t="s">
        <v>1806</v>
      </c>
      <c r="B157" s="7" t="s">
        <v>1583</v>
      </c>
      <c r="C157" s="7" t="s">
        <v>1290</v>
      </c>
      <c r="D157" s="7" t="s">
        <v>667</v>
      </c>
      <c r="E157" s="7" t="s">
        <v>339</v>
      </c>
      <c r="F157" s="7" t="s">
        <v>409</v>
      </c>
      <c r="G157" s="7" t="s">
        <v>501</v>
      </c>
      <c r="H157" s="7" t="s">
        <v>466</v>
      </c>
      <c r="I157" s="7" t="s">
        <v>299</v>
      </c>
      <c r="J157" s="7" t="s">
        <v>411</v>
      </c>
      <c r="K157" s="7"/>
      <c r="L157" s="7"/>
      <c r="M157" s="7" t="s">
        <v>260</v>
      </c>
      <c r="N157" s="7" t="s">
        <v>412</v>
      </c>
      <c r="O157" s="7" t="s">
        <v>195</v>
      </c>
      <c r="P157" s="7"/>
      <c r="Q157" s="7" t="s">
        <v>305</v>
      </c>
      <c r="R157" s="7" t="s">
        <v>1568</v>
      </c>
    </row>
    <row r="158" spans="1:18">
      <c r="A158" s="7" t="s">
        <v>1807</v>
      </c>
      <c r="B158" s="7" t="s">
        <v>1580</v>
      </c>
      <c r="C158" s="7" t="s">
        <v>1125</v>
      </c>
      <c r="D158" s="7" t="s">
        <v>772</v>
      </c>
      <c r="E158" s="7" t="s">
        <v>255</v>
      </c>
      <c r="F158" s="7" t="s">
        <v>256</v>
      </c>
      <c r="G158" s="7" t="s">
        <v>398</v>
      </c>
      <c r="H158" s="7" t="s">
        <v>115</v>
      </c>
      <c r="I158" s="7" t="s">
        <v>299</v>
      </c>
      <c r="J158" s="7" t="s">
        <v>358</v>
      </c>
      <c r="K158" s="7" t="s">
        <v>1166</v>
      </c>
      <c r="L158" s="7" t="s">
        <v>378</v>
      </c>
      <c r="M158" s="7" t="s">
        <v>275</v>
      </c>
      <c r="N158" s="7" t="s">
        <v>261</v>
      </c>
      <c r="O158" s="7" t="s">
        <v>195</v>
      </c>
      <c r="P158" s="7" t="s">
        <v>14</v>
      </c>
      <c r="Q158" s="7" t="s">
        <v>262</v>
      </c>
      <c r="R158" s="7" t="s">
        <v>1568</v>
      </c>
    </row>
    <row r="159" spans="1:18">
      <c r="A159" s="7" t="s">
        <v>1808</v>
      </c>
      <c r="B159" s="7" t="s">
        <v>1586</v>
      </c>
      <c r="C159" s="7" t="s">
        <v>1622</v>
      </c>
      <c r="D159" s="7" t="s">
        <v>350</v>
      </c>
      <c r="E159" s="7" t="s">
        <v>281</v>
      </c>
      <c r="F159" s="7" t="s">
        <v>409</v>
      </c>
      <c r="G159" s="7" t="s">
        <v>496</v>
      </c>
      <c r="H159" s="7" t="s">
        <v>115</v>
      </c>
      <c r="I159" s="7" t="s">
        <v>316</v>
      </c>
      <c r="J159" s="7" t="s">
        <v>272</v>
      </c>
      <c r="K159" s="7" t="s">
        <v>274</v>
      </c>
      <c r="L159" s="7" t="s">
        <v>1809</v>
      </c>
      <c r="M159" s="7" t="s">
        <v>303</v>
      </c>
      <c r="N159" s="7" t="s">
        <v>412</v>
      </c>
      <c r="O159" s="7" t="s">
        <v>169</v>
      </c>
      <c r="P159" s="7" t="s">
        <v>17</v>
      </c>
      <c r="Q159" s="7" t="s">
        <v>305</v>
      </c>
      <c r="R159" s="7" t="s">
        <v>1568</v>
      </c>
    </row>
    <row r="160" spans="1:18">
      <c r="A160" s="7" t="s">
        <v>1810</v>
      </c>
      <c r="B160" s="7" t="s">
        <v>1632</v>
      </c>
      <c r="C160" s="7" t="s">
        <v>1326</v>
      </c>
      <c r="D160" s="7" t="s">
        <v>820</v>
      </c>
      <c r="E160" s="7" t="s">
        <v>281</v>
      </c>
      <c r="F160" s="7" t="s">
        <v>256</v>
      </c>
      <c r="G160" s="7" t="s">
        <v>429</v>
      </c>
      <c r="H160" s="7" t="s">
        <v>1456</v>
      </c>
      <c r="I160" s="7" t="s">
        <v>316</v>
      </c>
      <c r="J160" s="7" t="s">
        <v>323</v>
      </c>
      <c r="K160" s="7" t="s">
        <v>1633</v>
      </c>
      <c r="L160" s="7" t="s">
        <v>986</v>
      </c>
      <c r="M160" s="7" t="s">
        <v>275</v>
      </c>
      <c r="N160" s="7" t="s">
        <v>261</v>
      </c>
      <c r="O160" s="7" t="s">
        <v>169</v>
      </c>
      <c r="P160" s="7" t="s">
        <v>14</v>
      </c>
      <c r="Q160" s="7" t="s">
        <v>262</v>
      </c>
      <c r="R160" s="7" t="s">
        <v>1568</v>
      </c>
    </row>
    <row r="161" spans="1:18">
      <c r="A161" s="7" t="s">
        <v>1811</v>
      </c>
      <c r="B161" s="7" t="s">
        <v>1627</v>
      </c>
      <c r="C161" s="7" t="s">
        <v>1343</v>
      </c>
      <c r="D161" s="7" t="s">
        <v>1755</v>
      </c>
      <c r="E161" s="7" t="s">
        <v>339</v>
      </c>
      <c r="F161" s="7" t="s">
        <v>269</v>
      </c>
      <c r="G161" s="7" t="s">
        <v>340</v>
      </c>
      <c r="H161" s="7" t="s">
        <v>115</v>
      </c>
      <c r="I161" s="7" t="s">
        <v>271</v>
      </c>
      <c r="J161" s="7" t="s">
        <v>332</v>
      </c>
      <c r="K161" s="7" t="s">
        <v>732</v>
      </c>
      <c r="L161" s="7" t="s">
        <v>1400</v>
      </c>
      <c r="M161" s="7" t="s">
        <v>275</v>
      </c>
      <c r="N161" s="7" t="s">
        <v>276</v>
      </c>
      <c r="O161" s="7" t="s">
        <v>169</v>
      </c>
      <c r="P161" s="7" t="s">
        <v>17</v>
      </c>
      <c r="Q161" s="7" t="s">
        <v>305</v>
      </c>
      <c r="R161" s="7" t="s">
        <v>1568</v>
      </c>
    </row>
    <row r="162" spans="1:18">
      <c r="A162" s="7" t="s">
        <v>1812</v>
      </c>
      <c r="B162" s="7" t="s">
        <v>1566</v>
      </c>
      <c r="C162" s="7" t="s">
        <v>993</v>
      </c>
      <c r="D162" s="7" t="s">
        <v>1157</v>
      </c>
      <c r="E162" s="7" t="s">
        <v>255</v>
      </c>
      <c r="F162" s="7" t="s">
        <v>282</v>
      </c>
      <c r="G162" s="7" t="s">
        <v>290</v>
      </c>
      <c r="H162" s="7" t="s">
        <v>115</v>
      </c>
      <c r="I162" s="7" t="s">
        <v>271</v>
      </c>
      <c r="J162" s="7" t="s">
        <v>411</v>
      </c>
      <c r="K162" s="7" t="s">
        <v>1813</v>
      </c>
      <c r="L162" s="7" t="s">
        <v>1348</v>
      </c>
      <c r="M162" s="7" t="s">
        <v>303</v>
      </c>
      <c r="N162" s="7" t="s">
        <v>284</v>
      </c>
      <c r="O162" s="7" t="s">
        <v>195</v>
      </c>
      <c r="P162" s="7" t="s">
        <v>14</v>
      </c>
      <c r="Q162" s="7" t="s">
        <v>318</v>
      </c>
      <c r="R162" s="7" t="s">
        <v>1568</v>
      </c>
    </row>
    <row r="163" spans="1:18">
      <c r="A163" s="7" t="s">
        <v>1814</v>
      </c>
      <c r="B163" s="7" t="s">
        <v>1617</v>
      </c>
      <c r="C163" s="7" t="s">
        <v>903</v>
      </c>
      <c r="D163" s="7" t="s">
        <v>882</v>
      </c>
      <c r="E163" s="7" t="s">
        <v>255</v>
      </c>
      <c r="F163" s="7"/>
      <c r="G163" s="7" t="s">
        <v>290</v>
      </c>
      <c r="H163" s="7" t="s">
        <v>115</v>
      </c>
      <c r="I163" s="7" t="s">
        <v>258</v>
      </c>
      <c r="J163" s="7" t="s">
        <v>447</v>
      </c>
      <c r="K163" s="7" t="s">
        <v>1606</v>
      </c>
      <c r="L163" s="7" t="s">
        <v>1460</v>
      </c>
      <c r="M163" s="7" t="s">
        <v>335</v>
      </c>
      <c r="N163" s="7" t="s">
        <v>284</v>
      </c>
      <c r="O163" s="7" t="s">
        <v>195</v>
      </c>
      <c r="P163" s="7" t="s">
        <v>14</v>
      </c>
      <c r="Q163" s="7" t="s">
        <v>305</v>
      </c>
      <c r="R163" s="7" t="s">
        <v>1568</v>
      </c>
    </row>
    <row r="164" spans="1:18">
      <c r="A164" s="7" t="s">
        <v>1815</v>
      </c>
      <c r="B164" s="7" t="s">
        <v>1578</v>
      </c>
      <c r="C164" s="7" t="s">
        <v>1381</v>
      </c>
      <c r="D164" s="7" t="s">
        <v>1816</v>
      </c>
      <c r="E164" s="7" t="s">
        <v>339</v>
      </c>
      <c r="F164" s="7" t="s">
        <v>256</v>
      </c>
      <c r="G164" s="7" t="s">
        <v>345</v>
      </c>
      <c r="H164" s="7" t="s">
        <v>115</v>
      </c>
      <c r="I164" s="7" t="s">
        <v>316</v>
      </c>
      <c r="J164" s="7" t="s">
        <v>399</v>
      </c>
      <c r="K164" s="7" t="s">
        <v>1293</v>
      </c>
      <c r="L164" s="7" t="s">
        <v>900</v>
      </c>
      <c r="M164" s="7" t="s">
        <v>303</v>
      </c>
      <c r="N164" s="7" t="s">
        <v>888</v>
      </c>
      <c r="O164" s="7" t="s">
        <v>169</v>
      </c>
      <c r="P164" s="7" t="s">
        <v>17</v>
      </c>
      <c r="Q164" s="7" t="s">
        <v>318</v>
      </c>
      <c r="R164" s="7" t="s">
        <v>1568</v>
      </c>
    </row>
    <row r="165" spans="1:18">
      <c r="A165" s="7" t="s">
        <v>1817</v>
      </c>
      <c r="B165" s="7" t="s">
        <v>1583</v>
      </c>
      <c r="C165" s="7" t="s">
        <v>1640</v>
      </c>
      <c r="D165" s="7" t="s">
        <v>1508</v>
      </c>
      <c r="E165" s="7" t="s">
        <v>255</v>
      </c>
      <c r="F165" s="7" t="s">
        <v>409</v>
      </c>
      <c r="G165" s="7" t="s">
        <v>648</v>
      </c>
      <c r="H165" s="7" t="s">
        <v>127</v>
      </c>
      <c r="I165" s="7" t="s">
        <v>299</v>
      </c>
      <c r="J165" s="7" t="s">
        <v>399</v>
      </c>
      <c r="K165" s="7"/>
      <c r="L165" s="7"/>
      <c r="M165" s="7" t="s">
        <v>260</v>
      </c>
      <c r="N165" s="7" t="s">
        <v>412</v>
      </c>
      <c r="O165" s="7" t="s">
        <v>195</v>
      </c>
      <c r="P165" s="7"/>
      <c r="Q165" s="7" t="s">
        <v>305</v>
      </c>
      <c r="R165" s="7" t="s">
        <v>1568</v>
      </c>
    </row>
    <row r="166" spans="1:18">
      <c r="A166" s="7" t="s">
        <v>1579</v>
      </c>
      <c r="B166" s="7" t="s">
        <v>1580</v>
      </c>
      <c r="C166" s="7" t="s">
        <v>1363</v>
      </c>
      <c r="D166" s="7" t="s">
        <v>978</v>
      </c>
      <c r="E166" s="7" t="s">
        <v>268</v>
      </c>
      <c r="F166" s="7" t="s">
        <v>409</v>
      </c>
      <c r="G166" s="7" t="s">
        <v>587</v>
      </c>
      <c r="H166" s="7" t="s">
        <v>115</v>
      </c>
      <c r="I166" s="7" t="s">
        <v>316</v>
      </c>
      <c r="J166" s="7" t="s">
        <v>259</v>
      </c>
      <c r="K166" s="7" t="s">
        <v>1357</v>
      </c>
      <c r="L166" s="7" t="s">
        <v>1581</v>
      </c>
      <c r="M166" s="7" t="s">
        <v>303</v>
      </c>
      <c r="N166" s="7" t="s">
        <v>412</v>
      </c>
      <c r="O166" s="7" t="s">
        <v>169</v>
      </c>
      <c r="P166" s="7" t="s">
        <v>11</v>
      </c>
      <c r="Q166" s="7" t="s">
        <v>305</v>
      </c>
      <c r="R166" s="7" t="s">
        <v>1568</v>
      </c>
    </row>
    <row r="167" spans="1:18">
      <c r="A167" s="7" t="s">
        <v>1675</v>
      </c>
      <c r="B167" s="7" t="s">
        <v>1580</v>
      </c>
      <c r="C167" s="7" t="s">
        <v>1003</v>
      </c>
      <c r="D167" s="7" t="s">
        <v>921</v>
      </c>
      <c r="E167" s="7" t="s">
        <v>339</v>
      </c>
      <c r="F167" s="7" t="s">
        <v>269</v>
      </c>
      <c r="G167" s="7" t="s">
        <v>340</v>
      </c>
      <c r="H167" s="7" t="s">
        <v>115</v>
      </c>
      <c r="I167" s="7" t="s">
        <v>316</v>
      </c>
      <c r="J167" s="7" t="s">
        <v>525</v>
      </c>
      <c r="K167" s="7" t="s">
        <v>975</v>
      </c>
      <c r="L167" s="7" t="s">
        <v>1676</v>
      </c>
      <c r="M167" s="7" t="s">
        <v>303</v>
      </c>
      <c r="N167" s="7" t="s">
        <v>276</v>
      </c>
      <c r="O167" s="7" t="s">
        <v>195</v>
      </c>
      <c r="P167" s="7" t="s">
        <v>14</v>
      </c>
      <c r="Q167" s="7" t="s">
        <v>318</v>
      </c>
      <c r="R167" s="7" t="s">
        <v>1568</v>
      </c>
    </row>
    <row r="168" spans="1:18">
      <c r="A168" s="7" t="s">
        <v>1742</v>
      </c>
      <c r="B168" s="7" t="s">
        <v>1615</v>
      </c>
      <c r="C168" s="7" t="s">
        <v>1288</v>
      </c>
      <c r="D168" s="7" t="s">
        <v>1475</v>
      </c>
      <c r="E168" s="7" t="s">
        <v>268</v>
      </c>
      <c r="F168" s="7" t="s">
        <v>409</v>
      </c>
      <c r="G168" s="7" t="s">
        <v>587</v>
      </c>
      <c r="H168" s="7" t="s">
        <v>115</v>
      </c>
      <c r="I168" s="7" t="s">
        <v>271</v>
      </c>
      <c r="J168" s="7" t="s">
        <v>300</v>
      </c>
      <c r="K168" s="7" t="s">
        <v>1743</v>
      </c>
      <c r="L168" s="7" t="s">
        <v>1720</v>
      </c>
      <c r="M168" s="7" t="s">
        <v>275</v>
      </c>
      <c r="N168" s="7" t="s">
        <v>549</v>
      </c>
      <c r="O168" s="7" t="s">
        <v>169</v>
      </c>
      <c r="P168" s="7" t="s">
        <v>11</v>
      </c>
      <c r="Q168" s="7" t="s">
        <v>262</v>
      </c>
      <c r="R168" s="7" t="s">
        <v>1568</v>
      </c>
    </row>
  </sheetData>
  <mergeCells count="2">
    <mergeCell ref="A1:R2"/>
    <mergeCell ref="A3:R3"/>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R168"/>
  <sheetViews>
    <sheetView showGridLines="0" workbookViewId="0">
      <selection activeCell="B13" sqref="B13"/>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49" t="s">
        <v>1818</v>
      </c>
      <c r="B1" s="49"/>
      <c r="C1" s="49"/>
      <c r="D1" s="49"/>
      <c r="E1" s="49"/>
      <c r="F1" s="49"/>
      <c r="G1" s="49"/>
      <c r="H1" s="49"/>
      <c r="I1" s="49"/>
      <c r="J1" s="49"/>
      <c r="K1" s="49"/>
      <c r="L1" s="49"/>
      <c r="M1" s="49"/>
      <c r="N1" s="49"/>
      <c r="O1" s="49"/>
      <c r="P1" s="49"/>
      <c r="Q1" s="49"/>
      <c r="R1" s="49"/>
    </row>
    <row r="2" spans="1:18">
      <c r="A2" s="49"/>
      <c r="B2" s="49"/>
      <c r="C2" s="49"/>
      <c r="D2" s="49"/>
      <c r="E2" s="49"/>
      <c r="F2" s="49"/>
      <c r="G2" s="49"/>
      <c r="H2" s="49"/>
      <c r="I2" s="49"/>
      <c r="J2" s="49"/>
      <c r="K2" s="49"/>
      <c r="L2" s="49"/>
      <c r="M2" s="49"/>
      <c r="N2" s="49"/>
      <c r="O2" s="49"/>
      <c r="P2" s="49"/>
      <c r="Q2" s="49"/>
      <c r="R2" s="49"/>
    </row>
    <row r="3" spans="1:18">
      <c r="A3" s="50" t="s">
        <v>250</v>
      </c>
      <c r="B3" s="50"/>
      <c r="C3" s="50"/>
      <c r="D3" s="50"/>
      <c r="E3" s="50"/>
      <c r="F3" s="50"/>
      <c r="G3" s="50"/>
      <c r="H3" s="50"/>
      <c r="I3" s="50"/>
      <c r="J3" s="50"/>
      <c r="K3" s="50"/>
      <c r="L3" s="50"/>
      <c r="M3" s="50"/>
      <c r="N3" s="50"/>
      <c r="O3" s="50"/>
      <c r="P3" s="50"/>
      <c r="Q3" s="50"/>
      <c r="R3" s="50"/>
    </row>
    <row r="4" spans="1:18" ht="14.5">
      <c r="A4" s="2"/>
      <c r="B4" s="2"/>
      <c r="C4" s="2"/>
      <c r="D4" s="2"/>
      <c r="E4" s="2"/>
      <c r="F4" s="2"/>
      <c r="G4" s="2"/>
      <c r="H4" s="2"/>
      <c r="I4" s="2"/>
      <c r="J4" s="2"/>
      <c r="K4" s="2"/>
      <c r="L4" s="2"/>
      <c r="M4" s="2"/>
      <c r="N4" s="2"/>
      <c r="O4" s="2"/>
      <c r="P4" s="2"/>
      <c r="Q4" s="2"/>
      <c r="R4" s="2"/>
    </row>
    <row r="5" spans="1:18" ht="29">
      <c r="A5" s="1" t="s">
        <v>166</v>
      </c>
      <c r="B5" s="1" t="s">
        <v>171</v>
      </c>
      <c r="C5" s="1" t="s">
        <v>175</v>
      </c>
      <c r="D5" s="1" t="s">
        <v>178</v>
      </c>
      <c r="E5" s="1" t="s">
        <v>181</v>
      </c>
      <c r="F5" s="1" t="s">
        <v>184</v>
      </c>
      <c r="G5" s="1" t="s">
        <v>187</v>
      </c>
      <c r="H5" s="1" t="s">
        <v>190</v>
      </c>
      <c r="I5" s="1" t="s">
        <v>193</v>
      </c>
      <c r="J5" s="1" t="s">
        <v>197</v>
      </c>
      <c r="K5" s="1" t="s">
        <v>201</v>
      </c>
      <c r="L5" s="1" t="s">
        <v>205</v>
      </c>
      <c r="M5" s="1" t="s">
        <v>207</v>
      </c>
      <c r="N5" s="1" t="s">
        <v>211</v>
      </c>
      <c r="O5" s="1" t="s">
        <v>215</v>
      </c>
      <c r="P5" s="1" t="s">
        <v>219</v>
      </c>
      <c r="Q5" s="1" t="s">
        <v>222</v>
      </c>
      <c r="R5" s="1" t="s">
        <v>225</v>
      </c>
    </row>
    <row r="6" spans="1:18">
      <c r="A6" s="7" t="s">
        <v>1819</v>
      </c>
      <c r="B6" s="7" t="s">
        <v>1820</v>
      </c>
      <c r="C6" s="7" t="s">
        <v>1590</v>
      </c>
      <c r="D6" s="7" t="s">
        <v>551</v>
      </c>
      <c r="E6" s="7" t="s">
        <v>281</v>
      </c>
      <c r="F6" s="7" t="s">
        <v>256</v>
      </c>
      <c r="G6" s="7" t="s">
        <v>796</v>
      </c>
      <c r="H6" s="7" t="s">
        <v>127</v>
      </c>
      <c r="I6" s="7" t="s">
        <v>271</v>
      </c>
      <c r="J6" s="7" t="s">
        <v>525</v>
      </c>
      <c r="K6" s="7"/>
      <c r="L6" s="7"/>
      <c r="M6" s="7" t="s">
        <v>260</v>
      </c>
      <c r="N6" s="7" t="s">
        <v>261</v>
      </c>
      <c r="O6" s="7" t="s">
        <v>195</v>
      </c>
      <c r="P6" s="7"/>
      <c r="Q6" s="7" t="s">
        <v>326</v>
      </c>
      <c r="R6" s="7" t="s">
        <v>1821</v>
      </c>
    </row>
    <row r="7" spans="1:18">
      <c r="A7" s="7" t="s">
        <v>1822</v>
      </c>
      <c r="B7" s="7" t="s">
        <v>1823</v>
      </c>
      <c r="C7" s="7" t="s">
        <v>1368</v>
      </c>
      <c r="D7" s="7" t="s">
        <v>1179</v>
      </c>
      <c r="E7" s="7" t="s">
        <v>339</v>
      </c>
      <c r="F7" s="7" t="s">
        <v>256</v>
      </c>
      <c r="G7" s="7" t="s">
        <v>345</v>
      </c>
      <c r="H7" s="7" t="s">
        <v>115</v>
      </c>
      <c r="I7" s="7" t="s">
        <v>316</v>
      </c>
      <c r="J7" s="7" t="s">
        <v>358</v>
      </c>
      <c r="K7" s="7" t="s">
        <v>1659</v>
      </c>
      <c r="L7" s="7" t="s">
        <v>1072</v>
      </c>
      <c r="M7" s="7" t="s">
        <v>293</v>
      </c>
      <c r="N7" s="7" t="s">
        <v>261</v>
      </c>
      <c r="O7" s="7" t="s">
        <v>195</v>
      </c>
      <c r="P7" s="7" t="s">
        <v>17</v>
      </c>
      <c r="Q7" s="7" t="s">
        <v>326</v>
      </c>
      <c r="R7" s="7" t="s">
        <v>1821</v>
      </c>
    </row>
    <row r="8" spans="1:18">
      <c r="A8" s="7" t="s">
        <v>1824</v>
      </c>
      <c r="B8" s="7" t="s">
        <v>1825</v>
      </c>
      <c r="C8" s="7" t="s">
        <v>1826</v>
      </c>
      <c r="D8" s="7" t="s">
        <v>1344</v>
      </c>
      <c r="E8" s="7" t="s">
        <v>268</v>
      </c>
      <c r="F8" s="7" t="s">
        <v>269</v>
      </c>
      <c r="G8" s="7" t="s">
        <v>435</v>
      </c>
      <c r="H8" s="7" t="s">
        <v>115</v>
      </c>
      <c r="I8" s="7" t="s">
        <v>258</v>
      </c>
      <c r="J8" s="7" t="s">
        <v>392</v>
      </c>
      <c r="K8" s="7" t="s">
        <v>455</v>
      </c>
      <c r="L8" s="7" t="s">
        <v>1134</v>
      </c>
      <c r="M8" s="7" t="s">
        <v>335</v>
      </c>
      <c r="N8" s="7" t="s">
        <v>276</v>
      </c>
      <c r="O8" s="7" t="s">
        <v>169</v>
      </c>
      <c r="P8" s="7" t="s">
        <v>11</v>
      </c>
      <c r="Q8" s="7" t="s">
        <v>318</v>
      </c>
      <c r="R8" s="7" t="s">
        <v>1821</v>
      </c>
    </row>
    <row r="9" spans="1:18">
      <c r="A9" s="7" t="s">
        <v>1827</v>
      </c>
      <c r="B9" s="7" t="s">
        <v>1828</v>
      </c>
      <c r="C9" s="7" t="s">
        <v>1570</v>
      </c>
      <c r="D9" s="7" t="s">
        <v>946</v>
      </c>
      <c r="E9" s="7" t="s">
        <v>268</v>
      </c>
      <c r="F9" s="7" t="s">
        <v>297</v>
      </c>
      <c r="G9" s="7" t="s">
        <v>583</v>
      </c>
      <c r="H9" s="7" t="s">
        <v>115</v>
      </c>
      <c r="I9" s="7" t="s">
        <v>299</v>
      </c>
      <c r="J9" s="7" t="s">
        <v>323</v>
      </c>
      <c r="K9" s="7" t="s">
        <v>1829</v>
      </c>
      <c r="L9" s="7" t="s">
        <v>1830</v>
      </c>
      <c r="M9" s="7" t="s">
        <v>303</v>
      </c>
      <c r="N9" s="7" t="s">
        <v>304</v>
      </c>
      <c r="O9" s="7" t="s">
        <v>195</v>
      </c>
      <c r="P9" s="7" t="s">
        <v>8</v>
      </c>
      <c r="Q9" s="7" t="s">
        <v>262</v>
      </c>
      <c r="R9" s="7" t="s">
        <v>1821</v>
      </c>
    </row>
    <row r="10" spans="1:18">
      <c r="A10" s="7" t="s">
        <v>1831</v>
      </c>
      <c r="B10" s="7" t="s">
        <v>1832</v>
      </c>
      <c r="C10" s="7" t="s">
        <v>1825</v>
      </c>
      <c r="D10" s="7" t="s">
        <v>468</v>
      </c>
      <c r="E10" s="7" t="s">
        <v>339</v>
      </c>
      <c r="F10" s="7" t="s">
        <v>297</v>
      </c>
      <c r="G10" s="7" t="s">
        <v>569</v>
      </c>
      <c r="H10" s="7" t="s">
        <v>115</v>
      </c>
      <c r="I10" s="7" t="s">
        <v>258</v>
      </c>
      <c r="J10" s="7" t="s">
        <v>411</v>
      </c>
      <c r="K10" s="7" t="s">
        <v>1240</v>
      </c>
      <c r="L10" s="7" t="s">
        <v>1757</v>
      </c>
      <c r="M10" s="7" t="s">
        <v>275</v>
      </c>
      <c r="N10" s="7" t="s">
        <v>304</v>
      </c>
      <c r="O10" s="7" t="s">
        <v>169</v>
      </c>
      <c r="P10" s="7" t="s">
        <v>14</v>
      </c>
      <c r="Q10" s="7" t="s">
        <v>305</v>
      </c>
      <c r="R10" s="7" t="s">
        <v>1821</v>
      </c>
    </row>
    <row r="11" spans="1:18">
      <c r="A11" s="7" t="s">
        <v>1833</v>
      </c>
      <c r="B11" s="7" t="s">
        <v>1834</v>
      </c>
      <c r="C11" s="7" t="s">
        <v>1825</v>
      </c>
      <c r="D11" s="7" t="s">
        <v>1246</v>
      </c>
      <c r="E11" s="7" t="s">
        <v>339</v>
      </c>
      <c r="F11" s="7" t="s">
        <v>282</v>
      </c>
      <c r="G11" s="7" t="s">
        <v>564</v>
      </c>
      <c r="H11" s="7" t="s">
        <v>122</v>
      </c>
      <c r="I11" s="7" t="s">
        <v>258</v>
      </c>
      <c r="J11" s="7" t="s">
        <v>346</v>
      </c>
      <c r="K11" s="7"/>
      <c r="L11" s="7"/>
      <c r="M11" s="7" t="s">
        <v>260</v>
      </c>
      <c r="N11" s="7" t="s">
        <v>284</v>
      </c>
      <c r="O11" s="7" t="s">
        <v>195</v>
      </c>
      <c r="P11" s="7"/>
      <c r="Q11" s="7" t="s">
        <v>305</v>
      </c>
      <c r="R11" s="7" t="s">
        <v>1821</v>
      </c>
    </row>
    <row r="12" spans="1:18">
      <c r="A12" s="7" t="s">
        <v>1835</v>
      </c>
      <c r="B12" s="7" t="s">
        <v>1828</v>
      </c>
      <c r="C12" s="7" t="s">
        <v>1325</v>
      </c>
      <c r="D12" s="7" t="s">
        <v>1055</v>
      </c>
      <c r="E12" s="7" t="s">
        <v>339</v>
      </c>
      <c r="F12" s="7" t="s">
        <v>409</v>
      </c>
      <c r="G12" s="7" t="s">
        <v>476</v>
      </c>
      <c r="H12" s="7" t="s">
        <v>115</v>
      </c>
      <c r="I12" s="7" t="s">
        <v>316</v>
      </c>
      <c r="J12" s="7" t="s">
        <v>259</v>
      </c>
      <c r="K12" s="7" t="s">
        <v>906</v>
      </c>
      <c r="L12" s="7" t="s">
        <v>311</v>
      </c>
      <c r="M12" s="7" t="s">
        <v>303</v>
      </c>
      <c r="N12" s="7" t="s">
        <v>412</v>
      </c>
      <c r="O12" s="7" t="s">
        <v>195</v>
      </c>
      <c r="P12" s="7" t="s">
        <v>8</v>
      </c>
      <c r="Q12" s="7" t="s">
        <v>305</v>
      </c>
      <c r="R12" s="7" t="s">
        <v>1821</v>
      </c>
    </row>
    <row r="13" spans="1:18">
      <c r="A13" s="7" t="s">
        <v>1836</v>
      </c>
      <c r="B13" s="7" t="s">
        <v>1837</v>
      </c>
      <c r="C13" s="7" t="s">
        <v>1571</v>
      </c>
      <c r="D13" s="7" t="s">
        <v>882</v>
      </c>
      <c r="E13" s="7" t="s">
        <v>255</v>
      </c>
      <c r="F13" s="7" t="s">
        <v>282</v>
      </c>
      <c r="G13" s="7" t="s">
        <v>290</v>
      </c>
      <c r="H13" s="7" t="s">
        <v>115</v>
      </c>
      <c r="I13" s="7" t="s">
        <v>316</v>
      </c>
      <c r="J13" s="7" t="s">
        <v>358</v>
      </c>
      <c r="K13" s="7" t="s">
        <v>1006</v>
      </c>
      <c r="L13" s="7" t="s">
        <v>1104</v>
      </c>
      <c r="M13" s="7" t="s">
        <v>275</v>
      </c>
      <c r="N13" s="7" t="s">
        <v>284</v>
      </c>
      <c r="O13" s="7" t="s">
        <v>169</v>
      </c>
      <c r="P13" s="7" t="s">
        <v>11</v>
      </c>
      <c r="Q13" s="7" t="s">
        <v>285</v>
      </c>
      <c r="R13" s="7" t="s">
        <v>1821</v>
      </c>
    </row>
    <row r="14" spans="1:18">
      <c r="A14" s="7" t="s">
        <v>1838</v>
      </c>
      <c r="B14" s="7" t="s">
        <v>1839</v>
      </c>
      <c r="C14" s="7" t="s">
        <v>1834</v>
      </c>
      <c r="D14" s="7" t="s">
        <v>594</v>
      </c>
      <c r="E14" s="7" t="s">
        <v>255</v>
      </c>
      <c r="F14" s="7" t="s">
        <v>269</v>
      </c>
      <c r="G14" s="7" t="s">
        <v>391</v>
      </c>
      <c r="H14" s="7" t="s">
        <v>127</v>
      </c>
      <c r="I14" s="7" t="s">
        <v>258</v>
      </c>
      <c r="J14" s="7" t="s">
        <v>529</v>
      </c>
      <c r="K14" s="7"/>
      <c r="L14" s="7"/>
      <c r="M14" s="7" t="s">
        <v>260</v>
      </c>
      <c r="N14" s="7" t="s">
        <v>276</v>
      </c>
      <c r="O14" s="7" t="s">
        <v>195</v>
      </c>
      <c r="P14" s="7"/>
      <c r="Q14" s="7" t="s">
        <v>318</v>
      </c>
      <c r="R14" s="7" t="s">
        <v>1821</v>
      </c>
    </row>
    <row r="15" spans="1:18">
      <c r="A15" s="7" t="s">
        <v>1840</v>
      </c>
      <c r="B15" s="7" t="s">
        <v>1841</v>
      </c>
      <c r="C15" s="7" t="s">
        <v>1571</v>
      </c>
      <c r="D15" s="7" t="s">
        <v>468</v>
      </c>
      <c r="E15" s="7" t="s">
        <v>255</v>
      </c>
      <c r="F15" s="7" t="s">
        <v>256</v>
      </c>
      <c r="G15" s="7" t="s">
        <v>257</v>
      </c>
      <c r="H15" s="7" t="s">
        <v>115</v>
      </c>
      <c r="I15" s="7" t="s">
        <v>316</v>
      </c>
      <c r="J15" s="7" t="s">
        <v>346</v>
      </c>
      <c r="K15" s="7" t="s">
        <v>1047</v>
      </c>
      <c r="L15" s="7" t="s">
        <v>629</v>
      </c>
      <c r="M15" s="7" t="s">
        <v>303</v>
      </c>
      <c r="N15" s="7" t="s">
        <v>261</v>
      </c>
      <c r="O15" s="7" t="s">
        <v>169</v>
      </c>
      <c r="P15" s="7" t="s">
        <v>17</v>
      </c>
      <c r="Q15" s="7" t="s">
        <v>285</v>
      </c>
      <c r="R15" s="7" t="s">
        <v>1821</v>
      </c>
    </row>
    <row r="16" spans="1:18">
      <c r="A16" s="7" t="s">
        <v>1842</v>
      </c>
      <c r="B16" s="7" t="s">
        <v>1843</v>
      </c>
      <c r="C16" s="7" t="s">
        <v>1615</v>
      </c>
      <c r="D16" s="7" t="s">
        <v>642</v>
      </c>
      <c r="E16" s="7" t="s">
        <v>339</v>
      </c>
      <c r="F16" s="7" t="s">
        <v>297</v>
      </c>
      <c r="G16" s="7" t="s">
        <v>780</v>
      </c>
      <c r="H16" s="7" t="s">
        <v>115</v>
      </c>
      <c r="I16" s="7" t="s">
        <v>299</v>
      </c>
      <c r="J16" s="7" t="s">
        <v>525</v>
      </c>
      <c r="K16" s="7" t="s">
        <v>1844</v>
      </c>
      <c r="L16" s="7" t="s">
        <v>1104</v>
      </c>
      <c r="M16" s="7" t="s">
        <v>335</v>
      </c>
      <c r="N16" s="7" t="s">
        <v>304</v>
      </c>
      <c r="O16" s="7" t="s">
        <v>195</v>
      </c>
      <c r="P16" s="7" t="s">
        <v>17</v>
      </c>
      <c r="Q16" s="7" t="s">
        <v>318</v>
      </c>
      <c r="R16" s="7" t="s">
        <v>1821</v>
      </c>
    </row>
    <row r="17" spans="1:18">
      <c r="A17" s="7" t="s">
        <v>1845</v>
      </c>
      <c r="B17" s="7" t="s">
        <v>1832</v>
      </c>
      <c r="C17" s="7" t="s">
        <v>1593</v>
      </c>
      <c r="D17" s="7" t="s">
        <v>1846</v>
      </c>
      <c r="E17" s="7" t="s">
        <v>281</v>
      </c>
      <c r="F17" s="7" t="s">
        <v>409</v>
      </c>
      <c r="G17" s="7" t="s">
        <v>535</v>
      </c>
      <c r="H17" s="7" t="s">
        <v>115</v>
      </c>
      <c r="I17" s="7" t="s">
        <v>258</v>
      </c>
      <c r="J17" s="7" t="s">
        <v>259</v>
      </c>
      <c r="K17" s="7" t="s">
        <v>854</v>
      </c>
      <c r="L17" s="7" t="s">
        <v>1655</v>
      </c>
      <c r="M17" s="7" t="s">
        <v>335</v>
      </c>
      <c r="N17" s="7" t="s">
        <v>412</v>
      </c>
      <c r="O17" s="7" t="s">
        <v>195</v>
      </c>
      <c r="P17" s="7" t="s">
        <v>17</v>
      </c>
      <c r="Q17" s="7" t="s">
        <v>262</v>
      </c>
      <c r="R17" s="7" t="s">
        <v>1821</v>
      </c>
    </row>
    <row r="18" spans="1:18">
      <c r="A18" s="7" t="s">
        <v>1847</v>
      </c>
      <c r="B18" s="7" t="s">
        <v>1837</v>
      </c>
      <c r="C18" s="7" t="s">
        <v>1570</v>
      </c>
      <c r="D18" s="7" t="s">
        <v>1410</v>
      </c>
      <c r="E18" s="7" t="s">
        <v>281</v>
      </c>
      <c r="F18" s="7" t="s">
        <v>282</v>
      </c>
      <c r="G18" s="7" t="s">
        <v>283</v>
      </c>
      <c r="H18" s="7" t="s">
        <v>115</v>
      </c>
      <c r="I18" s="7" t="s">
        <v>299</v>
      </c>
      <c r="J18" s="7" t="s">
        <v>259</v>
      </c>
      <c r="K18" s="7" t="s">
        <v>1411</v>
      </c>
      <c r="L18" s="7" t="s">
        <v>1406</v>
      </c>
      <c r="M18" s="7" t="s">
        <v>293</v>
      </c>
      <c r="N18" s="7" t="s">
        <v>284</v>
      </c>
      <c r="O18" s="7" t="s">
        <v>169</v>
      </c>
      <c r="P18" s="7" t="s">
        <v>11</v>
      </c>
      <c r="Q18" s="7" t="s">
        <v>285</v>
      </c>
      <c r="R18" s="7" t="s">
        <v>1821</v>
      </c>
    </row>
    <row r="19" spans="1:18">
      <c r="A19" s="7" t="s">
        <v>1848</v>
      </c>
      <c r="B19" s="7" t="s">
        <v>1849</v>
      </c>
      <c r="C19" s="7" t="s">
        <v>1580</v>
      </c>
      <c r="D19" s="7" t="s">
        <v>930</v>
      </c>
      <c r="E19" s="7" t="s">
        <v>255</v>
      </c>
      <c r="F19" s="7" t="s">
        <v>256</v>
      </c>
      <c r="G19" s="7" t="s">
        <v>398</v>
      </c>
      <c r="H19" s="7" t="s">
        <v>115</v>
      </c>
      <c r="I19" s="7" t="s">
        <v>271</v>
      </c>
      <c r="J19" s="7" t="s">
        <v>272</v>
      </c>
      <c r="K19" s="7" t="s">
        <v>274</v>
      </c>
      <c r="L19" s="7" t="s">
        <v>719</v>
      </c>
      <c r="M19" s="7" t="s">
        <v>303</v>
      </c>
      <c r="N19" s="7" t="s">
        <v>261</v>
      </c>
      <c r="O19" s="7" t="s">
        <v>195</v>
      </c>
      <c r="P19" s="7" t="s">
        <v>17</v>
      </c>
      <c r="Q19" s="7" t="s">
        <v>318</v>
      </c>
      <c r="R19" s="7" t="s">
        <v>1821</v>
      </c>
    </row>
    <row r="20" spans="1:18">
      <c r="A20" s="7" t="s">
        <v>1850</v>
      </c>
      <c r="B20" s="7" t="s">
        <v>1851</v>
      </c>
      <c r="C20" s="7" t="s">
        <v>1852</v>
      </c>
      <c r="D20" s="7" t="s">
        <v>486</v>
      </c>
      <c r="E20" s="7" t="s">
        <v>339</v>
      </c>
      <c r="F20" s="7" t="s">
        <v>269</v>
      </c>
      <c r="G20" s="7" t="s">
        <v>340</v>
      </c>
      <c r="H20" s="7" t="s">
        <v>115</v>
      </c>
      <c r="I20" s="7" t="s">
        <v>316</v>
      </c>
      <c r="J20" s="7" t="s">
        <v>411</v>
      </c>
      <c r="K20" s="7" t="s">
        <v>1063</v>
      </c>
      <c r="L20" s="7" t="s">
        <v>1853</v>
      </c>
      <c r="M20" s="7" t="s">
        <v>303</v>
      </c>
      <c r="N20" s="7" t="s">
        <v>276</v>
      </c>
      <c r="O20" s="7" t="s">
        <v>195</v>
      </c>
      <c r="P20" s="7" t="s">
        <v>14</v>
      </c>
      <c r="Q20" s="7" t="s">
        <v>262</v>
      </c>
      <c r="R20" s="7" t="s">
        <v>1821</v>
      </c>
    </row>
    <row r="21" spans="1:18">
      <c r="A21" s="7" t="s">
        <v>1854</v>
      </c>
      <c r="B21" s="7" t="s">
        <v>1855</v>
      </c>
      <c r="C21" s="7" t="s">
        <v>1856</v>
      </c>
      <c r="D21" s="7" t="s">
        <v>1361</v>
      </c>
      <c r="E21" s="7" t="s">
        <v>255</v>
      </c>
      <c r="F21" s="7" t="s">
        <v>409</v>
      </c>
      <c r="G21" s="7" t="s">
        <v>648</v>
      </c>
      <c r="H21" s="7" t="s">
        <v>127</v>
      </c>
      <c r="I21" s="7" t="s">
        <v>316</v>
      </c>
      <c r="J21" s="7" t="s">
        <v>323</v>
      </c>
      <c r="K21" s="7"/>
      <c r="L21" s="7"/>
      <c r="M21" s="7" t="s">
        <v>260</v>
      </c>
      <c r="N21" s="7" t="s">
        <v>412</v>
      </c>
      <c r="O21" s="7" t="s">
        <v>195</v>
      </c>
      <c r="P21" s="7"/>
      <c r="Q21" s="7" t="s">
        <v>285</v>
      </c>
      <c r="R21" s="7" t="s">
        <v>1821</v>
      </c>
    </row>
    <row r="22" spans="1:18">
      <c r="A22" s="7" t="s">
        <v>1857</v>
      </c>
      <c r="B22" s="7" t="s">
        <v>1858</v>
      </c>
      <c r="C22" s="7" t="s">
        <v>1859</v>
      </c>
      <c r="D22" s="7" t="s">
        <v>289</v>
      </c>
      <c r="E22" s="7" t="s">
        <v>255</v>
      </c>
      <c r="F22" s="7" t="s">
        <v>409</v>
      </c>
      <c r="G22" s="7" t="s">
        <v>410</v>
      </c>
      <c r="H22" s="7" t="s">
        <v>115</v>
      </c>
      <c r="I22" s="7" t="s">
        <v>299</v>
      </c>
      <c r="J22" s="7" t="s">
        <v>346</v>
      </c>
      <c r="K22" s="7" t="s">
        <v>477</v>
      </c>
      <c r="L22" s="7" t="s">
        <v>1339</v>
      </c>
      <c r="M22" s="7" t="s">
        <v>275</v>
      </c>
      <c r="N22" s="7" t="s">
        <v>412</v>
      </c>
      <c r="O22" s="7" t="s">
        <v>195</v>
      </c>
      <c r="P22" s="7" t="s">
        <v>14</v>
      </c>
      <c r="Q22" s="7" t="s">
        <v>326</v>
      </c>
      <c r="R22" s="7" t="s">
        <v>1821</v>
      </c>
    </row>
    <row r="23" spans="1:18">
      <c r="A23" s="7" t="s">
        <v>1860</v>
      </c>
      <c r="B23" s="7" t="s">
        <v>1851</v>
      </c>
      <c r="C23" s="7" t="s">
        <v>1591</v>
      </c>
      <c r="D23" s="7" t="s">
        <v>1246</v>
      </c>
      <c r="E23" s="7" t="s">
        <v>255</v>
      </c>
      <c r="F23" s="7" t="s">
        <v>409</v>
      </c>
      <c r="G23" s="7" t="s">
        <v>648</v>
      </c>
      <c r="H23" s="7" t="s">
        <v>115</v>
      </c>
      <c r="I23" s="7" t="s">
        <v>299</v>
      </c>
      <c r="J23" s="7" t="s">
        <v>525</v>
      </c>
      <c r="K23" s="7" t="s">
        <v>1844</v>
      </c>
      <c r="L23" s="7" t="s">
        <v>1861</v>
      </c>
      <c r="M23" s="7" t="s">
        <v>275</v>
      </c>
      <c r="N23" s="7" t="s">
        <v>412</v>
      </c>
      <c r="O23" s="7" t="s">
        <v>195</v>
      </c>
      <c r="P23" s="7" t="s">
        <v>17</v>
      </c>
      <c r="Q23" s="7" t="s">
        <v>285</v>
      </c>
      <c r="R23" s="7" t="s">
        <v>1821</v>
      </c>
    </row>
    <row r="24" spans="1:18">
      <c r="A24" s="7" t="s">
        <v>1862</v>
      </c>
      <c r="B24" s="7" t="s">
        <v>1826</v>
      </c>
      <c r="C24" s="7" t="s">
        <v>1368</v>
      </c>
      <c r="D24" s="7" t="s">
        <v>765</v>
      </c>
      <c r="E24" s="7" t="s">
        <v>255</v>
      </c>
      <c r="F24" s="7" t="s">
        <v>282</v>
      </c>
      <c r="G24" s="7" t="s">
        <v>290</v>
      </c>
      <c r="H24" s="7" t="s">
        <v>127</v>
      </c>
      <c r="I24" s="7" t="s">
        <v>271</v>
      </c>
      <c r="J24" s="7" t="s">
        <v>404</v>
      </c>
      <c r="K24" s="7"/>
      <c r="L24" s="7"/>
      <c r="M24" s="7" t="s">
        <v>260</v>
      </c>
      <c r="N24" s="7" t="s">
        <v>284</v>
      </c>
      <c r="O24" s="7" t="s">
        <v>195</v>
      </c>
      <c r="P24" s="7"/>
      <c r="Q24" s="7" t="s">
        <v>326</v>
      </c>
      <c r="R24" s="7" t="s">
        <v>1821</v>
      </c>
    </row>
    <row r="25" spans="1:18">
      <c r="A25" s="7" t="s">
        <v>1863</v>
      </c>
      <c r="B25" s="7" t="s">
        <v>1834</v>
      </c>
      <c r="C25" s="7" t="s">
        <v>1409</v>
      </c>
      <c r="D25" s="7" t="s">
        <v>1864</v>
      </c>
      <c r="E25" s="7" t="s">
        <v>339</v>
      </c>
      <c r="F25" s="7" t="s">
        <v>256</v>
      </c>
      <c r="G25" s="7" t="s">
        <v>403</v>
      </c>
      <c r="H25" s="7" t="s">
        <v>127</v>
      </c>
      <c r="I25" s="7" t="s">
        <v>299</v>
      </c>
      <c r="J25" s="7" t="s">
        <v>323</v>
      </c>
      <c r="K25" s="7"/>
      <c r="L25" s="7"/>
      <c r="M25" s="7" t="s">
        <v>260</v>
      </c>
      <c r="N25" s="7" t="s">
        <v>261</v>
      </c>
      <c r="O25" s="7" t="s">
        <v>169</v>
      </c>
      <c r="P25" s="7"/>
      <c r="Q25" s="7" t="s">
        <v>326</v>
      </c>
      <c r="R25" s="7" t="s">
        <v>1821</v>
      </c>
    </row>
    <row r="26" spans="1:18">
      <c r="A26" s="7" t="s">
        <v>1865</v>
      </c>
      <c r="B26" s="7" t="s">
        <v>1866</v>
      </c>
      <c r="C26" s="7" t="s">
        <v>1609</v>
      </c>
      <c r="D26" s="7" t="s">
        <v>1378</v>
      </c>
      <c r="E26" s="7" t="s">
        <v>281</v>
      </c>
      <c r="F26" s="7" t="s">
        <v>282</v>
      </c>
      <c r="G26" s="7" t="s">
        <v>446</v>
      </c>
      <c r="H26" s="7" t="s">
        <v>115</v>
      </c>
      <c r="I26" s="7" t="s">
        <v>316</v>
      </c>
      <c r="J26" s="7" t="s">
        <v>323</v>
      </c>
      <c r="K26" s="7" t="s">
        <v>1244</v>
      </c>
      <c r="L26" s="7" t="s">
        <v>1486</v>
      </c>
      <c r="M26" s="7" t="s">
        <v>303</v>
      </c>
      <c r="N26" s="7" t="s">
        <v>284</v>
      </c>
      <c r="O26" s="7" t="s">
        <v>195</v>
      </c>
      <c r="P26" s="7" t="s">
        <v>17</v>
      </c>
      <c r="Q26" s="7" t="s">
        <v>318</v>
      </c>
      <c r="R26" s="7" t="s">
        <v>1821</v>
      </c>
    </row>
    <row r="27" spans="1:18">
      <c r="A27" s="7" t="s">
        <v>1867</v>
      </c>
      <c r="B27" s="7" t="s">
        <v>1868</v>
      </c>
      <c r="C27" s="7" t="s">
        <v>1275</v>
      </c>
      <c r="D27" s="7" t="s">
        <v>1050</v>
      </c>
      <c r="E27" s="7" t="s">
        <v>268</v>
      </c>
      <c r="F27" s="7" t="s">
        <v>256</v>
      </c>
      <c r="G27" s="7" t="s">
        <v>419</v>
      </c>
      <c r="H27" s="7" t="s">
        <v>115</v>
      </c>
      <c r="I27" s="7" t="s">
        <v>299</v>
      </c>
      <c r="J27" s="7" t="s">
        <v>323</v>
      </c>
      <c r="K27" s="7" t="s">
        <v>1869</v>
      </c>
      <c r="L27" s="7" t="s">
        <v>462</v>
      </c>
      <c r="M27" s="7" t="s">
        <v>335</v>
      </c>
      <c r="N27" s="7" t="s">
        <v>261</v>
      </c>
      <c r="O27" s="7" t="s">
        <v>195</v>
      </c>
      <c r="P27" s="7" t="s">
        <v>8</v>
      </c>
      <c r="Q27" s="7" t="s">
        <v>305</v>
      </c>
      <c r="R27" s="7" t="s">
        <v>1821</v>
      </c>
    </row>
    <row r="28" spans="1:18">
      <c r="A28" s="7" t="s">
        <v>1870</v>
      </c>
      <c r="B28" s="7" t="s">
        <v>1834</v>
      </c>
      <c r="C28" s="7" t="s">
        <v>1687</v>
      </c>
      <c r="D28" s="7" t="s">
        <v>1071</v>
      </c>
      <c r="E28" s="7" t="s">
        <v>268</v>
      </c>
      <c r="F28" s="7" t="s">
        <v>297</v>
      </c>
      <c r="G28" s="7" t="s">
        <v>583</v>
      </c>
      <c r="H28" s="7" t="s">
        <v>115</v>
      </c>
      <c r="I28" s="7" t="s">
        <v>271</v>
      </c>
      <c r="J28" s="7" t="s">
        <v>411</v>
      </c>
      <c r="K28" s="7" t="s">
        <v>611</v>
      </c>
      <c r="L28" s="7" t="s">
        <v>808</v>
      </c>
      <c r="M28" s="7" t="s">
        <v>275</v>
      </c>
      <c r="N28" s="7" t="s">
        <v>304</v>
      </c>
      <c r="O28" s="7" t="s">
        <v>195</v>
      </c>
      <c r="P28" s="7" t="s">
        <v>8</v>
      </c>
      <c r="Q28" s="7" t="s">
        <v>285</v>
      </c>
      <c r="R28" s="7" t="s">
        <v>1821</v>
      </c>
    </row>
    <row r="29" spans="1:18">
      <c r="A29" s="7" t="s">
        <v>1871</v>
      </c>
      <c r="B29" s="7" t="s">
        <v>1855</v>
      </c>
      <c r="C29" s="7" t="s">
        <v>1583</v>
      </c>
      <c r="D29" s="7" t="s">
        <v>1872</v>
      </c>
      <c r="E29" s="7" t="s">
        <v>268</v>
      </c>
      <c r="F29" s="7" t="s">
        <v>297</v>
      </c>
      <c r="G29" s="7" t="s">
        <v>583</v>
      </c>
      <c r="H29" s="7" t="s">
        <v>115</v>
      </c>
      <c r="I29" s="7" t="s">
        <v>271</v>
      </c>
      <c r="J29" s="7" t="s">
        <v>259</v>
      </c>
      <c r="K29" s="7" t="s">
        <v>437</v>
      </c>
      <c r="L29" s="7" t="s">
        <v>565</v>
      </c>
      <c r="M29" s="7" t="s">
        <v>303</v>
      </c>
      <c r="N29" s="7" t="s">
        <v>304</v>
      </c>
      <c r="O29" s="7" t="s">
        <v>195</v>
      </c>
      <c r="P29" s="7" t="s">
        <v>17</v>
      </c>
      <c r="Q29" s="7" t="s">
        <v>285</v>
      </c>
      <c r="R29" s="7" t="s">
        <v>1821</v>
      </c>
    </row>
    <row r="30" spans="1:18">
      <c r="A30" s="7" t="s">
        <v>1873</v>
      </c>
      <c r="B30" s="7" t="s">
        <v>1832</v>
      </c>
      <c r="C30" s="7" t="s">
        <v>1632</v>
      </c>
      <c r="D30" s="7" t="s">
        <v>541</v>
      </c>
      <c r="E30" s="7" t="s">
        <v>255</v>
      </c>
      <c r="F30" s="7" t="s">
        <v>409</v>
      </c>
      <c r="G30" s="7" t="s">
        <v>648</v>
      </c>
      <c r="H30" s="7" t="s">
        <v>115</v>
      </c>
      <c r="I30" s="7" t="s">
        <v>316</v>
      </c>
      <c r="J30" s="7" t="s">
        <v>404</v>
      </c>
      <c r="K30" s="7" t="s">
        <v>1874</v>
      </c>
      <c r="L30" s="7" t="s">
        <v>697</v>
      </c>
      <c r="M30" s="7" t="s">
        <v>275</v>
      </c>
      <c r="N30" s="7" t="s">
        <v>412</v>
      </c>
      <c r="O30" s="7" t="s">
        <v>195</v>
      </c>
      <c r="P30" s="7" t="s">
        <v>17</v>
      </c>
      <c r="Q30" s="7" t="s">
        <v>326</v>
      </c>
      <c r="R30" s="7" t="s">
        <v>1821</v>
      </c>
    </row>
    <row r="31" spans="1:18">
      <c r="A31" s="7" t="s">
        <v>1875</v>
      </c>
      <c r="B31" s="7" t="s">
        <v>1876</v>
      </c>
      <c r="C31" s="7" t="s">
        <v>1627</v>
      </c>
      <c r="D31" s="7" t="s">
        <v>823</v>
      </c>
      <c r="E31" s="7" t="s">
        <v>339</v>
      </c>
      <c r="F31" s="7" t="s">
        <v>256</v>
      </c>
      <c r="G31" s="7" t="s">
        <v>345</v>
      </c>
      <c r="H31" s="7" t="s">
        <v>127</v>
      </c>
      <c r="I31" s="7" t="s">
        <v>271</v>
      </c>
      <c r="J31" s="7" t="s">
        <v>392</v>
      </c>
      <c r="K31" s="7"/>
      <c r="L31" s="7"/>
      <c r="M31" s="7" t="s">
        <v>260</v>
      </c>
      <c r="N31" s="7" t="s">
        <v>261</v>
      </c>
      <c r="O31" s="7" t="s">
        <v>195</v>
      </c>
      <c r="P31" s="7"/>
      <c r="Q31" s="7" t="s">
        <v>326</v>
      </c>
      <c r="R31" s="7" t="s">
        <v>1821</v>
      </c>
    </row>
    <row r="32" spans="1:18">
      <c r="A32" s="7" t="s">
        <v>1877</v>
      </c>
      <c r="B32" s="7" t="s">
        <v>1843</v>
      </c>
      <c r="C32" s="7" t="s">
        <v>1617</v>
      </c>
      <c r="D32" s="7" t="s">
        <v>706</v>
      </c>
      <c r="E32" s="7" t="s">
        <v>255</v>
      </c>
      <c r="F32" s="7" t="s">
        <v>409</v>
      </c>
      <c r="G32" s="7" t="s">
        <v>410</v>
      </c>
      <c r="H32" s="7" t="s">
        <v>122</v>
      </c>
      <c r="I32" s="7" t="s">
        <v>271</v>
      </c>
      <c r="J32" s="7" t="s">
        <v>399</v>
      </c>
      <c r="K32" s="7"/>
      <c r="L32" s="7"/>
      <c r="M32" s="7" t="s">
        <v>260</v>
      </c>
      <c r="N32" s="7" t="s">
        <v>412</v>
      </c>
      <c r="O32" s="7" t="s">
        <v>195</v>
      </c>
      <c r="P32" s="7"/>
      <c r="Q32" s="7" t="s">
        <v>285</v>
      </c>
      <c r="R32" s="7" t="s">
        <v>1821</v>
      </c>
    </row>
    <row r="33" spans="1:18">
      <c r="A33" s="7" t="s">
        <v>1878</v>
      </c>
      <c r="B33" s="7" t="s">
        <v>1841</v>
      </c>
      <c r="C33" s="7" t="s">
        <v>1641</v>
      </c>
      <c r="D33" s="7" t="s">
        <v>1405</v>
      </c>
      <c r="E33" s="7" t="s">
        <v>268</v>
      </c>
      <c r="F33" s="7" t="s">
        <v>256</v>
      </c>
      <c r="G33" s="7" t="s">
        <v>419</v>
      </c>
      <c r="H33" s="7" t="s">
        <v>115</v>
      </c>
      <c r="I33" s="7" t="s">
        <v>258</v>
      </c>
      <c r="J33" s="7" t="s">
        <v>411</v>
      </c>
      <c r="K33" s="7" t="s">
        <v>1767</v>
      </c>
      <c r="L33" s="7" t="s">
        <v>411</v>
      </c>
      <c r="M33" s="7" t="s">
        <v>275</v>
      </c>
      <c r="N33" s="7" t="s">
        <v>261</v>
      </c>
      <c r="O33" s="7" t="s">
        <v>195</v>
      </c>
      <c r="P33" s="7" t="s">
        <v>17</v>
      </c>
      <c r="Q33" s="7" t="s">
        <v>285</v>
      </c>
      <c r="R33" s="7" t="s">
        <v>1821</v>
      </c>
    </row>
    <row r="34" spans="1:18">
      <c r="A34" s="7" t="s">
        <v>1879</v>
      </c>
      <c r="B34" s="7" t="s">
        <v>1876</v>
      </c>
      <c r="C34" s="7" t="s">
        <v>1409</v>
      </c>
      <c r="D34" s="7" t="s">
        <v>1503</v>
      </c>
      <c r="E34" s="7" t="s">
        <v>281</v>
      </c>
      <c r="F34" s="7" t="s">
        <v>409</v>
      </c>
      <c r="G34" s="7" t="s">
        <v>535</v>
      </c>
      <c r="H34" s="7" t="s">
        <v>115</v>
      </c>
      <c r="I34" s="7" t="s">
        <v>299</v>
      </c>
      <c r="J34" s="7" t="s">
        <v>529</v>
      </c>
      <c r="K34" s="7" t="s">
        <v>1176</v>
      </c>
      <c r="L34" s="7" t="s">
        <v>910</v>
      </c>
      <c r="M34" s="7" t="s">
        <v>303</v>
      </c>
      <c r="N34" s="7" t="s">
        <v>412</v>
      </c>
      <c r="O34" s="7" t="s">
        <v>195</v>
      </c>
      <c r="P34" s="7" t="s">
        <v>11</v>
      </c>
      <c r="Q34" s="7" t="s">
        <v>318</v>
      </c>
      <c r="R34" s="7" t="s">
        <v>1821</v>
      </c>
    </row>
    <row r="35" spans="1:18">
      <c r="A35" s="7" t="s">
        <v>1880</v>
      </c>
      <c r="B35" s="7" t="s">
        <v>1876</v>
      </c>
      <c r="C35" s="7" t="s">
        <v>1843</v>
      </c>
      <c r="D35" s="7" t="s">
        <v>418</v>
      </c>
      <c r="E35" s="7" t="s">
        <v>268</v>
      </c>
      <c r="F35" s="7" t="s">
        <v>409</v>
      </c>
      <c r="G35" s="7" t="s">
        <v>587</v>
      </c>
      <c r="H35" s="7" t="s">
        <v>115</v>
      </c>
      <c r="I35" s="7" t="s">
        <v>299</v>
      </c>
      <c r="J35" s="7" t="s">
        <v>332</v>
      </c>
      <c r="K35" s="7" t="s">
        <v>373</v>
      </c>
      <c r="L35" s="7" t="s">
        <v>1881</v>
      </c>
      <c r="M35" s="7" t="s">
        <v>293</v>
      </c>
      <c r="N35" s="7" t="s">
        <v>412</v>
      </c>
      <c r="O35" s="7" t="s">
        <v>195</v>
      </c>
      <c r="P35" s="7" t="s">
        <v>17</v>
      </c>
      <c r="Q35" s="7" t="s">
        <v>326</v>
      </c>
      <c r="R35" s="7" t="s">
        <v>1821</v>
      </c>
    </row>
    <row r="36" spans="1:18">
      <c r="A36" s="7" t="s">
        <v>1882</v>
      </c>
      <c r="B36" s="7" t="s">
        <v>1858</v>
      </c>
      <c r="C36" s="7" t="s">
        <v>1825</v>
      </c>
      <c r="D36" s="7" t="s">
        <v>1383</v>
      </c>
      <c r="E36" s="7" t="s">
        <v>339</v>
      </c>
      <c r="F36" s="7" t="s">
        <v>256</v>
      </c>
      <c r="G36" s="7" t="s">
        <v>345</v>
      </c>
      <c r="H36" s="7" t="s">
        <v>1456</v>
      </c>
      <c r="I36" s="7" t="s">
        <v>316</v>
      </c>
      <c r="J36" s="7" t="s">
        <v>404</v>
      </c>
      <c r="K36" s="7" t="s">
        <v>746</v>
      </c>
      <c r="L36" s="7" t="s">
        <v>697</v>
      </c>
      <c r="M36" s="7" t="s">
        <v>275</v>
      </c>
      <c r="N36" s="7" t="s">
        <v>261</v>
      </c>
      <c r="O36" s="7" t="s">
        <v>169</v>
      </c>
      <c r="P36" s="7" t="s">
        <v>17</v>
      </c>
      <c r="Q36" s="7" t="s">
        <v>326</v>
      </c>
      <c r="R36" s="7" t="s">
        <v>1821</v>
      </c>
    </row>
    <row r="37" spans="1:18">
      <c r="A37" s="7" t="s">
        <v>1883</v>
      </c>
      <c r="B37" s="7" t="s">
        <v>1852</v>
      </c>
      <c r="C37" s="7" t="s">
        <v>1834</v>
      </c>
      <c r="D37" s="7" t="s">
        <v>546</v>
      </c>
      <c r="E37" s="7" t="s">
        <v>268</v>
      </c>
      <c r="F37" s="7" t="s">
        <v>256</v>
      </c>
      <c r="G37" s="7" t="s">
        <v>419</v>
      </c>
      <c r="H37" s="7" t="s">
        <v>115</v>
      </c>
      <c r="I37" s="7" t="s">
        <v>299</v>
      </c>
      <c r="J37" s="7" t="s">
        <v>392</v>
      </c>
      <c r="K37" s="7" t="s">
        <v>679</v>
      </c>
      <c r="L37" s="7" t="s">
        <v>792</v>
      </c>
      <c r="M37" s="7" t="s">
        <v>293</v>
      </c>
      <c r="N37" s="7" t="s">
        <v>261</v>
      </c>
      <c r="O37" s="7" t="s">
        <v>169</v>
      </c>
      <c r="P37" s="7" t="s">
        <v>14</v>
      </c>
      <c r="Q37" s="7" t="s">
        <v>305</v>
      </c>
      <c r="R37" s="7" t="s">
        <v>1821</v>
      </c>
    </row>
    <row r="38" spans="1:18">
      <c r="A38" s="7" t="s">
        <v>1884</v>
      </c>
      <c r="B38" s="7" t="s">
        <v>1885</v>
      </c>
      <c r="C38" s="7" t="s">
        <v>1886</v>
      </c>
      <c r="D38" s="7" t="s">
        <v>721</v>
      </c>
      <c r="E38" s="7" t="s">
        <v>339</v>
      </c>
      <c r="F38" s="7" t="s">
        <v>269</v>
      </c>
      <c r="G38" s="7" t="s">
        <v>528</v>
      </c>
      <c r="H38" s="7" t="s">
        <v>115</v>
      </c>
      <c r="I38" s="7" t="s">
        <v>271</v>
      </c>
      <c r="J38" s="7" t="s">
        <v>341</v>
      </c>
      <c r="K38" s="7" t="s">
        <v>928</v>
      </c>
      <c r="L38" s="7" t="s">
        <v>1414</v>
      </c>
      <c r="M38" s="7" t="s">
        <v>335</v>
      </c>
      <c r="N38" s="7" t="s">
        <v>276</v>
      </c>
      <c r="O38" s="7" t="s">
        <v>195</v>
      </c>
      <c r="P38" s="7" t="s">
        <v>11</v>
      </c>
      <c r="Q38" s="7" t="s">
        <v>318</v>
      </c>
      <c r="R38" s="7" t="s">
        <v>1821</v>
      </c>
    </row>
    <row r="39" spans="1:18">
      <c r="A39" s="7" t="s">
        <v>1887</v>
      </c>
      <c r="B39" s="7" t="s">
        <v>1888</v>
      </c>
      <c r="C39" s="7" t="s">
        <v>1858</v>
      </c>
      <c r="D39" s="7" t="s">
        <v>989</v>
      </c>
      <c r="E39" s="7" t="s">
        <v>255</v>
      </c>
      <c r="F39" s="7" t="s">
        <v>269</v>
      </c>
      <c r="G39" s="7" t="s">
        <v>542</v>
      </c>
      <c r="H39" s="7" t="s">
        <v>466</v>
      </c>
      <c r="I39" s="7" t="s">
        <v>271</v>
      </c>
      <c r="J39" s="7" t="s">
        <v>332</v>
      </c>
      <c r="K39" s="7"/>
      <c r="L39" s="7"/>
      <c r="M39" s="7" t="s">
        <v>260</v>
      </c>
      <c r="N39" s="7" t="s">
        <v>276</v>
      </c>
      <c r="O39" s="7" t="s">
        <v>169</v>
      </c>
      <c r="P39" s="7"/>
      <c r="Q39" s="7" t="s">
        <v>262</v>
      </c>
      <c r="R39" s="7" t="s">
        <v>1821</v>
      </c>
    </row>
    <row r="40" spans="1:18">
      <c r="A40" s="7" t="s">
        <v>1889</v>
      </c>
      <c r="B40" s="7" t="s">
        <v>1890</v>
      </c>
      <c r="C40" s="7" t="s">
        <v>1586</v>
      </c>
      <c r="D40" s="7" t="s">
        <v>1083</v>
      </c>
      <c r="E40" s="7" t="s">
        <v>268</v>
      </c>
      <c r="F40" s="7" t="s">
        <v>282</v>
      </c>
      <c r="G40" s="7" t="s">
        <v>505</v>
      </c>
      <c r="H40" s="7" t="s">
        <v>122</v>
      </c>
      <c r="I40" s="7" t="s">
        <v>316</v>
      </c>
      <c r="J40" s="7" t="s">
        <v>300</v>
      </c>
      <c r="K40" s="7"/>
      <c r="L40" s="7"/>
      <c r="M40" s="7" t="s">
        <v>260</v>
      </c>
      <c r="N40" s="7" t="s">
        <v>284</v>
      </c>
      <c r="O40" s="7" t="s">
        <v>169</v>
      </c>
      <c r="P40" s="7"/>
      <c r="Q40" s="7" t="s">
        <v>326</v>
      </c>
      <c r="R40" s="7" t="s">
        <v>1821</v>
      </c>
    </row>
    <row r="41" spans="1:18">
      <c r="A41" s="7" t="s">
        <v>1891</v>
      </c>
      <c r="B41" s="7" t="s">
        <v>1834</v>
      </c>
      <c r="C41" s="7" t="s">
        <v>1580</v>
      </c>
      <c r="D41" s="7" t="s">
        <v>715</v>
      </c>
      <c r="E41" s="7" t="s">
        <v>281</v>
      </c>
      <c r="F41" s="7" t="s">
        <v>409</v>
      </c>
      <c r="G41" s="7" t="s">
        <v>535</v>
      </c>
      <c r="H41" s="7" t="s">
        <v>127</v>
      </c>
      <c r="I41" s="7" t="s">
        <v>271</v>
      </c>
      <c r="J41" s="7" t="s">
        <v>358</v>
      </c>
      <c r="K41" s="7"/>
      <c r="L41" s="7"/>
      <c r="M41" s="7" t="s">
        <v>260</v>
      </c>
      <c r="N41" s="7" t="s">
        <v>412</v>
      </c>
      <c r="O41" s="7" t="s">
        <v>195</v>
      </c>
      <c r="P41" s="7"/>
      <c r="Q41" s="7" t="s">
        <v>326</v>
      </c>
      <c r="R41" s="7" t="s">
        <v>1821</v>
      </c>
    </row>
    <row r="42" spans="1:18">
      <c r="A42" s="7" t="s">
        <v>1892</v>
      </c>
      <c r="B42" s="7" t="s">
        <v>1832</v>
      </c>
      <c r="C42" s="7" t="s">
        <v>1852</v>
      </c>
      <c r="D42" s="7" t="s">
        <v>586</v>
      </c>
      <c r="E42" s="7" t="s">
        <v>339</v>
      </c>
      <c r="F42" s="7" t="s">
        <v>297</v>
      </c>
      <c r="G42" s="7" t="s">
        <v>569</v>
      </c>
      <c r="H42" s="7" t="s">
        <v>115</v>
      </c>
      <c r="I42" s="7" t="s">
        <v>316</v>
      </c>
      <c r="J42" s="7" t="s">
        <v>332</v>
      </c>
      <c r="K42" s="7" t="s">
        <v>937</v>
      </c>
      <c r="L42" s="7" t="s">
        <v>1723</v>
      </c>
      <c r="M42" s="7" t="s">
        <v>303</v>
      </c>
      <c r="N42" s="7" t="s">
        <v>304</v>
      </c>
      <c r="O42" s="7" t="s">
        <v>631</v>
      </c>
      <c r="P42" s="7" t="s">
        <v>14</v>
      </c>
      <c r="Q42" s="7" t="s">
        <v>262</v>
      </c>
      <c r="R42" s="7" t="s">
        <v>1821</v>
      </c>
    </row>
    <row r="43" spans="1:18">
      <c r="A43" s="7" t="s">
        <v>1893</v>
      </c>
      <c r="B43" s="7" t="s">
        <v>1839</v>
      </c>
      <c r="C43" s="7" t="s">
        <v>1573</v>
      </c>
      <c r="D43" s="7" t="s">
        <v>418</v>
      </c>
      <c r="E43" s="7" t="s">
        <v>281</v>
      </c>
      <c r="F43" s="7" t="s">
        <v>297</v>
      </c>
      <c r="G43" s="7" t="s">
        <v>298</v>
      </c>
      <c r="H43" s="7" t="s">
        <v>115</v>
      </c>
      <c r="I43" s="7" t="s">
        <v>271</v>
      </c>
      <c r="J43" s="7" t="s">
        <v>272</v>
      </c>
      <c r="K43" s="7" t="s">
        <v>274</v>
      </c>
      <c r="L43" s="7" t="s">
        <v>1809</v>
      </c>
      <c r="M43" s="7" t="s">
        <v>303</v>
      </c>
      <c r="N43" s="7" t="s">
        <v>304</v>
      </c>
      <c r="O43" s="7" t="s">
        <v>195</v>
      </c>
      <c r="P43" s="7" t="s">
        <v>17</v>
      </c>
      <c r="Q43" s="7" t="s">
        <v>318</v>
      </c>
      <c r="R43" s="7" t="s">
        <v>1821</v>
      </c>
    </row>
    <row r="44" spans="1:18">
      <c r="A44" s="7" t="s">
        <v>1894</v>
      </c>
      <c r="B44" s="7" t="s">
        <v>1823</v>
      </c>
      <c r="C44" s="7" t="s">
        <v>1576</v>
      </c>
      <c r="D44" s="7" t="s">
        <v>534</v>
      </c>
      <c r="E44" s="7" t="s">
        <v>268</v>
      </c>
      <c r="F44" s="7" t="s">
        <v>256</v>
      </c>
      <c r="G44" s="7" t="s">
        <v>419</v>
      </c>
      <c r="H44" s="7" t="s">
        <v>115</v>
      </c>
      <c r="I44" s="7" t="s">
        <v>316</v>
      </c>
      <c r="J44" s="7" t="s">
        <v>392</v>
      </c>
      <c r="K44" s="7" t="s">
        <v>1101</v>
      </c>
      <c r="L44" s="7" t="s">
        <v>411</v>
      </c>
      <c r="M44" s="7" t="s">
        <v>303</v>
      </c>
      <c r="N44" s="7" t="s">
        <v>261</v>
      </c>
      <c r="O44" s="7" t="s">
        <v>195</v>
      </c>
      <c r="P44" s="7" t="s">
        <v>11</v>
      </c>
      <c r="Q44" s="7" t="s">
        <v>326</v>
      </c>
      <c r="R44" s="7" t="s">
        <v>1821</v>
      </c>
    </row>
    <row r="45" spans="1:18">
      <c r="A45" s="7" t="s">
        <v>1895</v>
      </c>
      <c r="B45" s="7" t="s">
        <v>1859</v>
      </c>
      <c r="C45" s="7" t="s">
        <v>1886</v>
      </c>
      <c r="D45" s="7" t="s">
        <v>800</v>
      </c>
      <c r="E45" s="7" t="s">
        <v>339</v>
      </c>
      <c r="F45" s="7" t="s">
        <v>256</v>
      </c>
      <c r="G45" s="7" t="s">
        <v>345</v>
      </c>
      <c r="H45" s="7" t="s">
        <v>115</v>
      </c>
      <c r="I45" s="7" t="s">
        <v>316</v>
      </c>
      <c r="J45" s="7" t="s">
        <v>323</v>
      </c>
      <c r="K45" s="7" t="s">
        <v>1896</v>
      </c>
      <c r="L45" s="7" t="s">
        <v>827</v>
      </c>
      <c r="M45" s="7" t="s">
        <v>293</v>
      </c>
      <c r="N45" s="7" t="s">
        <v>261</v>
      </c>
      <c r="O45" s="7" t="s">
        <v>169</v>
      </c>
      <c r="P45" s="7" t="s">
        <v>14</v>
      </c>
      <c r="Q45" s="7" t="s">
        <v>318</v>
      </c>
      <c r="R45" s="7" t="s">
        <v>1821</v>
      </c>
    </row>
    <row r="46" spans="1:18">
      <c r="A46" s="7" t="s">
        <v>1897</v>
      </c>
      <c r="B46" s="7" t="s">
        <v>1859</v>
      </c>
      <c r="C46" s="7" t="s">
        <v>1598</v>
      </c>
      <c r="D46" s="7" t="s">
        <v>465</v>
      </c>
      <c r="E46" s="7" t="s">
        <v>281</v>
      </c>
      <c r="F46" s="7" t="s">
        <v>269</v>
      </c>
      <c r="G46" s="7" t="s">
        <v>322</v>
      </c>
      <c r="H46" s="7" t="s">
        <v>115</v>
      </c>
      <c r="I46" s="7" t="s">
        <v>271</v>
      </c>
      <c r="J46" s="7" t="s">
        <v>300</v>
      </c>
      <c r="K46" s="7" t="s">
        <v>443</v>
      </c>
      <c r="L46" s="7" t="s">
        <v>482</v>
      </c>
      <c r="M46" s="7" t="s">
        <v>275</v>
      </c>
      <c r="N46" s="7" t="s">
        <v>276</v>
      </c>
      <c r="O46" s="7" t="s">
        <v>169</v>
      </c>
      <c r="P46" s="7" t="s">
        <v>17</v>
      </c>
      <c r="Q46" s="7" t="s">
        <v>285</v>
      </c>
      <c r="R46" s="7" t="s">
        <v>1821</v>
      </c>
    </row>
    <row r="47" spans="1:18">
      <c r="A47" s="7" t="s">
        <v>1898</v>
      </c>
      <c r="B47" s="7" t="s">
        <v>1899</v>
      </c>
      <c r="C47" s="7" t="s">
        <v>1305</v>
      </c>
      <c r="D47" s="7" t="s">
        <v>1071</v>
      </c>
      <c r="E47" s="7" t="s">
        <v>339</v>
      </c>
      <c r="F47" s="7" t="s">
        <v>282</v>
      </c>
      <c r="G47" s="7" t="s">
        <v>461</v>
      </c>
      <c r="H47" s="7" t="s">
        <v>122</v>
      </c>
      <c r="I47" s="7" t="s">
        <v>271</v>
      </c>
      <c r="J47" s="7" t="s">
        <v>300</v>
      </c>
      <c r="K47" s="7"/>
      <c r="L47" s="7"/>
      <c r="M47" s="7" t="s">
        <v>260</v>
      </c>
      <c r="N47" s="7" t="s">
        <v>284</v>
      </c>
      <c r="O47" s="7" t="s">
        <v>169</v>
      </c>
      <c r="P47" s="7"/>
      <c r="Q47" s="7" t="s">
        <v>285</v>
      </c>
      <c r="R47" s="7" t="s">
        <v>1821</v>
      </c>
    </row>
    <row r="48" spans="1:18">
      <c r="A48" s="7" t="s">
        <v>1900</v>
      </c>
      <c r="B48" s="7" t="s">
        <v>1886</v>
      </c>
      <c r="C48" s="7" t="s">
        <v>1641</v>
      </c>
      <c r="D48" s="7" t="s">
        <v>958</v>
      </c>
      <c r="E48" s="7" t="s">
        <v>674</v>
      </c>
      <c r="F48" s="7" t="s">
        <v>409</v>
      </c>
      <c r="G48" s="7" t="s">
        <v>476</v>
      </c>
      <c r="H48" s="7" t="s">
        <v>115</v>
      </c>
      <c r="I48" s="7" t="s">
        <v>316</v>
      </c>
      <c r="J48" s="7" t="s">
        <v>300</v>
      </c>
      <c r="K48" s="7" t="s">
        <v>793</v>
      </c>
      <c r="L48" s="7" t="s">
        <v>1652</v>
      </c>
      <c r="M48" s="7" t="s">
        <v>275</v>
      </c>
      <c r="N48" s="7" t="s">
        <v>412</v>
      </c>
      <c r="O48" s="7" t="s">
        <v>169</v>
      </c>
      <c r="P48" s="7" t="s">
        <v>8</v>
      </c>
      <c r="Q48" s="7" t="s">
        <v>318</v>
      </c>
      <c r="R48" s="7" t="s">
        <v>1821</v>
      </c>
    </row>
    <row r="49" spans="1:18">
      <c r="A49" s="7" t="s">
        <v>1901</v>
      </c>
      <c r="B49" s="7" t="s">
        <v>1886</v>
      </c>
      <c r="C49" s="7" t="s">
        <v>1611</v>
      </c>
      <c r="D49" s="7" t="s">
        <v>1162</v>
      </c>
      <c r="E49" s="7" t="s">
        <v>281</v>
      </c>
      <c r="F49" s="7" t="s">
        <v>269</v>
      </c>
      <c r="G49" s="7" t="s">
        <v>363</v>
      </c>
      <c r="H49" s="7" t="s">
        <v>115</v>
      </c>
      <c r="I49" s="7" t="s">
        <v>271</v>
      </c>
      <c r="J49" s="7" t="s">
        <v>529</v>
      </c>
      <c r="K49" s="7" t="s">
        <v>1777</v>
      </c>
      <c r="L49" s="7" t="s">
        <v>1902</v>
      </c>
      <c r="M49" s="7" t="s">
        <v>335</v>
      </c>
      <c r="N49" s="7" t="s">
        <v>276</v>
      </c>
      <c r="O49" s="7" t="s">
        <v>195</v>
      </c>
      <c r="P49" s="7" t="s">
        <v>17</v>
      </c>
      <c r="Q49" s="7" t="s">
        <v>305</v>
      </c>
      <c r="R49" s="7" t="s">
        <v>1821</v>
      </c>
    </row>
    <row r="50" spans="1:18">
      <c r="A50" s="7" t="s">
        <v>1903</v>
      </c>
      <c r="B50" s="7" t="s">
        <v>1852</v>
      </c>
      <c r="C50" s="7" t="s">
        <v>1825</v>
      </c>
      <c r="D50" s="7" t="s">
        <v>1405</v>
      </c>
      <c r="E50" s="7" t="s">
        <v>255</v>
      </c>
      <c r="F50" s="7" t="s">
        <v>297</v>
      </c>
      <c r="G50" s="7" t="s">
        <v>331</v>
      </c>
      <c r="H50" s="7" t="s">
        <v>115</v>
      </c>
      <c r="I50" s="7" t="s">
        <v>299</v>
      </c>
      <c r="J50" s="7" t="s">
        <v>346</v>
      </c>
      <c r="K50" s="7" t="s">
        <v>1904</v>
      </c>
      <c r="L50" s="7" t="s">
        <v>884</v>
      </c>
      <c r="M50" s="7" t="s">
        <v>303</v>
      </c>
      <c r="N50" s="7" t="s">
        <v>304</v>
      </c>
      <c r="O50" s="7" t="s">
        <v>195</v>
      </c>
      <c r="P50" s="7" t="s">
        <v>17</v>
      </c>
      <c r="Q50" s="7" t="s">
        <v>305</v>
      </c>
      <c r="R50" s="7" t="s">
        <v>1821</v>
      </c>
    </row>
    <row r="51" spans="1:18">
      <c r="A51" s="7" t="s">
        <v>1905</v>
      </c>
      <c r="B51" s="7" t="s">
        <v>1885</v>
      </c>
      <c r="C51" s="7" t="s">
        <v>1906</v>
      </c>
      <c r="D51" s="7" t="s">
        <v>1907</v>
      </c>
      <c r="E51" s="7" t="s">
        <v>268</v>
      </c>
      <c r="F51" s="7" t="s">
        <v>409</v>
      </c>
      <c r="G51" s="7" t="s">
        <v>587</v>
      </c>
      <c r="H51" s="7" t="s">
        <v>466</v>
      </c>
      <c r="I51" s="7" t="s">
        <v>271</v>
      </c>
      <c r="J51" s="7" t="s">
        <v>346</v>
      </c>
      <c r="K51" s="7"/>
      <c r="L51" s="7"/>
      <c r="M51" s="7" t="s">
        <v>260</v>
      </c>
      <c r="N51" s="7" t="s">
        <v>412</v>
      </c>
      <c r="O51" s="7" t="s">
        <v>195</v>
      </c>
      <c r="P51" s="7"/>
      <c r="Q51" s="7" t="s">
        <v>285</v>
      </c>
      <c r="R51" s="7" t="s">
        <v>1821</v>
      </c>
    </row>
    <row r="52" spans="1:18">
      <c r="A52" s="7" t="s">
        <v>1908</v>
      </c>
      <c r="B52" s="7" t="s">
        <v>1841</v>
      </c>
      <c r="C52" s="7" t="s">
        <v>1837</v>
      </c>
      <c r="D52" s="7" t="s">
        <v>1909</v>
      </c>
      <c r="E52" s="7" t="s">
        <v>255</v>
      </c>
      <c r="F52" s="7" t="s">
        <v>269</v>
      </c>
      <c r="G52" s="7" t="s">
        <v>391</v>
      </c>
      <c r="H52" s="7" t="s">
        <v>115</v>
      </c>
      <c r="I52" s="7" t="s">
        <v>1025</v>
      </c>
      <c r="J52" s="7" t="s">
        <v>272</v>
      </c>
      <c r="K52" s="7" t="s">
        <v>942</v>
      </c>
      <c r="L52" s="7" t="s">
        <v>949</v>
      </c>
      <c r="M52" s="7" t="s">
        <v>275</v>
      </c>
      <c r="N52" s="7" t="s">
        <v>276</v>
      </c>
      <c r="O52" s="7" t="s">
        <v>195</v>
      </c>
      <c r="P52" s="7" t="s">
        <v>14</v>
      </c>
      <c r="Q52" s="7" t="s">
        <v>326</v>
      </c>
      <c r="R52" s="7" t="s">
        <v>1821</v>
      </c>
    </row>
    <row r="53" spans="1:18">
      <c r="A53" s="7" t="s">
        <v>1910</v>
      </c>
      <c r="B53" s="7" t="s">
        <v>1826</v>
      </c>
      <c r="C53" s="7" t="s">
        <v>1828</v>
      </c>
      <c r="D53" s="7" t="s">
        <v>1222</v>
      </c>
      <c r="E53" s="7" t="s">
        <v>268</v>
      </c>
      <c r="F53" s="7" t="s">
        <v>269</v>
      </c>
      <c r="G53" s="7" t="s">
        <v>435</v>
      </c>
      <c r="H53" s="7" t="s">
        <v>115</v>
      </c>
      <c r="I53" s="7" t="s">
        <v>299</v>
      </c>
      <c r="J53" s="7" t="s">
        <v>399</v>
      </c>
      <c r="K53" s="7" t="s">
        <v>635</v>
      </c>
      <c r="L53" s="7" t="s">
        <v>511</v>
      </c>
      <c r="M53" s="7" t="s">
        <v>293</v>
      </c>
      <c r="N53" s="7" t="s">
        <v>276</v>
      </c>
      <c r="O53" s="7" t="s">
        <v>195</v>
      </c>
      <c r="P53" s="7" t="s">
        <v>11</v>
      </c>
      <c r="Q53" s="7" t="s">
        <v>326</v>
      </c>
      <c r="R53" s="7" t="s">
        <v>1821</v>
      </c>
    </row>
    <row r="54" spans="1:18">
      <c r="A54" s="7" t="s">
        <v>1911</v>
      </c>
      <c r="B54" s="7" t="s">
        <v>1912</v>
      </c>
      <c r="C54" s="7" t="s">
        <v>1368</v>
      </c>
      <c r="D54" s="7" t="s">
        <v>454</v>
      </c>
      <c r="E54" s="7" t="s">
        <v>255</v>
      </c>
      <c r="F54" s="7" t="s">
        <v>297</v>
      </c>
      <c r="G54" s="7" t="s">
        <v>331</v>
      </c>
      <c r="H54" s="7" t="s">
        <v>115</v>
      </c>
      <c r="I54" s="7" t="s">
        <v>316</v>
      </c>
      <c r="J54" s="7" t="s">
        <v>358</v>
      </c>
      <c r="K54" s="7" t="s">
        <v>1655</v>
      </c>
      <c r="L54" s="7" t="s">
        <v>1104</v>
      </c>
      <c r="M54" s="7" t="s">
        <v>293</v>
      </c>
      <c r="N54" s="7" t="s">
        <v>304</v>
      </c>
      <c r="O54" s="7" t="s">
        <v>195</v>
      </c>
      <c r="P54" s="7" t="s">
        <v>17</v>
      </c>
      <c r="Q54" s="7" t="s">
        <v>305</v>
      </c>
      <c r="R54" s="7" t="s">
        <v>1821</v>
      </c>
    </row>
    <row r="55" spans="1:18">
      <c r="A55" s="7" t="s">
        <v>1913</v>
      </c>
      <c r="B55" s="7" t="s">
        <v>1914</v>
      </c>
      <c r="C55" s="7" t="s">
        <v>1885</v>
      </c>
      <c r="D55" s="7" t="s">
        <v>577</v>
      </c>
      <c r="E55" s="7" t="s">
        <v>281</v>
      </c>
      <c r="F55" s="7" t="s">
        <v>409</v>
      </c>
      <c r="G55" s="7" t="s">
        <v>535</v>
      </c>
      <c r="H55" s="7" t="s">
        <v>115</v>
      </c>
      <c r="I55" s="7" t="s">
        <v>271</v>
      </c>
      <c r="J55" s="7" t="s">
        <v>272</v>
      </c>
      <c r="K55" s="7" t="s">
        <v>1160</v>
      </c>
      <c r="L55" s="7" t="s">
        <v>274</v>
      </c>
      <c r="M55" s="7" t="s">
        <v>335</v>
      </c>
      <c r="N55" s="7" t="s">
        <v>412</v>
      </c>
      <c r="O55" s="7" t="s">
        <v>195</v>
      </c>
      <c r="P55" s="7" t="s">
        <v>14</v>
      </c>
      <c r="Q55" s="7" t="s">
        <v>262</v>
      </c>
      <c r="R55" s="7" t="s">
        <v>1821</v>
      </c>
    </row>
    <row r="56" spans="1:18">
      <c r="A56" s="7" t="s">
        <v>1915</v>
      </c>
      <c r="B56" s="7" t="s">
        <v>1890</v>
      </c>
      <c r="C56" s="7" t="s">
        <v>1876</v>
      </c>
      <c r="D56" s="7" t="s">
        <v>1425</v>
      </c>
      <c r="E56" s="7" t="s">
        <v>281</v>
      </c>
      <c r="F56" s="7" t="s">
        <v>269</v>
      </c>
      <c r="G56" s="7" t="s">
        <v>363</v>
      </c>
      <c r="H56" s="7" t="s">
        <v>122</v>
      </c>
      <c r="I56" s="7" t="s">
        <v>316</v>
      </c>
      <c r="J56" s="7" t="s">
        <v>300</v>
      </c>
      <c r="K56" s="7"/>
      <c r="L56" s="7"/>
      <c r="M56" s="7" t="s">
        <v>260</v>
      </c>
      <c r="N56" s="7" t="s">
        <v>276</v>
      </c>
      <c r="O56" s="7" t="s">
        <v>195</v>
      </c>
      <c r="P56" s="7"/>
      <c r="Q56" s="7" t="s">
        <v>262</v>
      </c>
      <c r="R56" s="7" t="s">
        <v>1821</v>
      </c>
    </row>
    <row r="57" spans="1:18">
      <c r="A57" s="7" t="s">
        <v>1916</v>
      </c>
      <c r="B57" s="7" t="s">
        <v>1849</v>
      </c>
      <c r="C57" s="7" t="s">
        <v>1571</v>
      </c>
      <c r="D57" s="7" t="s">
        <v>1239</v>
      </c>
      <c r="E57" s="7" t="s">
        <v>281</v>
      </c>
      <c r="F57" s="7" t="s">
        <v>409</v>
      </c>
      <c r="G57" s="7" t="s">
        <v>496</v>
      </c>
      <c r="H57" s="7" t="s">
        <v>115</v>
      </c>
      <c r="I57" s="7" t="s">
        <v>271</v>
      </c>
      <c r="J57" s="7" t="s">
        <v>404</v>
      </c>
      <c r="K57" s="7" t="s">
        <v>1917</v>
      </c>
      <c r="L57" s="7" t="s">
        <v>1379</v>
      </c>
      <c r="M57" s="7" t="s">
        <v>335</v>
      </c>
      <c r="N57" s="7" t="s">
        <v>412</v>
      </c>
      <c r="O57" s="7" t="s">
        <v>195</v>
      </c>
      <c r="P57" s="7" t="s">
        <v>8</v>
      </c>
      <c r="Q57" s="7" t="s">
        <v>285</v>
      </c>
      <c r="R57" s="7" t="s">
        <v>1821</v>
      </c>
    </row>
    <row r="58" spans="1:18">
      <c r="A58" s="7" t="s">
        <v>1918</v>
      </c>
      <c r="B58" s="7" t="s">
        <v>1859</v>
      </c>
      <c r="C58" s="7" t="s">
        <v>1559</v>
      </c>
      <c r="D58" s="7" t="s">
        <v>551</v>
      </c>
      <c r="E58" s="7" t="s">
        <v>281</v>
      </c>
      <c r="F58" s="7" t="s">
        <v>409</v>
      </c>
      <c r="G58" s="7" t="s">
        <v>535</v>
      </c>
      <c r="H58" s="7" t="s">
        <v>466</v>
      </c>
      <c r="I58" s="7" t="s">
        <v>316</v>
      </c>
      <c r="J58" s="7" t="s">
        <v>404</v>
      </c>
      <c r="K58" s="7"/>
      <c r="L58" s="7"/>
      <c r="M58" s="7" t="s">
        <v>260</v>
      </c>
      <c r="N58" s="7" t="s">
        <v>549</v>
      </c>
      <c r="O58" s="7" t="s">
        <v>195</v>
      </c>
      <c r="P58" s="7"/>
      <c r="Q58" s="7" t="s">
        <v>318</v>
      </c>
      <c r="R58" s="7" t="s">
        <v>1821</v>
      </c>
    </row>
    <row r="59" spans="1:18">
      <c r="A59" s="7" t="s">
        <v>1919</v>
      </c>
      <c r="B59" s="7" t="s">
        <v>1855</v>
      </c>
      <c r="C59" s="7" t="s">
        <v>1837</v>
      </c>
      <c r="D59" s="7" t="s">
        <v>875</v>
      </c>
      <c r="E59" s="7" t="s">
        <v>281</v>
      </c>
      <c r="F59" s="7" t="s">
        <v>409</v>
      </c>
      <c r="G59" s="7" t="s">
        <v>535</v>
      </c>
      <c r="H59" s="7" t="s">
        <v>115</v>
      </c>
      <c r="I59" s="7" t="s">
        <v>258</v>
      </c>
      <c r="J59" s="7" t="s">
        <v>341</v>
      </c>
      <c r="K59" s="7" t="s">
        <v>1379</v>
      </c>
      <c r="L59" s="7" t="s">
        <v>928</v>
      </c>
      <c r="M59" s="7" t="s">
        <v>293</v>
      </c>
      <c r="N59" s="7" t="s">
        <v>412</v>
      </c>
      <c r="O59" s="7" t="s">
        <v>169</v>
      </c>
      <c r="P59" s="7" t="s">
        <v>14</v>
      </c>
      <c r="Q59" s="7" t="s">
        <v>262</v>
      </c>
      <c r="R59" s="7" t="s">
        <v>1821</v>
      </c>
    </row>
    <row r="60" spans="1:18">
      <c r="A60" s="7" t="s">
        <v>1920</v>
      </c>
      <c r="B60" s="7" t="s">
        <v>1921</v>
      </c>
      <c r="C60" s="7" t="s">
        <v>1912</v>
      </c>
      <c r="D60" s="7" t="s">
        <v>1472</v>
      </c>
      <c r="E60" s="7" t="s">
        <v>281</v>
      </c>
      <c r="F60" s="7" t="s">
        <v>269</v>
      </c>
      <c r="G60" s="7" t="s">
        <v>363</v>
      </c>
      <c r="H60" s="7" t="s">
        <v>466</v>
      </c>
      <c r="I60" s="7" t="s">
        <v>271</v>
      </c>
      <c r="J60" s="7" t="s">
        <v>341</v>
      </c>
      <c r="K60" s="7"/>
      <c r="L60" s="7"/>
      <c r="M60" s="7" t="s">
        <v>260</v>
      </c>
      <c r="N60" s="7" t="s">
        <v>276</v>
      </c>
      <c r="O60" s="7" t="s">
        <v>195</v>
      </c>
      <c r="P60" s="7"/>
      <c r="Q60" s="7" t="s">
        <v>326</v>
      </c>
      <c r="R60" s="7" t="s">
        <v>1821</v>
      </c>
    </row>
    <row r="61" spans="1:18">
      <c r="A61" s="7" t="s">
        <v>1922</v>
      </c>
      <c r="B61" s="7" t="s">
        <v>1912</v>
      </c>
      <c r="C61" s="7" t="s">
        <v>1578</v>
      </c>
      <c r="D61" s="7" t="s">
        <v>514</v>
      </c>
      <c r="E61" s="7" t="s">
        <v>339</v>
      </c>
      <c r="F61" s="7" t="s">
        <v>256</v>
      </c>
      <c r="G61" s="7" t="s">
        <v>345</v>
      </c>
      <c r="H61" s="7" t="s">
        <v>115</v>
      </c>
      <c r="I61" s="7" t="s">
        <v>271</v>
      </c>
      <c r="J61" s="7" t="s">
        <v>447</v>
      </c>
      <c r="K61" s="7" t="s">
        <v>548</v>
      </c>
      <c r="L61" s="7" t="s">
        <v>324</v>
      </c>
      <c r="M61" s="7" t="s">
        <v>303</v>
      </c>
      <c r="N61" s="7" t="s">
        <v>261</v>
      </c>
      <c r="O61" s="7" t="s">
        <v>195</v>
      </c>
      <c r="P61" s="7" t="s">
        <v>11</v>
      </c>
      <c r="Q61" s="7" t="s">
        <v>318</v>
      </c>
      <c r="R61" s="7" t="s">
        <v>1821</v>
      </c>
    </row>
    <row r="62" spans="1:18">
      <c r="A62" s="7" t="s">
        <v>1923</v>
      </c>
      <c r="B62" s="7" t="s">
        <v>1820</v>
      </c>
      <c r="C62" s="7" t="s">
        <v>1843</v>
      </c>
      <c r="D62" s="7" t="s">
        <v>610</v>
      </c>
      <c r="E62" s="7" t="s">
        <v>281</v>
      </c>
      <c r="F62" s="7" t="s">
        <v>256</v>
      </c>
      <c r="G62" s="7" t="s">
        <v>429</v>
      </c>
      <c r="H62" s="7" t="s">
        <v>466</v>
      </c>
      <c r="I62" s="7" t="s">
        <v>299</v>
      </c>
      <c r="J62" s="7" t="s">
        <v>300</v>
      </c>
      <c r="K62" s="7"/>
      <c r="L62" s="7"/>
      <c r="M62" s="7" t="s">
        <v>260</v>
      </c>
      <c r="N62" s="7" t="s">
        <v>261</v>
      </c>
      <c r="O62" s="7" t="s">
        <v>195</v>
      </c>
      <c r="P62" s="7"/>
      <c r="Q62" s="7" t="s">
        <v>262</v>
      </c>
      <c r="R62" s="7" t="s">
        <v>1821</v>
      </c>
    </row>
    <row r="63" spans="1:18">
      <c r="A63" s="7" t="s">
        <v>1924</v>
      </c>
      <c r="B63" s="7" t="s">
        <v>1886</v>
      </c>
      <c r="C63" s="7" t="s">
        <v>1570</v>
      </c>
      <c r="D63" s="7" t="s">
        <v>1925</v>
      </c>
      <c r="E63" s="7" t="s">
        <v>281</v>
      </c>
      <c r="F63" s="7" t="s">
        <v>269</v>
      </c>
      <c r="G63" s="7" t="s">
        <v>322</v>
      </c>
      <c r="H63" s="7" t="s">
        <v>115</v>
      </c>
      <c r="I63" s="7" t="s">
        <v>299</v>
      </c>
      <c r="J63" s="7" t="s">
        <v>399</v>
      </c>
      <c r="K63" s="7" t="s">
        <v>1926</v>
      </c>
      <c r="L63" s="7" t="s">
        <v>1420</v>
      </c>
      <c r="M63" s="7" t="s">
        <v>303</v>
      </c>
      <c r="N63" s="7" t="s">
        <v>276</v>
      </c>
      <c r="O63" s="7" t="s">
        <v>195</v>
      </c>
      <c r="P63" s="7" t="s">
        <v>8</v>
      </c>
      <c r="Q63" s="7" t="s">
        <v>262</v>
      </c>
      <c r="R63" s="7" t="s">
        <v>1821</v>
      </c>
    </row>
    <row r="64" spans="1:18">
      <c r="A64" s="7" t="s">
        <v>1927</v>
      </c>
      <c r="B64" s="7" t="s">
        <v>1928</v>
      </c>
      <c r="C64" s="7" t="s">
        <v>1615</v>
      </c>
      <c r="D64" s="7" t="s">
        <v>1050</v>
      </c>
      <c r="E64" s="7" t="s">
        <v>281</v>
      </c>
      <c r="F64" s="7" t="s">
        <v>282</v>
      </c>
      <c r="G64" s="7" t="s">
        <v>446</v>
      </c>
      <c r="H64" s="7" t="s">
        <v>115</v>
      </c>
      <c r="I64" s="7" t="s">
        <v>299</v>
      </c>
      <c r="J64" s="7" t="s">
        <v>300</v>
      </c>
      <c r="K64" s="7" t="s">
        <v>692</v>
      </c>
      <c r="L64" s="7" t="s">
        <v>692</v>
      </c>
      <c r="M64" s="7" t="s">
        <v>303</v>
      </c>
      <c r="N64" s="7" t="s">
        <v>284</v>
      </c>
      <c r="O64" s="7" t="s">
        <v>195</v>
      </c>
      <c r="P64" s="7" t="s">
        <v>17</v>
      </c>
      <c r="Q64" s="7" t="s">
        <v>285</v>
      </c>
      <c r="R64" s="7" t="s">
        <v>1821</v>
      </c>
    </row>
    <row r="65" spans="1:18">
      <c r="A65" s="7" t="s">
        <v>1929</v>
      </c>
      <c r="B65" s="7" t="s">
        <v>1866</v>
      </c>
      <c r="C65" s="7" t="s">
        <v>1825</v>
      </c>
      <c r="D65" s="7" t="s">
        <v>1804</v>
      </c>
      <c r="E65" s="7" t="s">
        <v>281</v>
      </c>
      <c r="F65" s="7" t="s">
        <v>269</v>
      </c>
      <c r="G65" s="7" t="s">
        <v>363</v>
      </c>
      <c r="H65" s="7" t="s">
        <v>115</v>
      </c>
      <c r="I65" s="7" t="s">
        <v>316</v>
      </c>
      <c r="J65" s="7" t="s">
        <v>300</v>
      </c>
      <c r="K65" s="7" t="s">
        <v>683</v>
      </c>
      <c r="L65" s="7" t="s">
        <v>1710</v>
      </c>
      <c r="M65" s="7" t="s">
        <v>293</v>
      </c>
      <c r="N65" s="7" t="s">
        <v>276</v>
      </c>
      <c r="O65" s="7" t="s">
        <v>195</v>
      </c>
      <c r="P65" s="7" t="s">
        <v>14</v>
      </c>
      <c r="Q65" s="7" t="s">
        <v>262</v>
      </c>
      <c r="R65" s="7" t="s">
        <v>1821</v>
      </c>
    </row>
    <row r="66" spans="1:18">
      <c r="A66" s="7" t="s">
        <v>1930</v>
      </c>
      <c r="B66" s="7" t="s">
        <v>1906</v>
      </c>
      <c r="C66" s="7" t="s">
        <v>1587</v>
      </c>
      <c r="D66" s="7" t="s">
        <v>1931</v>
      </c>
      <c r="E66" s="7" t="s">
        <v>255</v>
      </c>
      <c r="F66" s="7" t="s">
        <v>1402</v>
      </c>
      <c r="G66" s="7" t="s">
        <v>410</v>
      </c>
      <c r="H66" s="7" t="s">
        <v>115</v>
      </c>
      <c r="I66" s="7" t="s">
        <v>271</v>
      </c>
      <c r="J66" s="7" t="s">
        <v>392</v>
      </c>
      <c r="K66" s="7" t="s">
        <v>1932</v>
      </c>
      <c r="L66" s="7" t="s">
        <v>1933</v>
      </c>
      <c r="M66" s="7" t="s">
        <v>303</v>
      </c>
      <c r="N66" s="7" t="s">
        <v>412</v>
      </c>
      <c r="O66" s="7" t="s">
        <v>195</v>
      </c>
      <c r="P66" s="7" t="s">
        <v>14</v>
      </c>
      <c r="Q66" s="7" t="s">
        <v>305</v>
      </c>
      <c r="R66" s="7" t="s">
        <v>1821</v>
      </c>
    </row>
    <row r="67" spans="1:18">
      <c r="A67" s="7" t="s">
        <v>1934</v>
      </c>
      <c r="B67" s="7" t="s">
        <v>1828</v>
      </c>
      <c r="C67" s="7" t="s">
        <v>1576</v>
      </c>
      <c r="D67" s="7" t="s">
        <v>875</v>
      </c>
      <c r="E67" s="7" t="s">
        <v>281</v>
      </c>
      <c r="F67" s="7" t="s">
        <v>256</v>
      </c>
      <c r="G67" s="7" t="s">
        <v>796</v>
      </c>
      <c r="H67" s="7" t="s">
        <v>787</v>
      </c>
      <c r="I67" s="7" t="s">
        <v>271</v>
      </c>
      <c r="J67" s="7" t="s">
        <v>346</v>
      </c>
      <c r="K67" s="7" t="s">
        <v>1198</v>
      </c>
      <c r="L67" s="7" t="s">
        <v>1068</v>
      </c>
      <c r="M67" s="7" t="s">
        <v>335</v>
      </c>
      <c r="N67" s="7" t="s">
        <v>261</v>
      </c>
      <c r="O67" s="7" t="s">
        <v>195</v>
      </c>
      <c r="P67" s="7" t="s">
        <v>17</v>
      </c>
      <c r="Q67" s="7" t="s">
        <v>326</v>
      </c>
      <c r="R67" s="7" t="s">
        <v>1821</v>
      </c>
    </row>
    <row r="68" spans="1:18">
      <c r="A68" s="7" t="s">
        <v>1935</v>
      </c>
      <c r="B68" s="7" t="s">
        <v>1855</v>
      </c>
      <c r="C68" s="7" t="s">
        <v>1573</v>
      </c>
      <c r="D68" s="7" t="s">
        <v>468</v>
      </c>
      <c r="E68" s="7" t="s">
        <v>255</v>
      </c>
      <c r="F68" s="7" t="s">
        <v>297</v>
      </c>
      <c r="G68" s="7" t="s">
        <v>331</v>
      </c>
      <c r="H68" s="7" t="s">
        <v>115</v>
      </c>
      <c r="I68" s="7" t="s">
        <v>271</v>
      </c>
      <c r="J68" s="7" t="s">
        <v>300</v>
      </c>
      <c r="K68" s="7" t="s">
        <v>1710</v>
      </c>
      <c r="L68" s="7" t="s">
        <v>1752</v>
      </c>
      <c r="M68" s="7" t="s">
        <v>303</v>
      </c>
      <c r="N68" s="7" t="s">
        <v>304</v>
      </c>
      <c r="O68" s="7" t="s">
        <v>195</v>
      </c>
      <c r="P68" s="7" t="s">
        <v>11</v>
      </c>
      <c r="Q68" s="7" t="s">
        <v>262</v>
      </c>
      <c r="R68" s="7" t="s">
        <v>1821</v>
      </c>
    </row>
    <row r="69" spans="1:18">
      <c r="A69" s="7" t="s">
        <v>1936</v>
      </c>
      <c r="B69" s="7" t="s">
        <v>1825</v>
      </c>
      <c r="C69" s="7" t="s">
        <v>1823</v>
      </c>
      <c r="D69" s="7" t="s">
        <v>895</v>
      </c>
      <c r="E69" s="7" t="s">
        <v>268</v>
      </c>
      <c r="F69" s="7" t="s">
        <v>409</v>
      </c>
      <c r="G69" s="7" t="s">
        <v>587</v>
      </c>
      <c r="H69" s="7" t="s">
        <v>127</v>
      </c>
      <c r="I69" s="7" t="s">
        <v>316</v>
      </c>
      <c r="J69" s="7" t="s">
        <v>529</v>
      </c>
      <c r="K69" s="7"/>
      <c r="L69" s="7"/>
      <c r="M69" s="7" t="s">
        <v>260</v>
      </c>
      <c r="N69" s="7" t="s">
        <v>412</v>
      </c>
      <c r="O69" s="7" t="s">
        <v>169</v>
      </c>
      <c r="P69" s="7"/>
      <c r="Q69" s="7" t="s">
        <v>318</v>
      </c>
      <c r="R69" s="7" t="s">
        <v>1821</v>
      </c>
    </row>
    <row r="70" spans="1:18">
      <c r="A70" s="7" t="s">
        <v>1937</v>
      </c>
      <c r="B70" s="7" t="s">
        <v>1820</v>
      </c>
      <c r="C70" s="7" t="s">
        <v>1586</v>
      </c>
      <c r="D70" s="7" t="s">
        <v>1083</v>
      </c>
      <c r="E70" s="7" t="s">
        <v>268</v>
      </c>
      <c r="F70" s="7" t="s">
        <v>409</v>
      </c>
      <c r="G70" s="7" t="s">
        <v>552</v>
      </c>
      <c r="H70" s="7" t="s">
        <v>127</v>
      </c>
      <c r="I70" s="7" t="s">
        <v>316</v>
      </c>
      <c r="J70" s="7" t="s">
        <v>351</v>
      </c>
      <c r="K70" s="7"/>
      <c r="L70" s="7"/>
      <c r="M70" s="7" t="s">
        <v>260</v>
      </c>
      <c r="N70" s="7" t="s">
        <v>412</v>
      </c>
      <c r="O70" s="7" t="s">
        <v>195</v>
      </c>
      <c r="P70" s="7"/>
      <c r="Q70" s="7" t="s">
        <v>318</v>
      </c>
      <c r="R70" s="7" t="s">
        <v>1821</v>
      </c>
    </row>
    <row r="71" spans="1:18">
      <c r="A71" s="7" t="s">
        <v>1938</v>
      </c>
      <c r="B71" s="7" t="s">
        <v>1886</v>
      </c>
      <c r="C71" s="7" t="s">
        <v>1277</v>
      </c>
      <c r="D71" s="7" t="s">
        <v>904</v>
      </c>
      <c r="E71" s="7" t="s">
        <v>339</v>
      </c>
      <c r="F71" s="7" t="s">
        <v>409</v>
      </c>
      <c r="G71" s="7" t="s">
        <v>476</v>
      </c>
      <c r="H71" s="7" t="s">
        <v>115</v>
      </c>
      <c r="I71" s="7" t="s">
        <v>316</v>
      </c>
      <c r="J71" s="7" t="s">
        <v>392</v>
      </c>
      <c r="K71" s="7" t="s">
        <v>887</v>
      </c>
      <c r="L71" s="7" t="s">
        <v>1173</v>
      </c>
      <c r="M71" s="7" t="s">
        <v>303</v>
      </c>
      <c r="N71" s="7" t="s">
        <v>412</v>
      </c>
      <c r="O71" s="7" t="s">
        <v>195</v>
      </c>
      <c r="P71" s="7" t="s">
        <v>17</v>
      </c>
      <c r="Q71" s="7" t="s">
        <v>262</v>
      </c>
      <c r="R71" s="7" t="s">
        <v>1821</v>
      </c>
    </row>
    <row r="72" spans="1:18">
      <c r="A72" s="7" t="s">
        <v>1939</v>
      </c>
      <c r="B72" s="7" t="s">
        <v>1828</v>
      </c>
      <c r="C72" s="7" t="s">
        <v>1559</v>
      </c>
      <c r="D72" s="7" t="s">
        <v>1138</v>
      </c>
      <c r="E72" s="7" t="s">
        <v>339</v>
      </c>
      <c r="F72" s="7" t="s">
        <v>256</v>
      </c>
      <c r="G72" s="7" t="s">
        <v>345</v>
      </c>
      <c r="H72" s="7" t="s">
        <v>115</v>
      </c>
      <c r="I72" s="7" t="s">
        <v>258</v>
      </c>
      <c r="J72" s="7" t="s">
        <v>358</v>
      </c>
      <c r="K72" s="7" t="s">
        <v>1940</v>
      </c>
      <c r="L72" s="7" t="s">
        <v>1165</v>
      </c>
      <c r="M72" s="7" t="s">
        <v>604</v>
      </c>
      <c r="N72" s="7" t="s">
        <v>261</v>
      </c>
      <c r="O72" s="7" t="s">
        <v>169</v>
      </c>
      <c r="P72" s="7" t="s">
        <v>14</v>
      </c>
      <c r="Q72" s="7" t="s">
        <v>326</v>
      </c>
      <c r="R72" s="7" t="s">
        <v>1821</v>
      </c>
    </row>
    <row r="73" spans="1:18">
      <c r="A73" s="7" t="s">
        <v>1941</v>
      </c>
      <c r="B73" s="7" t="s">
        <v>1868</v>
      </c>
      <c r="C73" s="7" t="s">
        <v>1325</v>
      </c>
      <c r="D73" s="7" t="s">
        <v>357</v>
      </c>
      <c r="E73" s="7" t="s">
        <v>268</v>
      </c>
      <c r="F73" s="7" t="s">
        <v>256</v>
      </c>
      <c r="G73" s="7" t="s">
        <v>419</v>
      </c>
      <c r="H73" s="7" t="s">
        <v>115</v>
      </c>
      <c r="I73" s="7" t="s">
        <v>299</v>
      </c>
      <c r="J73" s="7" t="s">
        <v>351</v>
      </c>
      <c r="K73" s="7" t="s">
        <v>420</v>
      </c>
      <c r="L73" s="7" t="s">
        <v>732</v>
      </c>
      <c r="M73" s="7" t="s">
        <v>303</v>
      </c>
      <c r="N73" s="7" t="s">
        <v>261</v>
      </c>
      <c r="O73" s="7" t="s">
        <v>169</v>
      </c>
      <c r="P73" s="7" t="s">
        <v>11</v>
      </c>
      <c r="Q73" s="7" t="s">
        <v>305</v>
      </c>
      <c r="R73" s="7" t="s">
        <v>1821</v>
      </c>
    </row>
    <row r="74" spans="1:18">
      <c r="A74" s="7" t="s">
        <v>1942</v>
      </c>
      <c r="B74" s="7" t="s">
        <v>1849</v>
      </c>
      <c r="C74" s="7" t="s">
        <v>1868</v>
      </c>
      <c r="D74" s="7" t="s">
        <v>386</v>
      </c>
      <c r="E74" s="7" t="s">
        <v>255</v>
      </c>
      <c r="F74" s="7" t="s">
        <v>269</v>
      </c>
      <c r="G74" s="7" t="s">
        <v>391</v>
      </c>
      <c r="H74" s="7" t="s">
        <v>115</v>
      </c>
      <c r="I74" s="7" t="s">
        <v>316</v>
      </c>
      <c r="J74" s="7" t="s">
        <v>525</v>
      </c>
      <c r="K74" s="7" t="s">
        <v>1104</v>
      </c>
      <c r="L74" s="7" t="s">
        <v>1943</v>
      </c>
      <c r="M74" s="7" t="s">
        <v>303</v>
      </c>
      <c r="N74" s="7" t="s">
        <v>276</v>
      </c>
      <c r="O74" s="7" t="s">
        <v>169</v>
      </c>
      <c r="P74" s="7" t="s">
        <v>8</v>
      </c>
      <c r="Q74" s="7" t="s">
        <v>262</v>
      </c>
      <c r="R74" s="7" t="s">
        <v>1821</v>
      </c>
    </row>
    <row r="75" spans="1:18">
      <c r="A75" s="7" t="s">
        <v>1944</v>
      </c>
      <c r="B75" s="7" t="s">
        <v>1921</v>
      </c>
      <c r="C75" s="7" t="s">
        <v>1945</v>
      </c>
      <c r="D75" s="7" t="s">
        <v>594</v>
      </c>
      <c r="E75" s="7" t="s">
        <v>255</v>
      </c>
      <c r="F75" s="7" t="s">
        <v>282</v>
      </c>
      <c r="G75" s="7" t="s">
        <v>290</v>
      </c>
      <c r="H75" s="7" t="s">
        <v>115</v>
      </c>
      <c r="I75" s="7" t="s">
        <v>299</v>
      </c>
      <c r="J75" s="7" t="s">
        <v>411</v>
      </c>
      <c r="K75" s="7" t="s">
        <v>1119</v>
      </c>
      <c r="L75" s="7" t="s">
        <v>1946</v>
      </c>
      <c r="M75" s="7" t="s">
        <v>275</v>
      </c>
      <c r="N75" s="7" t="s">
        <v>284</v>
      </c>
      <c r="O75" s="7" t="s">
        <v>195</v>
      </c>
      <c r="P75" s="7" t="s">
        <v>14</v>
      </c>
      <c r="Q75" s="7" t="s">
        <v>262</v>
      </c>
      <c r="R75" s="7" t="s">
        <v>1821</v>
      </c>
    </row>
    <row r="76" spans="1:18">
      <c r="A76" s="7" t="s">
        <v>1947</v>
      </c>
      <c r="B76" s="7" t="s">
        <v>1866</v>
      </c>
      <c r="C76" s="7" t="s">
        <v>1899</v>
      </c>
      <c r="D76" s="7" t="s">
        <v>1215</v>
      </c>
      <c r="E76" s="7" t="s">
        <v>281</v>
      </c>
      <c r="F76" s="7" t="s">
        <v>297</v>
      </c>
      <c r="G76" s="7" t="s">
        <v>368</v>
      </c>
      <c r="H76" s="7" t="s">
        <v>115</v>
      </c>
      <c r="I76" s="7" t="s">
        <v>316</v>
      </c>
      <c r="J76" s="7" t="s">
        <v>529</v>
      </c>
      <c r="K76" s="7" t="s">
        <v>1948</v>
      </c>
      <c r="L76" s="7" t="s">
        <v>1090</v>
      </c>
      <c r="M76" s="7" t="s">
        <v>335</v>
      </c>
      <c r="N76" s="7" t="s">
        <v>304</v>
      </c>
      <c r="O76" s="7" t="s">
        <v>169</v>
      </c>
      <c r="P76" s="7" t="s">
        <v>14</v>
      </c>
      <c r="Q76" s="7" t="s">
        <v>262</v>
      </c>
      <c r="R76" s="7" t="s">
        <v>1821</v>
      </c>
    </row>
    <row r="77" spans="1:18">
      <c r="A77" s="7" t="s">
        <v>1949</v>
      </c>
      <c r="B77" s="7" t="s">
        <v>1886</v>
      </c>
      <c r="C77" s="7" t="s">
        <v>1326</v>
      </c>
      <c r="D77" s="7" t="s">
        <v>592</v>
      </c>
      <c r="E77" s="7" t="s">
        <v>255</v>
      </c>
      <c r="F77" s="7" t="s">
        <v>269</v>
      </c>
      <c r="G77" s="7" t="s">
        <v>391</v>
      </c>
      <c r="H77" s="7" t="s">
        <v>115</v>
      </c>
      <c r="I77" s="7" t="s">
        <v>299</v>
      </c>
      <c r="J77" s="7" t="s">
        <v>525</v>
      </c>
      <c r="K77" s="7" t="s">
        <v>1950</v>
      </c>
      <c r="L77" s="7" t="s">
        <v>1733</v>
      </c>
      <c r="M77" s="7" t="s">
        <v>275</v>
      </c>
      <c r="N77" s="7" t="s">
        <v>276</v>
      </c>
      <c r="O77" s="7" t="s">
        <v>169</v>
      </c>
      <c r="P77" s="7" t="s">
        <v>11</v>
      </c>
      <c r="Q77" s="7" t="s">
        <v>262</v>
      </c>
      <c r="R77" s="7" t="s">
        <v>1821</v>
      </c>
    </row>
    <row r="78" spans="1:18">
      <c r="A78" s="7" t="s">
        <v>1951</v>
      </c>
      <c r="B78" s="7" t="s">
        <v>1832</v>
      </c>
      <c r="C78" s="7" t="s">
        <v>1641</v>
      </c>
      <c r="D78" s="7" t="s">
        <v>1055</v>
      </c>
      <c r="E78" s="7" t="s">
        <v>268</v>
      </c>
      <c r="F78" s="7" t="s">
        <v>409</v>
      </c>
      <c r="G78" s="7" t="s">
        <v>552</v>
      </c>
      <c r="H78" s="7" t="s">
        <v>115</v>
      </c>
      <c r="I78" s="7" t="s">
        <v>316</v>
      </c>
      <c r="J78" s="7" t="s">
        <v>341</v>
      </c>
      <c r="K78" s="7" t="s">
        <v>1952</v>
      </c>
      <c r="L78" s="7" t="s">
        <v>364</v>
      </c>
      <c r="M78" s="7" t="s">
        <v>275</v>
      </c>
      <c r="N78" s="7" t="s">
        <v>412</v>
      </c>
      <c r="O78" s="7" t="s">
        <v>169</v>
      </c>
      <c r="P78" s="7" t="s">
        <v>14</v>
      </c>
      <c r="Q78" s="7" t="s">
        <v>285</v>
      </c>
      <c r="R78" s="7" t="s">
        <v>1821</v>
      </c>
    </row>
    <row r="79" spans="1:18">
      <c r="A79" s="7" t="s">
        <v>1953</v>
      </c>
      <c r="B79" s="7" t="s">
        <v>1841</v>
      </c>
      <c r="C79" s="7" t="s">
        <v>1566</v>
      </c>
      <c r="D79" s="7" t="s">
        <v>655</v>
      </c>
      <c r="E79" s="7" t="s">
        <v>255</v>
      </c>
      <c r="F79" s="7" t="s">
        <v>269</v>
      </c>
      <c r="G79" s="7" t="s">
        <v>542</v>
      </c>
      <c r="H79" s="7" t="s">
        <v>115</v>
      </c>
      <c r="I79" s="7" t="s">
        <v>299</v>
      </c>
      <c r="J79" s="7" t="s">
        <v>392</v>
      </c>
      <c r="K79" s="7" t="s">
        <v>1954</v>
      </c>
      <c r="L79" s="7" t="s">
        <v>1954</v>
      </c>
      <c r="M79" s="7" t="s">
        <v>335</v>
      </c>
      <c r="N79" s="7" t="s">
        <v>276</v>
      </c>
      <c r="O79" s="7" t="s">
        <v>631</v>
      </c>
      <c r="P79" s="7" t="s">
        <v>17</v>
      </c>
      <c r="Q79" s="7" t="s">
        <v>305</v>
      </c>
      <c r="R79" s="7" t="s">
        <v>1821</v>
      </c>
    </row>
    <row r="80" spans="1:18">
      <c r="A80" s="7" t="s">
        <v>1955</v>
      </c>
      <c r="B80" s="7" t="s">
        <v>1876</v>
      </c>
      <c r="C80" s="7" t="s">
        <v>1566</v>
      </c>
      <c r="D80" s="7" t="s">
        <v>254</v>
      </c>
      <c r="E80" s="7" t="s">
        <v>281</v>
      </c>
      <c r="F80" s="7" t="s">
        <v>409</v>
      </c>
      <c r="G80" s="7" t="s">
        <v>496</v>
      </c>
      <c r="H80" s="7" t="s">
        <v>115</v>
      </c>
      <c r="I80" s="7" t="s">
        <v>299</v>
      </c>
      <c r="J80" s="7" t="s">
        <v>529</v>
      </c>
      <c r="K80" s="7" t="s">
        <v>1148</v>
      </c>
      <c r="L80" s="7" t="s">
        <v>1672</v>
      </c>
      <c r="M80" s="7" t="s">
        <v>303</v>
      </c>
      <c r="N80" s="7" t="s">
        <v>412</v>
      </c>
      <c r="O80" s="7" t="s">
        <v>195</v>
      </c>
      <c r="P80" s="7" t="s">
        <v>14</v>
      </c>
      <c r="Q80" s="7" t="s">
        <v>285</v>
      </c>
      <c r="R80" s="7" t="s">
        <v>1821</v>
      </c>
    </row>
    <row r="81" spans="1:18">
      <c r="A81" s="7" t="s">
        <v>1956</v>
      </c>
      <c r="B81" s="7" t="s">
        <v>1899</v>
      </c>
      <c r="C81" s="7" t="s">
        <v>1571</v>
      </c>
      <c r="D81" s="7" t="s">
        <v>1130</v>
      </c>
      <c r="E81" s="7" t="s">
        <v>281</v>
      </c>
      <c r="F81" s="7" t="s">
        <v>282</v>
      </c>
      <c r="G81" s="7" t="s">
        <v>283</v>
      </c>
      <c r="H81" s="7" t="s">
        <v>466</v>
      </c>
      <c r="I81" s="7" t="s">
        <v>316</v>
      </c>
      <c r="J81" s="7" t="s">
        <v>358</v>
      </c>
      <c r="K81" s="7"/>
      <c r="L81" s="7"/>
      <c r="M81" s="7" t="s">
        <v>260</v>
      </c>
      <c r="N81" s="7" t="s">
        <v>284</v>
      </c>
      <c r="O81" s="7" t="s">
        <v>169</v>
      </c>
      <c r="P81" s="7"/>
      <c r="Q81" s="7" t="s">
        <v>326</v>
      </c>
      <c r="R81" s="7" t="s">
        <v>1821</v>
      </c>
    </row>
    <row r="82" spans="1:18">
      <c r="A82" s="7" t="s">
        <v>1957</v>
      </c>
      <c r="B82" s="7" t="s">
        <v>1866</v>
      </c>
      <c r="C82" s="7" t="s">
        <v>1828</v>
      </c>
      <c r="D82" s="7" t="s">
        <v>1297</v>
      </c>
      <c r="E82" s="7" t="s">
        <v>255</v>
      </c>
      <c r="F82" s="7" t="s">
        <v>409</v>
      </c>
      <c r="G82" s="7" t="s">
        <v>410</v>
      </c>
      <c r="H82" s="7" t="s">
        <v>115</v>
      </c>
      <c r="I82" s="7" t="s">
        <v>258</v>
      </c>
      <c r="J82" s="7" t="s">
        <v>399</v>
      </c>
      <c r="K82" s="7" t="s">
        <v>1958</v>
      </c>
      <c r="L82" s="7" t="s">
        <v>1315</v>
      </c>
      <c r="M82" s="7" t="s">
        <v>293</v>
      </c>
      <c r="N82" s="7" t="s">
        <v>412</v>
      </c>
      <c r="O82" s="7" t="s">
        <v>169</v>
      </c>
      <c r="P82" s="7" t="s">
        <v>11</v>
      </c>
      <c r="Q82" s="7" t="s">
        <v>318</v>
      </c>
      <c r="R82" s="7" t="s">
        <v>1821</v>
      </c>
    </row>
    <row r="83" spans="1:18">
      <c r="A83" s="7" t="s">
        <v>1959</v>
      </c>
      <c r="B83" s="7" t="s">
        <v>1888</v>
      </c>
      <c r="C83" s="7" t="s">
        <v>1886</v>
      </c>
      <c r="D83" s="7" t="s">
        <v>989</v>
      </c>
      <c r="E83" s="7" t="s">
        <v>255</v>
      </c>
      <c r="F83" s="7" t="s">
        <v>269</v>
      </c>
      <c r="G83" s="7" t="s">
        <v>391</v>
      </c>
      <c r="H83" s="7" t="s">
        <v>115</v>
      </c>
      <c r="I83" s="7" t="s">
        <v>258</v>
      </c>
      <c r="J83" s="7" t="s">
        <v>469</v>
      </c>
      <c r="K83" s="7" t="s">
        <v>1778</v>
      </c>
      <c r="L83" s="7" t="s">
        <v>477</v>
      </c>
      <c r="M83" s="7" t="s">
        <v>275</v>
      </c>
      <c r="N83" s="7" t="s">
        <v>276</v>
      </c>
      <c r="O83" s="7" t="s">
        <v>169</v>
      </c>
      <c r="P83" s="7" t="s">
        <v>17</v>
      </c>
      <c r="Q83" s="7" t="s">
        <v>285</v>
      </c>
      <c r="R83" s="7" t="s">
        <v>1821</v>
      </c>
    </row>
    <row r="84" spans="1:18">
      <c r="A84" s="7" t="s">
        <v>1960</v>
      </c>
      <c r="B84" s="7" t="s">
        <v>1921</v>
      </c>
      <c r="C84" s="7" t="s">
        <v>1615</v>
      </c>
      <c r="D84" s="7" t="s">
        <v>460</v>
      </c>
      <c r="E84" s="7" t="s">
        <v>255</v>
      </c>
      <c r="F84" s="7"/>
      <c r="G84" s="7" t="s">
        <v>290</v>
      </c>
      <c r="H84" s="7" t="s">
        <v>115</v>
      </c>
      <c r="I84" s="7" t="s">
        <v>316</v>
      </c>
      <c r="J84" s="7" t="s">
        <v>447</v>
      </c>
      <c r="K84" s="7" t="s">
        <v>773</v>
      </c>
      <c r="L84" s="7" t="s">
        <v>1016</v>
      </c>
      <c r="M84" s="7" t="s">
        <v>275</v>
      </c>
      <c r="N84" s="7" t="s">
        <v>284</v>
      </c>
      <c r="O84" s="7" t="s">
        <v>195</v>
      </c>
      <c r="P84" s="7" t="s">
        <v>17</v>
      </c>
      <c r="Q84" s="7" t="s">
        <v>305</v>
      </c>
      <c r="R84" s="7" t="s">
        <v>1821</v>
      </c>
    </row>
    <row r="85" spans="1:18">
      <c r="A85" s="7" t="s">
        <v>1961</v>
      </c>
      <c r="B85" s="7" t="s">
        <v>1839</v>
      </c>
      <c r="C85" s="7" t="s">
        <v>1583</v>
      </c>
      <c r="D85" s="7" t="s">
        <v>1366</v>
      </c>
      <c r="E85" s="7" t="s">
        <v>339</v>
      </c>
      <c r="F85" s="7" t="s">
        <v>256</v>
      </c>
      <c r="G85" s="7" t="s">
        <v>345</v>
      </c>
      <c r="H85" s="7" t="s">
        <v>115</v>
      </c>
      <c r="I85" s="7" t="s">
        <v>316</v>
      </c>
      <c r="J85" s="7" t="s">
        <v>529</v>
      </c>
      <c r="K85" s="7" t="s">
        <v>1962</v>
      </c>
      <c r="L85" s="7" t="s">
        <v>1105</v>
      </c>
      <c r="M85" s="7" t="s">
        <v>303</v>
      </c>
      <c r="N85" s="7" t="s">
        <v>261</v>
      </c>
      <c r="O85" s="7" t="s">
        <v>195</v>
      </c>
      <c r="P85" s="7" t="s">
        <v>11</v>
      </c>
      <c r="Q85" s="7" t="s">
        <v>262</v>
      </c>
      <c r="R85" s="7" t="s">
        <v>1821</v>
      </c>
    </row>
    <row r="86" spans="1:18">
      <c r="A86" s="7" t="s">
        <v>1963</v>
      </c>
      <c r="B86" s="7" t="s">
        <v>1837</v>
      </c>
      <c r="C86" s="7" t="s">
        <v>1615</v>
      </c>
      <c r="D86" s="7" t="s">
        <v>441</v>
      </c>
      <c r="E86" s="7" t="s">
        <v>255</v>
      </c>
      <c r="F86" s="7" t="s">
        <v>256</v>
      </c>
      <c r="G86" s="7" t="s">
        <v>257</v>
      </c>
      <c r="H86" s="7" t="s">
        <v>115</v>
      </c>
      <c r="I86" s="7" t="s">
        <v>299</v>
      </c>
      <c r="J86" s="7" t="s">
        <v>300</v>
      </c>
      <c r="K86" s="7" t="s">
        <v>612</v>
      </c>
      <c r="L86" s="7" t="s">
        <v>1652</v>
      </c>
      <c r="M86" s="7" t="s">
        <v>303</v>
      </c>
      <c r="N86" s="7" t="s">
        <v>261</v>
      </c>
      <c r="O86" s="7" t="s">
        <v>195</v>
      </c>
      <c r="P86" s="7" t="s">
        <v>17</v>
      </c>
      <c r="Q86" s="7" t="s">
        <v>262</v>
      </c>
      <c r="R86" s="7" t="s">
        <v>1821</v>
      </c>
    </row>
    <row r="87" spans="1:18">
      <c r="A87" s="7" t="s">
        <v>1964</v>
      </c>
      <c r="B87" s="7" t="s">
        <v>1832</v>
      </c>
      <c r="C87" s="7" t="s">
        <v>1368</v>
      </c>
      <c r="D87" s="7" t="s">
        <v>610</v>
      </c>
      <c r="E87" s="7" t="s">
        <v>255</v>
      </c>
      <c r="F87" s="7" t="s">
        <v>409</v>
      </c>
      <c r="G87" s="7" t="s">
        <v>648</v>
      </c>
      <c r="H87" s="7" t="s">
        <v>127</v>
      </c>
      <c r="I87" s="7" t="s">
        <v>316</v>
      </c>
      <c r="J87" s="7" t="s">
        <v>404</v>
      </c>
      <c r="K87" s="7"/>
      <c r="L87" s="7"/>
      <c r="M87" s="7" t="s">
        <v>260</v>
      </c>
      <c r="N87" s="7" t="s">
        <v>412</v>
      </c>
      <c r="O87" s="7" t="s">
        <v>195</v>
      </c>
      <c r="P87" s="7"/>
      <c r="Q87" s="7" t="s">
        <v>305</v>
      </c>
      <c r="R87" s="7" t="s">
        <v>1821</v>
      </c>
    </row>
    <row r="88" spans="1:18">
      <c r="A88" s="7" t="s">
        <v>1965</v>
      </c>
      <c r="B88" s="7" t="s">
        <v>1888</v>
      </c>
      <c r="C88" s="7" t="s">
        <v>1945</v>
      </c>
      <c r="D88" s="7" t="s">
        <v>963</v>
      </c>
      <c r="E88" s="7" t="s">
        <v>268</v>
      </c>
      <c r="F88" s="7" t="s">
        <v>256</v>
      </c>
      <c r="G88" s="7" t="s">
        <v>419</v>
      </c>
      <c r="H88" s="7" t="s">
        <v>115</v>
      </c>
      <c r="I88" s="7" t="s">
        <v>316</v>
      </c>
      <c r="J88" s="7" t="s">
        <v>358</v>
      </c>
      <c r="K88" s="7" t="s">
        <v>1006</v>
      </c>
      <c r="L88" s="7" t="s">
        <v>431</v>
      </c>
      <c r="M88" s="7" t="s">
        <v>303</v>
      </c>
      <c r="N88" s="7" t="s">
        <v>261</v>
      </c>
      <c r="O88" s="7" t="s">
        <v>195</v>
      </c>
      <c r="P88" s="7" t="s">
        <v>664</v>
      </c>
      <c r="Q88" s="7" t="s">
        <v>318</v>
      </c>
      <c r="R88" s="7" t="s">
        <v>1821</v>
      </c>
    </row>
    <row r="89" spans="1:18">
      <c r="A89" s="7" t="s">
        <v>1966</v>
      </c>
      <c r="B89" s="7" t="s">
        <v>1945</v>
      </c>
      <c r="C89" s="7" t="s">
        <v>1868</v>
      </c>
      <c r="D89" s="7" t="s">
        <v>601</v>
      </c>
      <c r="E89" s="7" t="s">
        <v>268</v>
      </c>
      <c r="F89" s="7" t="s">
        <v>282</v>
      </c>
      <c r="G89" s="7" t="s">
        <v>524</v>
      </c>
      <c r="H89" s="7" t="s">
        <v>115</v>
      </c>
      <c r="I89" s="7" t="s">
        <v>258</v>
      </c>
      <c r="J89" s="7" t="s">
        <v>332</v>
      </c>
      <c r="K89" s="7" t="s">
        <v>1400</v>
      </c>
      <c r="L89" s="7" t="s">
        <v>905</v>
      </c>
      <c r="M89" s="7" t="s">
        <v>275</v>
      </c>
      <c r="N89" s="7" t="s">
        <v>284</v>
      </c>
      <c r="O89" s="7" t="s">
        <v>195</v>
      </c>
      <c r="P89" s="7" t="s">
        <v>17</v>
      </c>
      <c r="Q89" s="7" t="s">
        <v>305</v>
      </c>
      <c r="R89" s="7" t="s">
        <v>1821</v>
      </c>
    </row>
    <row r="90" spans="1:18">
      <c r="A90" s="7" t="s">
        <v>1967</v>
      </c>
      <c r="B90" s="7" t="s">
        <v>1906</v>
      </c>
      <c r="C90" s="7" t="s">
        <v>1580</v>
      </c>
      <c r="D90" s="7" t="s">
        <v>1968</v>
      </c>
      <c r="E90" s="7" t="s">
        <v>339</v>
      </c>
      <c r="F90" s="7" t="s">
        <v>409</v>
      </c>
      <c r="G90" s="7" t="s">
        <v>476</v>
      </c>
      <c r="H90" s="7" t="s">
        <v>115</v>
      </c>
      <c r="I90" s="7" t="s">
        <v>258</v>
      </c>
      <c r="J90" s="7" t="s">
        <v>272</v>
      </c>
      <c r="K90" s="7" t="s">
        <v>671</v>
      </c>
      <c r="L90" s="7" t="s">
        <v>1969</v>
      </c>
      <c r="M90" s="7" t="s">
        <v>293</v>
      </c>
      <c r="N90" s="7" t="s">
        <v>412</v>
      </c>
      <c r="O90" s="7" t="s">
        <v>195</v>
      </c>
      <c r="P90" s="7" t="s">
        <v>8</v>
      </c>
      <c r="Q90" s="7" t="s">
        <v>318</v>
      </c>
      <c r="R90" s="7" t="s">
        <v>1821</v>
      </c>
    </row>
    <row r="91" spans="1:18">
      <c r="A91" s="7" t="s">
        <v>1970</v>
      </c>
      <c r="B91" s="7" t="s">
        <v>1858</v>
      </c>
      <c r="C91" s="7" t="s">
        <v>1591</v>
      </c>
      <c r="D91" s="7" t="s">
        <v>1103</v>
      </c>
      <c r="E91" s="7" t="s">
        <v>281</v>
      </c>
      <c r="F91" s="7" t="s">
        <v>409</v>
      </c>
      <c r="G91" s="7" t="s">
        <v>496</v>
      </c>
      <c r="H91" s="7" t="s">
        <v>115</v>
      </c>
      <c r="I91" s="7" t="s">
        <v>316</v>
      </c>
      <c r="J91" s="7" t="s">
        <v>332</v>
      </c>
      <c r="K91" s="7" t="s">
        <v>1219</v>
      </c>
      <c r="L91" s="7" t="s">
        <v>1971</v>
      </c>
      <c r="M91" s="7" t="s">
        <v>293</v>
      </c>
      <c r="N91" s="7" t="s">
        <v>412</v>
      </c>
      <c r="O91" s="7" t="s">
        <v>195</v>
      </c>
      <c r="P91" s="7" t="s">
        <v>14</v>
      </c>
      <c r="Q91" s="7" t="s">
        <v>285</v>
      </c>
      <c r="R91" s="7" t="s">
        <v>1821</v>
      </c>
    </row>
    <row r="92" spans="1:18">
      <c r="A92" s="7" t="s">
        <v>1972</v>
      </c>
      <c r="B92" s="7" t="s">
        <v>1885</v>
      </c>
      <c r="C92" s="7" t="s">
        <v>1590</v>
      </c>
      <c r="D92" s="7" t="s">
        <v>1222</v>
      </c>
      <c r="E92" s="7" t="s">
        <v>268</v>
      </c>
      <c r="F92" s="7" t="s">
        <v>269</v>
      </c>
      <c r="G92" s="7" t="s">
        <v>270</v>
      </c>
      <c r="H92" s="7" t="s">
        <v>122</v>
      </c>
      <c r="I92" s="7" t="s">
        <v>316</v>
      </c>
      <c r="J92" s="7" t="s">
        <v>392</v>
      </c>
      <c r="K92" s="7"/>
      <c r="L92" s="7"/>
      <c r="M92" s="7" t="s">
        <v>260</v>
      </c>
      <c r="N92" s="7" t="s">
        <v>276</v>
      </c>
      <c r="O92" s="7" t="s">
        <v>195</v>
      </c>
      <c r="P92" s="7"/>
      <c r="Q92" s="7" t="s">
        <v>318</v>
      </c>
      <c r="R92" s="7" t="s">
        <v>1821</v>
      </c>
    </row>
    <row r="93" spans="1:18">
      <c r="A93" s="7" t="s">
        <v>1973</v>
      </c>
      <c r="B93" s="7" t="s">
        <v>1859</v>
      </c>
      <c r="C93" s="7" t="s">
        <v>1843</v>
      </c>
      <c r="D93" s="7" t="s">
        <v>468</v>
      </c>
      <c r="E93" s="7" t="s">
        <v>255</v>
      </c>
      <c r="F93" s="7" t="s">
        <v>282</v>
      </c>
      <c r="G93" s="7" t="s">
        <v>290</v>
      </c>
      <c r="H93" s="7" t="s">
        <v>115</v>
      </c>
      <c r="I93" s="7" t="s">
        <v>316</v>
      </c>
      <c r="J93" s="7" t="s">
        <v>300</v>
      </c>
      <c r="K93" s="7" t="s">
        <v>301</v>
      </c>
      <c r="L93" s="7" t="s">
        <v>1028</v>
      </c>
      <c r="M93" s="7" t="s">
        <v>303</v>
      </c>
      <c r="N93" s="7" t="s">
        <v>284</v>
      </c>
      <c r="O93" s="7" t="s">
        <v>169</v>
      </c>
      <c r="P93" s="7" t="s">
        <v>14</v>
      </c>
      <c r="Q93" s="7" t="s">
        <v>305</v>
      </c>
      <c r="R93" s="7" t="s">
        <v>1821</v>
      </c>
    </row>
    <row r="94" spans="1:18">
      <c r="A94" s="7" t="s">
        <v>1974</v>
      </c>
      <c r="B94" s="7" t="s">
        <v>1851</v>
      </c>
      <c r="C94" s="7" t="s">
        <v>1906</v>
      </c>
      <c r="D94" s="7" t="s">
        <v>1755</v>
      </c>
      <c r="E94" s="7" t="s">
        <v>281</v>
      </c>
      <c r="F94" s="7" t="s">
        <v>409</v>
      </c>
      <c r="G94" s="7" t="s">
        <v>496</v>
      </c>
      <c r="H94" s="7" t="s">
        <v>115</v>
      </c>
      <c r="I94" s="7" t="s">
        <v>316</v>
      </c>
      <c r="J94" s="7" t="s">
        <v>447</v>
      </c>
      <c r="K94" s="7" t="s">
        <v>773</v>
      </c>
      <c r="L94" s="7" t="s">
        <v>1633</v>
      </c>
      <c r="M94" s="7" t="s">
        <v>686</v>
      </c>
      <c r="N94" s="7" t="s">
        <v>412</v>
      </c>
      <c r="O94" s="7" t="s">
        <v>195</v>
      </c>
      <c r="P94" s="7" t="s">
        <v>14</v>
      </c>
      <c r="Q94" s="7" t="s">
        <v>305</v>
      </c>
      <c r="R94" s="7" t="s">
        <v>1821</v>
      </c>
    </row>
    <row r="95" spans="1:18">
      <c r="A95" s="7" t="s">
        <v>1975</v>
      </c>
      <c r="B95" s="7" t="s">
        <v>1849</v>
      </c>
      <c r="C95" s="7" t="s">
        <v>1590</v>
      </c>
      <c r="D95" s="7" t="s">
        <v>642</v>
      </c>
      <c r="E95" s="7" t="s">
        <v>339</v>
      </c>
      <c r="F95" s="7" t="s">
        <v>409</v>
      </c>
      <c r="G95" s="7" t="s">
        <v>476</v>
      </c>
      <c r="H95" s="7" t="s">
        <v>115</v>
      </c>
      <c r="I95" s="7" t="s">
        <v>299</v>
      </c>
      <c r="J95" s="7" t="s">
        <v>300</v>
      </c>
      <c r="K95" s="7" t="s">
        <v>301</v>
      </c>
      <c r="L95" s="7" t="s">
        <v>399</v>
      </c>
      <c r="M95" s="7" t="s">
        <v>303</v>
      </c>
      <c r="N95" s="7" t="s">
        <v>412</v>
      </c>
      <c r="O95" s="7" t="s">
        <v>195</v>
      </c>
      <c r="P95" s="7" t="s">
        <v>17</v>
      </c>
      <c r="Q95" s="7" t="s">
        <v>262</v>
      </c>
      <c r="R95" s="7" t="s">
        <v>1821</v>
      </c>
    </row>
    <row r="96" spans="1:18">
      <c r="A96" s="7" t="s">
        <v>1976</v>
      </c>
      <c r="B96" s="7" t="s">
        <v>1855</v>
      </c>
      <c r="C96" s="7" t="s">
        <v>1688</v>
      </c>
      <c r="D96" s="7" t="s">
        <v>1503</v>
      </c>
      <c r="E96" s="7" t="s">
        <v>255</v>
      </c>
      <c r="F96" s="7" t="s">
        <v>297</v>
      </c>
      <c r="G96" s="7" t="s">
        <v>331</v>
      </c>
      <c r="H96" s="7" t="s">
        <v>115</v>
      </c>
      <c r="I96" s="7" t="s">
        <v>316</v>
      </c>
      <c r="J96" s="7" t="s">
        <v>469</v>
      </c>
      <c r="K96" s="7" t="s">
        <v>1902</v>
      </c>
      <c r="L96" s="7" t="s">
        <v>1089</v>
      </c>
      <c r="M96" s="7" t="s">
        <v>303</v>
      </c>
      <c r="N96" s="7" t="s">
        <v>304</v>
      </c>
      <c r="O96" s="7" t="s">
        <v>195</v>
      </c>
      <c r="P96" s="7" t="s">
        <v>14</v>
      </c>
      <c r="Q96" s="7" t="s">
        <v>262</v>
      </c>
      <c r="R96" s="7" t="s">
        <v>1821</v>
      </c>
    </row>
    <row r="97" spans="1:18">
      <c r="A97" s="7" t="s">
        <v>1977</v>
      </c>
      <c r="B97" s="7" t="s">
        <v>1885</v>
      </c>
      <c r="C97" s="7" t="s">
        <v>1611</v>
      </c>
      <c r="D97" s="7" t="s">
        <v>1978</v>
      </c>
      <c r="E97" s="7" t="s">
        <v>255</v>
      </c>
      <c r="F97" s="7" t="s">
        <v>282</v>
      </c>
      <c r="G97" s="7" t="s">
        <v>290</v>
      </c>
      <c r="H97" s="7" t="s">
        <v>115</v>
      </c>
      <c r="I97" s="7" t="s">
        <v>299</v>
      </c>
      <c r="J97" s="7" t="s">
        <v>341</v>
      </c>
      <c r="K97" s="7" t="s">
        <v>1534</v>
      </c>
      <c r="L97" s="7" t="s">
        <v>783</v>
      </c>
      <c r="M97" s="7" t="s">
        <v>293</v>
      </c>
      <c r="N97" s="7" t="s">
        <v>284</v>
      </c>
      <c r="O97" s="7" t="s">
        <v>195</v>
      </c>
      <c r="P97" s="7" t="s">
        <v>11</v>
      </c>
      <c r="Q97" s="7" t="s">
        <v>318</v>
      </c>
      <c r="R97" s="7" t="s">
        <v>1821</v>
      </c>
    </row>
    <row r="98" spans="1:18">
      <c r="A98" s="7" t="s">
        <v>1979</v>
      </c>
      <c r="B98" s="7" t="s">
        <v>1876</v>
      </c>
      <c r="C98" s="7" t="s">
        <v>1828</v>
      </c>
      <c r="D98" s="7" t="s">
        <v>381</v>
      </c>
      <c r="E98" s="7" t="s">
        <v>268</v>
      </c>
      <c r="F98" s="7" t="s">
        <v>256</v>
      </c>
      <c r="G98" s="7" t="s">
        <v>886</v>
      </c>
      <c r="H98" s="7" t="s">
        <v>1202</v>
      </c>
      <c r="I98" s="7" t="s">
        <v>258</v>
      </c>
      <c r="J98" s="7" t="s">
        <v>351</v>
      </c>
      <c r="K98" s="7" t="s">
        <v>1486</v>
      </c>
      <c r="L98" s="7" t="s">
        <v>1594</v>
      </c>
      <c r="M98" s="7" t="s">
        <v>303</v>
      </c>
      <c r="N98" s="7" t="s">
        <v>261</v>
      </c>
      <c r="O98" s="7" t="s">
        <v>195</v>
      </c>
      <c r="P98" s="7" t="s">
        <v>17</v>
      </c>
      <c r="Q98" s="7" t="s">
        <v>326</v>
      </c>
      <c r="R98" s="7" t="s">
        <v>1821</v>
      </c>
    </row>
    <row r="99" spans="1:18">
      <c r="A99" s="7" t="s">
        <v>1980</v>
      </c>
      <c r="B99" s="7" t="s">
        <v>1885</v>
      </c>
      <c r="C99" s="7" t="s">
        <v>1309</v>
      </c>
      <c r="D99" s="7" t="s">
        <v>330</v>
      </c>
      <c r="E99" s="7" t="s">
        <v>268</v>
      </c>
      <c r="F99" s="7" t="s">
        <v>409</v>
      </c>
      <c r="G99" s="7" t="s">
        <v>587</v>
      </c>
      <c r="H99" s="7" t="s">
        <v>115</v>
      </c>
      <c r="I99" s="7" t="s">
        <v>1025</v>
      </c>
      <c r="J99" s="7" t="s">
        <v>529</v>
      </c>
      <c r="K99" s="7" t="s">
        <v>1981</v>
      </c>
      <c r="L99" s="7" t="s">
        <v>1090</v>
      </c>
      <c r="M99" s="7" t="s">
        <v>275</v>
      </c>
      <c r="N99" s="7" t="s">
        <v>412</v>
      </c>
      <c r="O99" s="7" t="s">
        <v>169</v>
      </c>
      <c r="P99" s="7" t="s">
        <v>17</v>
      </c>
      <c r="Q99" s="7" t="s">
        <v>305</v>
      </c>
      <c r="R99" s="7" t="s">
        <v>1821</v>
      </c>
    </row>
    <row r="100" spans="1:18">
      <c r="A100" s="7" t="s">
        <v>1982</v>
      </c>
      <c r="B100" s="7" t="s">
        <v>1945</v>
      </c>
      <c r="C100" s="7" t="s">
        <v>1620</v>
      </c>
      <c r="D100" s="7" t="s">
        <v>610</v>
      </c>
      <c r="E100" s="7" t="s">
        <v>255</v>
      </c>
      <c r="F100" s="7" t="s">
        <v>282</v>
      </c>
      <c r="G100" s="7" t="s">
        <v>290</v>
      </c>
      <c r="H100" s="7" t="s">
        <v>127</v>
      </c>
      <c r="I100" s="7" t="s">
        <v>316</v>
      </c>
      <c r="J100" s="7" t="s">
        <v>341</v>
      </c>
      <c r="K100" s="7"/>
      <c r="L100" s="7"/>
      <c r="M100" s="7" t="s">
        <v>260</v>
      </c>
      <c r="N100" s="7" t="s">
        <v>284</v>
      </c>
      <c r="O100" s="7" t="s">
        <v>195</v>
      </c>
      <c r="P100" s="7"/>
      <c r="Q100" s="7" t="s">
        <v>305</v>
      </c>
      <c r="R100" s="7" t="s">
        <v>1821</v>
      </c>
    </row>
    <row r="101" spans="1:18">
      <c r="A101" s="7" t="s">
        <v>1983</v>
      </c>
      <c r="B101" s="7" t="s">
        <v>1945</v>
      </c>
      <c r="C101" s="7" t="s">
        <v>1906</v>
      </c>
      <c r="D101" s="7" t="s">
        <v>946</v>
      </c>
      <c r="E101" s="7" t="s">
        <v>281</v>
      </c>
      <c r="F101" s="7" t="s">
        <v>409</v>
      </c>
      <c r="G101" s="7" t="s">
        <v>535</v>
      </c>
      <c r="H101" s="7" t="s">
        <v>115</v>
      </c>
      <c r="I101" s="7" t="s">
        <v>258</v>
      </c>
      <c r="J101" s="7" t="s">
        <v>447</v>
      </c>
      <c r="K101" s="7" t="s">
        <v>773</v>
      </c>
      <c r="L101" s="7" t="s">
        <v>1869</v>
      </c>
      <c r="M101" s="7" t="s">
        <v>303</v>
      </c>
      <c r="N101" s="7" t="s">
        <v>412</v>
      </c>
      <c r="O101" s="7" t="s">
        <v>195</v>
      </c>
      <c r="P101" s="7" t="s">
        <v>8</v>
      </c>
      <c r="Q101" s="7" t="s">
        <v>318</v>
      </c>
      <c r="R101" s="7" t="s">
        <v>1821</v>
      </c>
    </row>
    <row r="102" spans="1:18">
      <c r="A102" s="7" t="s">
        <v>1984</v>
      </c>
      <c r="B102" s="7" t="s">
        <v>709</v>
      </c>
      <c r="C102" s="7" t="s">
        <v>1859</v>
      </c>
      <c r="D102" s="7" t="s">
        <v>486</v>
      </c>
      <c r="E102" s="7" t="s">
        <v>255</v>
      </c>
      <c r="F102" s="7" t="s">
        <v>297</v>
      </c>
      <c r="G102" s="7" t="s">
        <v>331</v>
      </c>
      <c r="H102" s="7" t="s">
        <v>115</v>
      </c>
      <c r="I102" s="7" t="s">
        <v>299</v>
      </c>
      <c r="J102" s="7" t="s">
        <v>525</v>
      </c>
      <c r="K102" s="7" t="s">
        <v>566</v>
      </c>
      <c r="L102" s="7" t="s">
        <v>1727</v>
      </c>
      <c r="M102" s="7" t="s">
        <v>275</v>
      </c>
      <c r="N102" s="7" t="s">
        <v>304</v>
      </c>
      <c r="O102" s="7" t="s">
        <v>169</v>
      </c>
      <c r="P102" s="7" t="s">
        <v>14</v>
      </c>
      <c r="Q102" s="7" t="s">
        <v>285</v>
      </c>
      <c r="R102" s="7" t="s">
        <v>1821</v>
      </c>
    </row>
    <row r="103" spans="1:18">
      <c r="A103" s="7" t="s">
        <v>1985</v>
      </c>
      <c r="B103" s="7" t="s">
        <v>1886</v>
      </c>
      <c r="C103" s="7" t="s">
        <v>1586</v>
      </c>
      <c r="D103" s="7" t="s">
        <v>1103</v>
      </c>
      <c r="E103" s="7" t="s">
        <v>339</v>
      </c>
      <c r="F103" s="7" t="s">
        <v>409</v>
      </c>
      <c r="G103" s="7" t="s">
        <v>476</v>
      </c>
      <c r="H103" s="7" t="s">
        <v>115</v>
      </c>
      <c r="I103" s="7" t="s">
        <v>271</v>
      </c>
      <c r="J103" s="7" t="s">
        <v>392</v>
      </c>
      <c r="K103" s="7" t="s">
        <v>1986</v>
      </c>
      <c r="L103" s="7" t="s">
        <v>1101</v>
      </c>
      <c r="M103" s="7" t="s">
        <v>335</v>
      </c>
      <c r="N103" s="7" t="s">
        <v>412</v>
      </c>
      <c r="O103" s="7" t="s">
        <v>195</v>
      </c>
      <c r="P103" s="7" t="s">
        <v>14</v>
      </c>
      <c r="Q103" s="7" t="s">
        <v>285</v>
      </c>
      <c r="R103" s="7" t="s">
        <v>1821</v>
      </c>
    </row>
    <row r="104" spans="1:18">
      <c r="A104" s="7" t="s">
        <v>1987</v>
      </c>
      <c r="B104" s="7" t="s">
        <v>1820</v>
      </c>
      <c r="C104" s="7" t="s">
        <v>1851</v>
      </c>
      <c r="D104" s="7" t="s">
        <v>514</v>
      </c>
      <c r="E104" s="7" t="s">
        <v>268</v>
      </c>
      <c r="F104" s="7" t="s">
        <v>256</v>
      </c>
      <c r="G104" s="7" t="s">
        <v>419</v>
      </c>
      <c r="H104" s="7" t="s">
        <v>115</v>
      </c>
      <c r="I104" s="7" t="s">
        <v>316</v>
      </c>
      <c r="J104" s="7" t="s">
        <v>404</v>
      </c>
      <c r="K104" s="7" t="s">
        <v>1988</v>
      </c>
      <c r="L104" s="7" t="s">
        <v>996</v>
      </c>
      <c r="M104" s="7" t="s">
        <v>293</v>
      </c>
      <c r="N104" s="7" t="s">
        <v>261</v>
      </c>
      <c r="O104" s="7" t="s">
        <v>195</v>
      </c>
      <c r="P104" s="7" t="s">
        <v>14</v>
      </c>
      <c r="Q104" s="7" t="s">
        <v>326</v>
      </c>
      <c r="R104" s="7" t="s">
        <v>1821</v>
      </c>
    </row>
    <row r="105" spans="1:18">
      <c r="A105" s="7" t="s">
        <v>1989</v>
      </c>
      <c r="B105" s="7" t="s">
        <v>1843</v>
      </c>
      <c r="C105" s="7" t="s">
        <v>1292</v>
      </c>
      <c r="D105" s="7" t="s">
        <v>1366</v>
      </c>
      <c r="E105" s="7" t="s">
        <v>281</v>
      </c>
      <c r="F105" s="7" t="s">
        <v>256</v>
      </c>
      <c r="G105" s="7" t="s">
        <v>796</v>
      </c>
      <c r="H105" s="7" t="s">
        <v>115</v>
      </c>
      <c r="I105" s="7" t="s">
        <v>316</v>
      </c>
      <c r="J105" s="7" t="s">
        <v>469</v>
      </c>
      <c r="K105" s="7" t="s">
        <v>1778</v>
      </c>
      <c r="L105" s="7" t="s">
        <v>1398</v>
      </c>
      <c r="M105" s="7" t="s">
        <v>303</v>
      </c>
      <c r="N105" s="7" t="s">
        <v>261</v>
      </c>
      <c r="O105" s="7" t="s">
        <v>195</v>
      </c>
      <c r="P105" s="7" t="s">
        <v>17</v>
      </c>
      <c r="Q105" s="7" t="s">
        <v>262</v>
      </c>
      <c r="R105" s="7" t="s">
        <v>1821</v>
      </c>
    </row>
    <row r="106" spans="1:18">
      <c r="A106" s="7" t="s">
        <v>1990</v>
      </c>
      <c r="B106" s="7" t="s">
        <v>1921</v>
      </c>
      <c r="C106" s="7" t="s">
        <v>1945</v>
      </c>
      <c r="D106" s="7" t="s">
        <v>1036</v>
      </c>
      <c r="E106" s="7" t="s">
        <v>268</v>
      </c>
      <c r="F106" s="7" t="s">
        <v>409</v>
      </c>
      <c r="G106" s="7" t="s">
        <v>725</v>
      </c>
      <c r="H106" s="7" t="s">
        <v>115</v>
      </c>
      <c r="I106" s="7" t="s">
        <v>258</v>
      </c>
      <c r="J106" s="7" t="s">
        <v>323</v>
      </c>
      <c r="K106" s="7" t="s">
        <v>986</v>
      </c>
      <c r="L106" s="7" t="s">
        <v>1741</v>
      </c>
      <c r="M106" s="7" t="s">
        <v>293</v>
      </c>
      <c r="N106" s="7" t="s">
        <v>412</v>
      </c>
      <c r="O106" s="7" t="s">
        <v>195</v>
      </c>
      <c r="P106" s="7" t="s">
        <v>14</v>
      </c>
      <c r="Q106" s="7" t="s">
        <v>305</v>
      </c>
      <c r="R106" s="7" t="s">
        <v>1821</v>
      </c>
    </row>
    <row r="107" spans="1:18">
      <c r="A107" s="7" t="s">
        <v>1991</v>
      </c>
      <c r="B107" s="7" t="s">
        <v>1876</v>
      </c>
      <c r="C107" s="7" t="s">
        <v>1381</v>
      </c>
      <c r="D107" s="7" t="s">
        <v>1760</v>
      </c>
      <c r="E107" s="7" t="s">
        <v>339</v>
      </c>
      <c r="F107" s="7" t="s">
        <v>282</v>
      </c>
      <c r="G107" s="7" t="s">
        <v>564</v>
      </c>
      <c r="H107" s="7" t="s">
        <v>115</v>
      </c>
      <c r="I107" s="7" t="s">
        <v>271</v>
      </c>
      <c r="J107" s="7" t="s">
        <v>323</v>
      </c>
      <c r="K107" s="7" t="s">
        <v>1830</v>
      </c>
      <c r="L107" s="7" t="s">
        <v>1741</v>
      </c>
      <c r="M107" s="7" t="s">
        <v>303</v>
      </c>
      <c r="N107" s="7" t="s">
        <v>284</v>
      </c>
      <c r="O107" s="7" t="s">
        <v>169</v>
      </c>
      <c r="P107" s="7" t="s">
        <v>14</v>
      </c>
      <c r="Q107" s="7" t="s">
        <v>262</v>
      </c>
      <c r="R107" s="7" t="s">
        <v>1821</v>
      </c>
    </row>
    <row r="108" spans="1:18">
      <c r="A108" s="7" t="s">
        <v>1992</v>
      </c>
      <c r="B108" s="7" t="s">
        <v>1912</v>
      </c>
      <c r="C108" s="7" t="s">
        <v>1604</v>
      </c>
      <c r="D108" s="7" t="s">
        <v>1215</v>
      </c>
      <c r="E108" s="7" t="s">
        <v>281</v>
      </c>
      <c r="F108" s="7" t="s">
        <v>256</v>
      </c>
      <c r="G108" s="7" t="s">
        <v>796</v>
      </c>
      <c r="H108" s="7" t="s">
        <v>115</v>
      </c>
      <c r="I108" s="7" t="s">
        <v>258</v>
      </c>
      <c r="J108" s="7" t="s">
        <v>399</v>
      </c>
      <c r="K108" s="7" t="s">
        <v>1470</v>
      </c>
      <c r="L108" s="7" t="s">
        <v>548</v>
      </c>
      <c r="M108" s="7" t="s">
        <v>335</v>
      </c>
      <c r="N108" s="7" t="s">
        <v>261</v>
      </c>
      <c r="O108" s="7" t="s">
        <v>195</v>
      </c>
      <c r="P108" s="7" t="s">
        <v>14</v>
      </c>
      <c r="Q108" s="7" t="s">
        <v>318</v>
      </c>
      <c r="R108" s="7" t="s">
        <v>1821</v>
      </c>
    </row>
    <row r="109" spans="1:18">
      <c r="A109" s="7" t="s">
        <v>1993</v>
      </c>
      <c r="B109" s="7" t="s">
        <v>1828</v>
      </c>
      <c r="C109" s="7" t="s">
        <v>1601</v>
      </c>
      <c r="D109" s="7" t="s">
        <v>586</v>
      </c>
      <c r="E109" s="7" t="s">
        <v>268</v>
      </c>
      <c r="F109" s="7" t="s">
        <v>269</v>
      </c>
      <c r="G109" s="7" t="s">
        <v>435</v>
      </c>
      <c r="H109" s="7" t="s">
        <v>122</v>
      </c>
      <c r="I109" s="7" t="s">
        <v>258</v>
      </c>
      <c r="J109" s="7" t="s">
        <v>404</v>
      </c>
      <c r="K109" s="7"/>
      <c r="L109" s="7"/>
      <c r="M109" s="7" t="s">
        <v>260</v>
      </c>
      <c r="N109" s="7" t="s">
        <v>276</v>
      </c>
      <c r="O109" s="7" t="s">
        <v>195</v>
      </c>
      <c r="P109" s="7"/>
      <c r="Q109" s="7" t="s">
        <v>305</v>
      </c>
      <c r="R109" s="7" t="s">
        <v>1821</v>
      </c>
    </row>
    <row r="110" spans="1:18">
      <c r="A110" s="7" t="s">
        <v>1994</v>
      </c>
      <c r="B110" s="7" t="s">
        <v>1825</v>
      </c>
      <c r="C110" s="7" t="s">
        <v>1591</v>
      </c>
      <c r="D110" s="7" t="s">
        <v>1022</v>
      </c>
      <c r="E110" s="7" t="s">
        <v>339</v>
      </c>
      <c r="F110" s="7" t="s">
        <v>282</v>
      </c>
      <c r="G110" s="7" t="s">
        <v>564</v>
      </c>
      <c r="H110" s="7" t="s">
        <v>115</v>
      </c>
      <c r="I110" s="7" t="s">
        <v>258</v>
      </c>
      <c r="J110" s="7" t="s">
        <v>411</v>
      </c>
      <c r="K110" s="7" t="s">
        <v>1771</v>
      </c>
      <c r="L110" s="7" t="s">
        <v>818</v>
      </c>
      <c r="M110" s="7" t="s">
        <v>293</v>
      </c>
      <c r="N110" s="7" t="s">
        <v>284</v>
      </c>
      <c r="O110" s="7" t="s">
        <v>195</v>
      </c>
      <c r="P110" s="7" t="s">
        <v>11</v>
      </c>
      <c r="Q110" s="7" t="s">
        <v>305</v>
      </c>
      <c r="R110" s="7" t="s">
        <v>1821</v>
      </c>
    </row>
    <row r="111" spans="1:18">
      <c r="A111" s="7" t="s">
        <v>1995</v>
      </c>
      <c r="B111" s="7" t="s">
        <v>1820</v>
      </c>
      <c r="C111" s="7" t="s">
        <v>1688</v>
      </c>
      <c r="D111" s="7" t="s">
        <v>1018</v>
      </c>
      <c r="E111" s="7" t="s">
        <v>281</v>
      </c>
      <c r="F111" s="7" t="s">
        <v>256</v>
      </c>
      <c r="G111" s="7" t="s">
        <v>796</v>
      </c>
      <c r="H111" s="7" t="s">
        <v>115</v>
      </c>
      <c r="I111" s="7" t="s">
        <v>299</v>
      </c>
      <c r="J111" s="7" t="s">
        <v>404</v>
      </c>
      <c r="K111" s="7" t="s">
        <v>1917</v>
      </c>
      <c r="L111" s="7" t="s">
        <v>1996</v>
      </c>
      <c r="M111" s="7" t="s">
        <v>293</v>
      </c>
      <c r="N111" s="7" t="s">
        <v>888</v>
      </c>
      <c r="O111" s="7" t="s">
        <v>195</v>
      </c>
      <c r="P111" s="7" t="s">
        <v>14</v>
      </c>
      <c r="Q111" s="7" t="s">
        <v>326</v>
      </c>
      <c r="R111" s="7" t="s">
        <v>1821</v>
      </c>
    </row>
    <row r="112" spans="1:18">
      <c r="A112" s="7" t="s">
        <v>1997</v>
      </c>
      <c r="B112" s="7" t="s">
        <v>1914</v>
      </c>
      <c r="C112" s="7" t="s">
        <v>1611</v>
      </c>
      <c r="D112" s="7" t="s">
        <v>837</v>
      </c>
      <c r="E112" s="7" t="s">
        <v>255</v>
      </c>
      <c r="F112" s="7" t="s">
        <v>269</v>
      </c>
      <c r="G112" s="7" t="s">
        <v>542</v>
      </c>
      <c r="H112" s="7" t="s">
        <v>115</v>
      </c>
      <c r="I112" s="7" t="s">
        <v>316</v>
      </c>
      <c r="J112" s="7" t="s">
        <v>351</v>
      </c>
      <c r="K112" s="7" t="s">
        <v>462</v>
      </c>
      <c r="L112" s="7" t="s">
        <v>1741</v>
      </c>
      <c r="M112" s="7" t="s">
        <v>275</v>
      </c>
      <c r="N112" s="7" t="s">
        <v>686</v>
      </c>
      <c r="O112" s="7" t="s">
        <v>195</v>
      </c>
      <c r="P112" s="7" t="s">
        <v>14</v>
      </c>
      <c r="Q112" s="7" t="s">
        <v>305</v>
      </c>
      <c r="R112" s="7" t="s">
        <v>1821</v>
      </c>
    </row>
    <row r="113" spans="1:18">
      <c r="A113" s="7" t="s">
        <v>1998</v>
      </c>
      <c r="B113" s="7" t="s">
        <v>1866</v>
      </c>
      <c r="C113" s="7" t="s">
        <v>1571</v>
      </c>
      <c r="D113" s="7" t="s">
        <v>1505</v>
      </c>
      <c r="E113" s="7" t="s">
        <v>268</v>
      </c>
      <c r="F113" s="7" t="s">
        <v>269</v>
      </c>
      <c r="G113" s="7" t="s">
        <v>435</v>
      </c>
      <c r="H113" s="7" t="s">
        <v>115</v>
      </c>
      <c r="I113" s="7" t="s">
        <v>258</v>
      </c>
      <c r="J113" s="7" t="s">
        <v>351</v>
      </c>
      <c r="K113" s="7" t="s">
        <v>1999</v>
      </c>
      <c r="L113" s="7" t="s">
        <v>1741</v>
      </c>
      <c r="M113" s="7" t="s">
        <v>275</v>
      </c>
      <c r="N113" s="7" t="s">
        <v>276</v>
      </c>
      <c r="O113" s="7" t="s">
        <v>195</v>
      </c>
      <c r="P113" s="7" t="s">
        <v>11</v>
      </c>
      <c r="Q113" s="7" t="s">
        <v>262</v>
      </c>
      <c r="R113" s="7" t="s">
        <v>1821</v>
      </c>
    </row>
    <row r="114" spans="1:18">
      <c r="A114" s="7" t="s">
        <v>2000</v>
      </c>
      <c r="B114" s="7" t="s">
        <v>1820</v>
      </c>
      <c r="C114" s="7" t="s">
        <v>1573</v>
      </c>
      <c r="D114" s="7"/>
      <c r="E114" s="7" t="s">
        <v>281</v>
      </c>
      <c r="F114" s="7" t="s">
        <v>269</v>
      </c>
      <c r="G114" s="7" t="s">
        <v>363</v>
      </c>
      <c r="H114" s="7" t="s">
        <v>115</v>
      </c>
      <c r="I114" s="7" t="s">
        <v>299</v>
      </c>
      <c r="J114" s="7" t="s">
        <v>346</v>
      </c>
      <c r="K114" s="7" t="s">
        <v>1203</v>
      </c>
      <c r="L114" s="7" t="s">
        <v>1904</v>
      </c>
      <c r="M114" s="7" t="s">
        <v>275</v>
      </c>
      <c r="N114" s="7" t="s">
        <v>276</v>
      </c>
      <c r="O114" s="7" t="s">
        <v>169</v>
      </c>
      <c r="P114" s="7" t="s">
        <v>8</v>
      </c>
      <c r="Q114" s="7" t="s">
        <v>305</v>
      </c>
      <c r="R114" s="7" t="s">
        <v>1821</v>
      </c>
    </row>
    <row r="115" spans="1:18">
      <c r="A115" s="7" t="s">
        <v>2001</v>
      </c>
      <c r="B115" s="7" t="s">
        <v>1921</v>
      </c>
      <c r="C115" s="7" t="s">
        <v>1856</v>
      </c>
      <c r="D115" s="7" t="s">
        <v>1418</v>
      </c>
      <c r="E115" s="7" t="s">
        <v>255</v>
      </c>
      <c r="F115" s="7" t="s">
        <v>256</v>
      </c>
      <c r="G115" s="7" t="s">
        <v>257</v>
      </c>
      <c r="H115" s="7" t="s">
        <v>127</v>
      </c>
      <c r="I115" s="7" t="s">
        <v>258</v>
      </c>
      <c r="J115" s="7" t="s">
        <v>351</v>
      </c>
      <c r="K115" s="7"/>
      <c r="L115" s="7"/>
      <c r="M115" s="7" t="s">
        <v>260</v>
      </c>
      <c r="N115" s="7" t="s">
        <v>261</v>
      </c>
      <c r="O115" s="7" t="s">
        <v>169</v>
      </c>
      <c r="P115" s="7"/>
      <c r="Q115" s="7" t="s">
        <v>318</v>
      </c>
      <c r="R115" s="7" t="s">
        <v>1821</v>
      </c>
    </row>
    <row r="116" spans="1:18">
      <c r="A116" s="7" t="s">
        <v>2002</v>
      </c>
      <c r="B116" s="7" t="s">
        <v>1843</v>
      </c>
      <c r="C116" s="7" t="s">
        <v>1622</v>
      </c>
      <c r="D116" s="7" t="s">
        <v>1447</v>
      </c>
      <c r="E116" s="7" t="s">
        <v>268</v>
      </c>
      <c r="F116" s="7" t="s">
        <v>297</v>
      </c>
      <c r="G116" s="7" t="s">
        <v>628</v>
      </c>
      <c r="H116" s="7" t="s">
        <v>115</v>
      </c>
      <c r="I116" s="7" t="s">
        <v>299</v>
      </c>
      <c r="J116" s="7" t="s">
        <v>392</v>
      </c>
      <c r="K116" s="7" t="s">
        <v>719</v>
      </c>
      <c r="L116" s="7" t="s">
        <v>834</v>
      </c>
      <c r="M116" s="7" t="s">
        <v>303</v>
      </c>
      <c r="N116" s="7" t="s">
        <v>304</v>
      </c>
      <c r="O116" s="7" t="s">
        <v>483</v>
      </c>
      <c r="P116" s="7" t="s">
        <v>11</v>
      </c>
      <c r="Q116" s="7" t="s">
        <v>318</v>
      </c>
      <c r="R116" s="7" t="s">
        <v>1821</v>
      </c>
    </row>
    <row r="117" spans="1:18">
      <c r="A117" s="7" t="s">
        <v>2003</v>
      </c>
      <c r="B117" s="7" t="s">
        <v>1856</v>
      </c>
      <c r="C117" s="7" t="s">
        <v>1826</v>
      </c>
      <c r="D117" s="7" t="s">
        <v>1239</v>
      </c>
      <c r="E117" s="7" t="s">
        <v>268</v>
      </c>
      <c r="F117" s="7" t="s">
        <v>297</v>
      </c>
      <c r="G117" s="7" t="s">
        <v>583</v>
      </c>
      <c r="H117" s="7" t="s">
        <v>115</v>
      </c>
      <c r="I117" s="7" t="s">
        <v>271</v>
      </c>
      <c r="J117" s="7" t="s">
        <v>259</v>
      </c>
      <c r="K117" s="7" t="s">
        <v>906</v>
      </c>
      <c r="L117" s="7" t="s">
        <v>311</v>
      </c>
      <c r="M117" s="7" t="s">
        <v>335</v>
      </c>
      <c r="N117" s="7" t="s">
        <v>304</v>
      </c>
      <c r="O117" s="7" t="s">
        <v>195</v>
      </c>
      <c r="P117" s="7" t="s">
        <v>8</v>
      </c>
      <c r="Q117" s="7" t="s">
        <v>318</v>
      </c>
      <c r="R117" s="7" t="s">
        <v>1821</v>
      </c>
    </row>
    <row r="118" spans="1:18">
      <c r="A118" s="7" t="s">
        <v>2004</v>
      </c>
      <c r="B118" s="7" t="s">
        <v>1839</v>
      </c>
      <c r="C118" s="7" t="s">
        <v>755</v>
      </c>
      <c r="D118" s="7" t="s">
        <v>2005</v>
      </c>
      <c r="E118" s="7" t="s">
        <v>255</v>
      </c>
      <c r="F118" s="7" t="s">
        <v>269</v>
      </c>
      <c r="G118" s="7" t="s">
        <v>542</v>
      </c>
      <c r="H118" s="7" t="s">
        <v>122</v>
      </c>
      <c r="I118" s="7" t="s">
        <v>299</v>
      </c>
      <c r="J118" s="7" t="s">
        <v>525</v>
      </c>
      <c r="K118" s="7"/>
      <c r="L118" s="7"/>
      <c r="M118" s="7" t="s">
        <v>260</v>
      </c>
      <c r="N118" s="7" t="s">
        <v>276</v>
      </c>
      <c r="O118" s="7" t="s">
        <v>195</v>
      </c>
      <c r="P118" s="7"/>
      <c r="Q118" s="7" t="s">
        <v>285</v>
      </c>
      <c r="R118" s="7" t="s">
        <v>1821</v>
      </c>
    </row>
    <row r="119" spans="1:18">
      <c r="A119" s="7" t="s">
        <v>2006</v>
      </c>
      <c r="B119" s="7" t="s">
        <v>1888</v>
      </c>
      <c r="C119" s="7" t="s">
        <v>1885</v>
      </c>
      <c r="D119" s="7" t="s">
        <v>934</v>
      </c>
      <c r="E119" s="7" t="s">
        <v>255</v>
      </c>
      <c r="F119" s="7" t="s">
        <v>282</v>
      </c>
      <c r="G119" s="7" t="s">
        <v>290</v>
      </c>
      <c r="H119" s="7" t="s">
        <v>127</v>
      </c>
      <c r="I119" s="7" t="s">
        <v>299</v>
      </c>
      <c r="J119" s="7" t="s">
        <v>300</v>
      </c>
      <c r="K119" s="7"/>
      <c r="L119" s="7"/>
      <c r="M119" s="7" t="s">
        <v>260</v>
      </c>
      <c r="N119" s="7" t="s">
        <v>284</v>
      </c>
      <c r="O119" s="7" t="s">
        <v>195</v>
      </c>
      <c r="P119" s="7"/>
      <c r="Q119" s="7" t="s">
        <v>285</v>
      </c>
      <c r="R119" s="7" t="s">
        <v>1821</v>
      </c>
    </row>
    <row r="120" spans="1:18">
      <c r="A120" s="7" t="s">
        <v>2007</v>
      </c>
      <c r="B120" s="7" t="s">
        <v>1886</v>
      </c>
      <c r="C120" s="7" t="s">
        <v>1573</v>
      </c>
      <c r="D120" s="7" t="s">
        <v>820</v>
      </c>
      <c r="E120" s="7" t="s">
        <v>281</v>
      </c>
      <c r="F120" s="7" t="s">
        <v>297</v>
      </c>
      <c r="G120" s="7" t="s">
        <v>298</v>
      </c>
      <c r="H120" s="7" t="s">
        <v>115</v>
      </c>
      <c r="I120" s="7" t="s">
        <v>258</v>
      </c>
      <c r="J120" s="7" t="s">
        <v>447</v>
      </c>
      <c r="K120" s="7" t="s">
        <v>2008</v>
      </c>
      <c r="L120" s="7" t="s">
        <v>986</v>
      </c>
      <c r="M120" s="7" t="s">
        <v>293</v>
      </c>
      <c r="N120" s="7" t="s">
        <v>304</v>
      </c>
      <c r="O120" s="7" t="s">
        <v>195</v>
      </c>
      <c r="P120" s="7" t="s">
        <v>14</v>
      </c>
      <c r="Q120" s="7" t="s">
        <v>285</v>
      </c>
      <c r="R120" s="7" t="s">
        <v>1821</v>
      </c>
    </row>
    <row r="121" spans="1:18">
      <c r="A121" s="7" t="s">
        <v>2009</v>
      </c>
      <c r="B121" s="7" t="s">
        <v>1855</v>
      </c>
      <c r="C121" s="7" t="s">
        <v>1590</v>
      </c>
      <c r="D121" s="7" t="s">
        <v>445</v>
      </c>
      <c r="E121" s="7" t="s">
        <v>255</v>
      </c>
      <c r="F121" s="7" t="s">
        <v>269</v>
      </c>
      <c r="G121" s="7" t="s">
        <v>542</v>
      </c>
      <c r="H121" s="7" t="s">
        <v>115</v>
      </c>
      <c r="I121" s="7" t="s">
        <v>316</v>
      </c>
      <c r="J121" s="7" t="s">
        <v>392</v>
      </c>
      <c r="K121" s="7" t="s">
        <v>394</v>
      </c>
      <c r="L121" s="7" t="s">
        <v>1134</v>
      </c>
      <c r="M121" s="7" t="s">
        <v>335</v>
      </c>
      <c r="N121" s="7" t="s">
        <v>276</v>
      </c>
      <c r="O121" s="7" t="s">
        <v>195</v>
      </c>
      <c r="P121" s="7" t="s">
        <v>14</v>
      </c>
      <c r="Q121" s="7" t="s">
        <v>262</v>
      </c>
      <c r="R121" s="7" t="s">
        <v>1821</v>
      </c>
    </row>
    <row r="122" spans="1:18">
      <c r="A122" s="7" t="s">
        <v>2010</v>
      </c>
      <c r="B122" s="7" t="s">
        <v>1852</v>
      </c>
      <c r="C122" s="7" t="s">
        <v>1318</v>
      </c>
      <c r="D122" s="7" t="s">
        <v>518</v>
      </c>
      <c r="E122" s="7" t="s">
        <v>339</v>
      </c>
      <c r="F122" s="7" t="s">
        <v>409</v>
      </c>
      <c r="G122" s="7" t="s">
        <v>501</v>
      </c>
      <c r="H122" s="7" t="s">
        <v>115</v>
      </c>
      <c r="I122" s="7" t="s">
        <v>258</v>
      </c>
      <c r="J122" s="7" t="s">
        <v>332</v>
      </c>
      <c r="K122" s="7" t="s">
        <v>333</v>
      </c>
      <c r="L122" s="7" t="s">
        <v>369</v>
      </c>
      <c r="M122" s="7" t="s">
        <v>303</v>
      </c>
      <c r="N122" s="7" t="s">
        <v>412</v>
      </c>
      <c r="O122" s="7" t="s">
        <v>195</v>
      </c>
      <c r="P122" s="7" t="s">
        <v>17</v>
      </c>
      <c r="Q122" s="7" t="s">
        <v>326</v>
      </c>
      <c r="R122" s="7" t="s">
        <v>1821</v>
      </c>
    </row>
    <row r="123" spans="1:18">
      <c r="A123" s="7" t="s">
        <v>2011</v>
      </c>
      <c r="B123" s="7" t="s">
        <v>2012</v>
      </c>
      <c r="C123" s="7" t="s">
        <v>1615</v>
      </c>
      <c r="D123" s="7" t="s">
        <v>2005</v>
      </c>
      <c r="E123" s="7" t="s">
        <v>268</v>
      </c>
      <c r="F123" s="7" t="s">
        <v>282</v>
      </c>
      <c r="G123" s="7" t="s">
        <v>505</v>
      </c>
      <c r="H123" s="7" t="s">
        <v>115</v>
      </c>
      <c r="I123" s="7" t="s">
        <v>316</v>
      </c>
      <c r="J123" s="7" t="s">
        <v>259</v>
      </c>
      <c r="K123" s="7" t="s">
        <v>1406</v>
      </c>
      <c r="L123" s="7" t="s">
        <v>1357</v>
      </c>
      <c r="M123" s="7" t="s">
        <v>335</v>
      </c>
      <c r="N123" s="7" t="s">
        <v>284</v>
      </c>
      <c r="O123" s="7" t="s">
        <v>195</v>
      </c>
      <c r="P123" s="7" t="s">
        <v>8</v>
      </c>
      <c r="Q123" s="7" t="s">
        <v>285</v>
      </c>
      <c r="R123" s="7" t="s">
        <v>1821</v>
      </c>
    </row>
    <row r="124" spans="1:18">
      <c r="A124" s="7" t="s">
        <v>2013</v>
      </c>
      <c r="B124" s="7" t="s">
        <v>1912</v>
      </c>
      <c r="C124" s="7" t="s">
        <v>1914</v>
      </c>
      <c r="D124" s="7" t="s">
        <v>1494</v>
      </c>
      <c r="E124" s="7" t="s">
        <v>281</v>
      </c>
      <c r="F124" s="7" t="s">
        <v>282</v>
      </c>
      <c r="G124" s="7" t="s">
        <v>446</v>
      </c>
      <c r="H124" s="7" t="s">
        <v>115</v>
      </c>
      <c r="I124" s="7" t="s">
        <v>258</v>
      </c>
      <c r="J124" s="7" t="s">
        <v>469</v>
      </c>
      <c r="K124" s="7" t="s">
        <v>669</v>
      </c>
      <c r="L124" s="7" t="s">
        <v>860</v>
      </c>
      <c r="M124" s="7" t="s">
        <v>275</v>
      </c>
      <c r="N124" s="7" t="s">
        <v>284</v>
      </c>
      <c r="O124" s="7" t="s">
        <v>169</v>
      </c>
      <c r="P124" s="7" t="s">
        <v>17</v>
      </c>
      <c r="Q124" s="7" t="s">
        <v>318</v>
      </c>
      <c r="R124" s="7" t="s">
        <v>1821</v>
      </c>
    </row>
    <row r="125" spans="1:18">
      <c r="A125" s="7" t="s">
        <v>2014</v>
      </c>
      <c r="B125" s="7" t="s">
        <v>1820</v>
      </c>
      <c r="C125" s="7" t="s">
        <v>1570</v>
      </c>
      <c r="D125" s="7" t="s">
        <v>916</v>
      </c>
      <c r="E125" s="7" t="s">
        <v>339</v>
      </c>
      <c r="F125" s="7" t="s">
        <v>409</v>
      </c>
      <c r="G125" s="7" t="s">
        <v>476</v>
      </c>
      <c r="H125" s="7" t="s">
        <v>127</v>
      </c>
      <c r="I125" s="7" t="s">
        <v>258</v>
      </c>
      <c r="J125" s="7" t="s">
        <v>525</v>
      </c>
      <c r="K125" s="7"/>
      <c r="L125" s="7"/>
      <c r="M125" s="7" t="s">
        <v>260</v>
      </c>
      <c r="N125" s="7" t="s">
        <v>412</v>
      </c>
      <c r="O125" s="7" t="s">
        <v>195</v>
      </c>
      <c r="P125" s="7"/>
      <c r="Q125" s="7" t="s">
        <v>326</v>
      </c>
      <c r="R125" s="7" t="s">
        <v>1821</v>
      </c>
    </row>
    <row r="126" spans="1:18">
      <c r="A126" s="7" t="s">
        <v>2015</v>
      </c>
      <c r="B126" s="7" t="s">
        <v>1885</v>
      </c>
      <c r="C126" s="7" t="s">
        <v>1593</v>
      </c>
      <c r="D126" s="7" t="s">
        <v>1088</v>
      </c>
      <c r="E126" s="7" t="s">
        <v>255</v>
      </c>
      <c r="F126" s="7" t="s">
        <v>409</v>
      </c>
      <c r="G126" s="7" t="s">
        <v>410</v>
      </c>
      <c r="H126" s="7" t="s">
        <v>115</v>
      </c>
      <c r="I126" s="7" t="s">
        <v>271</v>
      </c>
      <c r="J126" s="7" t="s">
        <v>332</v>
      </c>
      <c r="K126" s="7" t="s">
        <v>689</v>
      </c>
      <c r="L126" s="7" t="s">
        <v>1084</v>
      </c>
      <c r="M126" s="7" t="s">
        <v>275</v>
      </c>
      <c r="N126" s="7" t="s">
        <v>412</v>
      </c>
      <c r="O126" s="7" t="s">
        <v>195</v>
      </c>
      <c r="P126" s="7" t="s">
        <v>14</v>
      </c>
      <c r="Q126" s="7" t="s">
        <v>318</v>
      </c>
      <c r="R126" s="7" t="s">
        <v>1821</v>
      </c>
    </row>
    <row r="127" spans="1:18">
      <c r="A127" s="7" t="s">
        <v>2016</v>
      </c>
      <c r="B127" s="7" t="s">
        <v>1866</v>
      </c>
      <c r="C127" s="7" t="s">
        <v>1828</v>
      </c>
      <c r="D127" s="7" t="s">
        <v>1475</v>
      </c>
      <c r="E127" s="7" t="s">
        <v>281</v>
      </c>
      <c r="F127" s="7" t="s">
        <v>1402</v>
      </c>
      <c r="G127" s="7" t="s">
        <v>535</v>
      </c>
      <c r="H127" s="7" t="s">
        <v>115</v>
      </c>
      <c r="I127" s="7" t="s">
        <v>299</v>
      </c>
      <c r="J127" s="7" t="s">
        <v>399</v>
      </c>
      <c r="K127" s="7" t="s">
        <v>1470</v>
      </c>
      <c r="L127" s="7" t="s">
        <v>399</v>
      </c>
      <c r="M127" s="7" t="s">
        <v>303</v>
      </c>
      <c r="N127" s="7" t="s">
        <v>412</v>
      </c>
      <c r="O127" s="7" t="s">
        <v>169</v>
      </c>
      <c r="P127" s="7" t="s">
        <v>11</v>
      </c>
      <c r="Q127" s="7" t="s">
        <v>285</v>
      </c>
      <c r="R127" s="7" t="s">
        <v>1821</v>
      </c>
    </row>
    <row r="128" spans="1:18">
      <c r="A128" s="7" t="s">
        <v>2017</v>
      </c>
      <c r="B128" s="7" t="s">
        <v>1858</v>
      </c>
      <c r="C128" s="7" t="s">
        <v>1611</v>
      </c>
      <c r="D128" s="7" t="s">
        <v>1077</v>
      </c>
      <c r="E128" s="7" t="s">
        <v>255</v>
      </c>
      <c r="F128" s="7" t="s">
        <v>269</v>
      </c>
      <c r="G128" s="7" t="s">
        <v>391</v>
      </c>
      <c r="H128" s="7" t="s">
        <v>115</v>
      </c>
      <c r="I128" s="7" t="s">
        <v>316</v>
      </c>
      <c r="J128" s="7" t="s">
        <v>447</v>
      </c>
      <c r="K128" s="7" t="s">
        <v>1142</v>
      </c>
      <c r="L128" s="7" t="s">
        <v>1244</v>
      </c>
      <c r="M128" s="7" t="s">
        <v>303</v>
      </c>
      <c r="N128" s="7" t="s">
        <v>276</v>
      </c>
      <c r="O128" s="7" t="s">
        <v>169</v>
      </c>
      <c r="P128" s="7" t="s">
        <v>14</v>
      </c>
      <c r="Q128" s="7" t="s">
        <v>262</v>
      </c>
      <c r="R128" s="7" t="s">
        <v>1821</v>
      </c>
    </row>
    <row r="129" spans="1:18">
      <c r="A129" s="7" t="s">
        <v>2018</v>
      </c>
      <c r="B129" s="7" t="s">
        <v>1856</v>
      </c>
      <c r="C129" s="7" t="s">
        <v>1580</v>
      </c>
      <c r="D129" s="7" t="s">
        <v>377</v>
      </c>
      <c r="E129" s="7" t="s">
        <v>281</v>
      </c>
      <c r="F129" s="7" t="s">
        <v>297</v>
      </c>
      <c r="G129" s="7" t="s">
        <v>298</v>
      </c>
      <c r="H129" s="7" t="s">
        <v>1202</v>
      </c>
      <c r="I129" s="7" t="s">
        <v>299</v>
      </c>
      <c r="J129" s="7" t="s">
        <v>346</v>
      </c>
      <c r="K129" s="7" t="s">
        <v>617</v>
      </c>
      <c r="L129" s="7" t="s">
        <v>1198</v>
      </c>
      <c r="M129" s="7" t="s">
        <v>303</v>
      </c>
      <c r="N129" s="7" t="s">
        <v>304</v>
      </c>
      <c r="O129" s="7" t="s">
        <v>169</v>
      </c>
      <c r="P129" s="7" t="s">
        <v>17</v>
      </c>
      <c r="Q129" s="7" t="s">
        <v>262</v>
      </c>
      <c r="R129" s="7" t="s">
        <v>1821</v>
      </c>
    </row>
    <row r="130" spans="1:18">
      <c r="A130" s="7" t="s">
        <v>2019</v>
      </c>
      <c r="B130" s="7" t="s">
        <v>1868</v>
      </c>
      <c r="C130" s="7" t="s">
        <v>1591</v>
      </c>
      <c r="D130" s="7" t="s">
        <v>1299</v>
      </c>
      <c r="E130" s="7" t="s">
        <v>255</v>
      </c>
      <c r="F130" s="7" t="s">
        <v>282</v>
      </c>
      <c r="G130" s="7" t="s">
        <v>424</v>
      </c>
      <c r="H130" s="7" t="s">
        <v>122</v>
      </c>
      <c r="I130" s="7" t="s">
        <v>316</v>
      </c>
      <c r="J130" s="7" t="s">
        <v>341</v>
      </c>
      <c r="K130" s="7"/>
      <c r="L130" s="7"/>
      <c r="M130" s="7" t="s">
        <v>260</v>
      </c>
      <c r="N130" s="7" t="s">
        <v>284</v>
      </c>
      <c r="O130" s="7" t="s">
        <v>195</v>
      </c>
      <c r="P130" s="7"/>
      <c r="Q130" s="7" t="s">
        <v>285</v>
      </c>
      <c r="R130" s="7" t="s">
        <v>1821</v>
      </c>
    </row>
    <row r="131" spans="1:18">
      <c r="A131" s="7" t="s">
        <v>2020</v>
      </c>
      <c r="B131" s="7" t="s">
        <v>1906</v>
      </c>
      <c r="C131" s="7" t="s">
        <v>1570</v>
      </c>
      <c r="D131" s="7" t="s">
        <v>1447</v>
      </c>
      <c r="E131" s="7" t="s">
        <v>281</v>
      </c>
      <c r="F131" s="7" t="s">
        <v>269</v>
      </c>
      <c r="G131" s="7" t="s">
        <v>322</v>
      </c>
      <c r="H131" s="7" t="s">
        <v>115</v>
      </c>
      <c r="I131" s="7" t="s">
        <v>258</v>
      </c>
      <c r="J131" s="7" t="s">
        <v>392</v>
      </c>
      <c r="K131" s="7" t="s">
        <v>1562</v>
      </c>
      <c r="L131" s="7" t="s">
        <v>834</v>
      </c>
      <c r="M131" s="7" t="s">
        <v>335</v>
      </c>
      <c r="N131" s="7" t="s">
        <v>276</v>
      </c>
      <c r="O131" s="7" t="s">
        <v>195</v>
      </c>
      <c r="P131" s="7" t="s">
        <v>14</v>
      </c>
      <c r="Q131" s="7" t="s">
        <v>262</v>
      </c>
      <c r="R131" s="7" t="s">
        <v>1821</v>
      </c>
    </row>
    <row r="132" spans="1:18">
      <c r="A132" s="7" t="s">
        <v>2021</v>
      </c>
      <c r="B132" s="7" t="s">
        <v>1820</v>
      </c>
      <c r="C132" s="7" t="s">
        <v>1843</v>
      </c>
      <c r="D132" s="7" t="s">
        <v>1050</v>
      </c>
      <c r="E132" s="7" t="s">
        <v>268</v>
      </c>
      <c r="F132" s="7" t="s">
        <v>282</v>
      </c>
      <c r="G132" s="7" t="s">
        <v>505</v>
      </c>
      <c r="H132" s="7" t="s">
        <v>127</v>
      </c>
      <c r="I132" s="7" t="s">
        <v>299</v>
      </c>
      <c r="J132" s="7" t="s">
        <v>351</v>
      </c>
      <c r="K132" s="7"/>
      <c r="L132" s="7"/>
      <c r="M132" s="7" t="s">
        <v>260</v>
      </c>
      <c r="N132" s="7" t="s">
        <v>284</v>
      </c>
      <c r="O132" s="7" t="s">
        <v>169</v>
      </c>
      <c r="P132" s="7" t="s">
        <v>260</v>
      </c>
      <c r="Q132" s="7" t="s">
        <v>318</v>
      </c>
      <c r="R132" s="7" t="s">
        <v>1821</v>
      </c>
    </row>
    <row r="133" spans="1:18">
      <c r="A133" s="7" t="s">
        <v>2022</v>
      </c>
      <c r="B133" s="7" t="s">
        <v>1841</v>
      </c>
      <c r="C133" s="7" t="s">
        <v>1586</v>
      </c>
      <c r="D133" s="7" t="s">
        <v>677</v>
      </c>
      <c r="E133" s="7" t="s">
        <v>268</v>
      </c>
      <c r="F133" s="7" t="s">
        <v>282</v>
      </c>
      <c r="G133" s="7" t="s">
        <v>505</v>
      </c>
      <c r="H133" s="7" t="s">
        <v>122</v>
      </c>
      <c r="I133" s="7" t="s">
        <v>316</v>
      </c>
      <c r="J133" s="7" t="s">
        <v>351</v>
      </c>
      <c r="K133" s="7"/>
      <c r="L133" s="7"/>
      <c r="M133" s="7" t="s">
        <v>260</v>
      </c>
      <c r="N133" s="7" t="s">
        <v>284</v>
      </c>
      <c r="O133" s="7" t="s">
        <v>195</v>
      </c>
      <c r="P133" s="7"/>
      <c r="Q133" s="7" t="s">
        <v>305</v>
      </c>
      <c r="R133" s="7" t="s">
        <v>1821</v>
      </c>
    </row>
    <row r="134" spans="1:18">
      <c r="A134" s="7" t="s">
        <v>2023</v>
      </c>
      <c r="B134" s="7" t="s">
        <v>1914</v>
      </c>
      <c r="C134" s="7" t="s">
        <v>1611</v>
      </c>
      <c r="D134" s="7" t="s">
        <v>1864</v>
      </c>
      <c r="E134" s="7" t="s">
        <v>2024</v>
      </c>
      <c r="F134" s="7" t="s">
        <v>282</v>
      </c>
      <c r="G134" s="7" t="s">
        <v>424</v>
      </c>
      <c r="H134" s="7" t="s">
        <v>127</v>
      </c>
      <c r="I134" s="7" t="s">
        <v>316</v>
      </c>
      <c r="J134" s="7" t="s">
        <v>404</v>
      </c>
      <c r="K134" s="7"/>
      <c r="L134" s="7"/>
      <c r="M134" s="7" t="s">
        <v>260</v>
      </c>
      <c r="N134" s="7" t="s">
        <v>284</v>
      </c>
      <c r="O134" s="7" t="s">
        <v>195</v>
      </c>
      <c r="P134" s="7"/>
      <c r="Q134" s="7" t="s">
        <v>285</v>
      </c>
      <c r="R134" s="7" t="s">
        <v>1821</v>
      </c>
    </row>
    <row r="135" spans="1:18">
      <c r="A135" s="7" t="s">
        <v>2025</v>
      </c>
      <c r="B135" s="7" t="s">
        <v>1866</v>
      </c>
      <c r="C135" s="7" t="s">
        <v>1583</v>
      </c>
      <c r="D135" s="7" t="s">
        <v>1864</v>
      </c>
      <c r="E135" s="7" t="s">
        <v>268</v>
      </c>
      <c r="F135" s="7" t="s">
        <v>409</v>
      </c>
      <c r="G135" s="7" t="s">
        <v>552</v>
      </c>
      <c r="H135" s="7" t="s">
        <v>115</v>
      </c>
      <c r="I135" s="7" t="s">
        <v>299</v>
      </c>
      <c r="J135" s="7" t="s">
        <v>469</v>
      </c>
      <c r="K135" s="7" t="s">
        <v>1681</v>
      </c>
      <c r="L135" s="7" t="s">
        <v>1398</v>
      </c>
      <c r="M135" s="7" t="s">
        <v>303</v>
      </c>
      <c r="N135" s="7" t="s">
        <v>412</v>
      </c>
      <c r="O135" s="7" t="s">
        <v>195</v>
      </c>
      <c r="P135" s="7" t="s">
        <v>17</v>
      </c>
      <c r="Q135" s="7" t="s">
        <v>318</v>
      </c>
      <c r="R135" s="7" t="s">
        <v>1821</v>
      </c>
    </row>
    <row r="136" spans="1:18">
      <c r="A136" s="7" t="s">
        <v>2026</v>
      </c>
      <c r="B136" s="7" t="s">
        <v>1834</v>
      </c>
      <c r="C136" s="7" t="s">
        <v>1859</v>
      </c>
      <c r="D136" s="7" t="s">
        <v>813</v>
      </c>
      <c r="E136" s="7" t="s">
        <v>268</v>
      </c>
      <c r="F136" s="7" t="s">
        <v>269</v>
      </c>
      <c r="G136" s="7" t="s">
        <v>435</v>
      </c>
      <c r="H136" s="7" t="s">
        <v>115</v>
      </c>
      <c r="I136" s="7" t="s">
        <v>299</v>
      </c>
      <c r="J136" s="7" t="s">
        <v>392</v>
      </c>
      <c r="K136" s="7" t="s">
        <v>393</v>
      </c>
      <c r="L136" s="7" t="s">
        <v>1119</v>
      </c>
      <c r="M136" s="7" t="s">
        <v>335</v>
      </c>
      <c r="N136" s="7" t="s">
        <v>276</v>
      </c>
      <c r="O136" s="7" t="s">
        <v>169</v>
      </c>
      <c r="P136" s="7" t="s">
        <v>8</v>
      </c>
      <c r="Q136" s="7" t="s">
        <v>326</v>
      </c>
      <c r="R136" s="7" t="s">
        <v>1821</v>
      </c>
    </row>
    <row r="137" spans="1:18">
      <c r="A137" s="7" t="s">
        <v>2027</v>
      </c>
      <c r="B137" s="7" t="s">
        <v>1885</v>
      </c>
      <c r="C137" s="7" t="s">
        <v>1620</v>
      </c>
      <c r="D137" s="7" t="s">
        <v>518</v>
      </c>
      <c r="E137" s="7" t="s">
        <v>281</v>
      </c>
      <c r="F137" s="7" t="s">
        <v>409</v>
      </c>
      <c r="G137" s="7" t="s">
        <v>496</v>
      </c>
      <c r="H137" s="7" t="s">
        <v>115</v>
      </c>
      <c r="I137" s="7" t="s">
        <v>271</v>
      </c>
      <c r="J137" s="7" t="s">
        <v>272</v>
      </c>
      <c r="K137" s="7" t="s">
        <v>426</v>
      </c>
      <c r="L137" s="7" t="s">
        <v>719</v>
      </c>
      <c r="M137" s="7" t="s">
        <v>293</v>
      </c>
      <c r="N137" s="7" t="s">
        <v>412</v>
      </c>
      <c r="O137" s="7" t="s">
        <v>195</v>
      </c>
      <c r="P137" s="7" t="s">
        <v>17</v>
      </c>
      <c r="Q137" s="7" t="s">
        <v>285</v>
      </c>
      <c r="R137" s="7" t="s">
        <v>1821</v>
      </c>
    </row>
    <row r="138" spans="1:18">
      <c r="A138" s="7" t="s">
        <v>2028</v>
      </c>
      <c r="B138" s="7" t="s">
        <v>1823</v>
      </c>
      <c r="C138" s="7" t="s">
        <v>1314</v>
      </c>
      <c r="D138" s="7" t="s">
        <v>1925</v>
      </c>
      <c r="E138" s="7" t="s">
        <v>255</v>
      </c>
      <c r="F138" s="7" t="s">
        <v>297</v>
      </c>
      <c r="G138" s="7" t="s">
        <v>639</v>
      </c>
      <c r="H138" s="7" t="s">
        <v>115</v>
      </c>
      <c r="I138" s="7" t="s">
        <v>258</v>
      </c>
      <c r="J138" s="7" t="s">
        <v>525</v>
      </c>
      <c r="K138" s="7" t="s">
        <v>1431</v>
      </c>
      <c r="L138" s="7" t="s">
        <v>1962</v>
      </c>
      <c r="M138" s="7" t="s">
        <v>303</v>
      </c>
      <c r="N138" s="7" t="s">
        <v>304</v>
      </c>
      <c r="O138" s="7" t="s">
        <v>195</v>
      </c>
      <c r="P138" s="7" t="s">
        <v>14</v>
      </c>
      <c r="Q138" s="7" t="s">
        <v>285</v>
      </c>
      <c r="R138" s="7" t="s">
        <v>1821</v>
      </c>
    </row>
    <row r="139" spans="1:18">
      <c r="A139" s="7" t="s">
        <v>2029</v>
      </c>
      <c r="B139" s="7" t="s">
        <v>1834</v>
      </c>
      <c r="C139" s="7" t="s">
        <v>1620</v>
      </c>
      <c r="D139" s="7" t="s">
        <v>592</v>
      </c>
      <c r="E139" s="7" t="s">
        <v>339</v>
      </c>
      <c r="F139" s="7" t="s">
        <v>282</v>
      </c>
      <c r="G139" s="7" t="s">
        <v>564</v>
      </c>
      <c r="H139" s="7" t="s">
        <v>122</v>
      </c>
      <c r="I139" s="7" t="s">
        <v>316</v>
      </c>
      <c r="J139" s="7" t="s">
        <v>447</v>
      </c>
      <c r="K139" s="7"/>
      <c r="L139" s="7"/>
      <c r="M139" s="7" t="s">
        <v>604</v>
      </c>
      <c r="N139" s="7" t="s">
        <v>284</v>
      </c>
      <c r="O139" s="7" t="s">
        <v>195</v>
      </c>
      <c r="P139" s="7"/>
      <c r="Q139" s="7" t="s">
        <v>326</v>
      </c>
      <c r="R139" s="7" t="s">
        <v>1821</v>
      </c>
    </row>
    <row r="140" spans="1:18">
      <c r="A140" s="7" t="s">
        <v>2030</v>
      </c>
      <c r="B140" s="7" t="s">
        <v>1876</v>
      </c>
      <c r="C140" s="7" t="s">
        <v>1314</v>
      </c>
      <c r="D140" s="7" t="s">
        <v>820</v>
      </c>
      <c r="E140" s="7" t="s">
        <v>255</v>
      </c>
      <c r="F140" s="7" t="s">
        <v>256</v>
      </c>
      <c r="G140" s="7" t="s">
        <v>398</v>
      </c>
      <c r="H140" s="7" t="s">
        <v>115</v>
      </c>
      <c r="I140" s="7" t="s">
        <v>258</v>
      </c>
      <c r="J140" s="7" t="s">
        <v>323</v>
      </c>
      <c r="K140" s="7" t="s">
        <v>2031</v>
      </c>
      <c r="L140" s="7" t="s">
        <v>1312</v>
      </c>
      <c r="M140" s="7" t="s">
        <v>275</v>
      </c>
      <c r="N140" s="7" t="s">
        <v>261</v>
      </c>
      <c r="O140" s="7" t="s">
        <v>195</v>
      </c>
      <c r="P140" s="7" t="s">
        <v>11</v>
      </c>
      <c r="Q140" s="7" t="s">
        <v>318</v>
      </c>
      <c r="R140" s="7" t="s">
        <v>1821</v>
      </c>
    </row>
    <row r="141" spans="1:18">
      <c r="A141" s="7" t="s">
        <v>2032</v>
      </c>
      <c r="B141" s="7" t="s">
        <v>1890</v>
      </c>
      <c r="C141" s="7" t="s">
        <v>1885</v>
      </c>
      <c r="D141" s="7" t="s">
        <v>1466</v>
      </c>
      <c r="E141" s="7" t="s">
        <v>255</v>
      </c>
      <c r="F141" s="7" t="s">
        <v>409</v>
      </c>
      <c r="G141" s="7" t="s">
        <v>410</v>
      </c>
      <c r="H141" s="7" t="s">
        <v>115</v>
      </c>
      <c r="I141" s="7" t="s">
        <v>316</v>
      </c>
      <c r="J141" s="7" t="s">
        <v>399</v>
      </c>
      <c r="K141" s="7" t="s">
        <v>1114</v>
      </c>
      <c r="L141" s="7" t="s">
        <v>1420</v>
      </c>
      <c r="M141" s="7" t="s">
        <v>293</v>
      </c>
      <c r="N141" s="7" t="s">
        <v>412</v>
      </c>
      <c r="O141" s="7" t="s">
        <v>195</v>
      </c>
      <c r="P141" s="7" t="s">
        <v>8</v>
      </c>
      <c r="Q141" s="7" t="s">
        <v>305</v>
      </c>
      <c r="R141" s="7" t="s">
        <v>1821</v>
      </c>
    </row>
    <row r="142" spans="1:18">
      <c r="A142" s="7" t="s">
        <v>2033</v>
      </c>
      <c r="B142" s="7" t="s">
        <v>1823</v>
      </c>
      <c r="C142" s="7" t="s">
        <v>1279</v>
      </c>
      <c r="D142" s="7" t="s">
        <v>978</v>
      </c>
      <c r="E142" s="7" t="s">
        <v>339</v>
      </c>
      <c r="F142" s="7" t="s">
        <v>269</v>
      </c>
      <c r="G142" s="7" t="s">
        <v>528</v>
      </c>
      <c r="H142" s="7" t="s">
        <v>127</v>
      </c>
      <c r="I142" s="7" t="s">
        <v>299</v>
      </c>
      <c r="J142" s="7" t="s">
        <v>300</v>
      </c>
      <c r="K142" s="7"/>
      <c r="L142" s="7"/>
      <c r="M142" s="7" t="s">
        <v>835</v>
      </c>
      <c r="N142" s="7" t="s">
        <v>276</v>
      </c>
      <c r="O142" s="7" t="s">
        <v>195</v>
      </c>
      <c r="P142" s="7"/>
      <c r="Q142" s="7" t="s">
        <v>318</v>
      </c>
      <c r="R142" s="7" t="s">
        <v>1821</v>
      </c>
    </row>
    <row r="143" spans="1:18">
      <c r="A143" s="7" t="s">
        <v>2034</v>
      </c>
      <c r="B143" s="7" t="s">
        <v>1914</v>
      </c>
      <c r="C143" s="7" t="s">
        <v>1566</v>
      </c>
      <c r="D143" s="7" t="s">
        <v>1123</v>
      </c>
      <c r="E143" s="7" t="s">
        <v>281</v>
      </c>
      <c r="F143" s="7" t="s">
        <v>269</v>
      </c>
      <c r="G143" s="7" t="s">
        <v>363</v>
      </c>
      <c r="H143" s="7" t="s">
        <v>115</v>
      </c>
      <c r="I143" s="7" t="s">
        <v>316</v>
      </c>
      <c r="J143" s="7" t="s">
        <v>411</v>
      </c>
      <c r="K143" s="7" t="s">
        <v>411</v>
      </c>
      <c r="L143" s="7" t="s">
        <v>2035</v>
      </c>
      <c r="M143" s="7" t="s">
        <v>293</v>
      </c>
      <c r="N143" s="7" t="s">
        <v>276</v>
      </c>
      <c r="O143" s="7" t="s">
        <v>195</v>
      </c>
      <c r="P143" s="7" t="s">
        <v>8</v>
      </c>
      <c r="Q143" s="7" t="s">
        <v>326</v>
      </c>
      <c r="R143" s="7" t="s">
        <v>1821</v>
      </c>
    </row>
    <row r="144" spans="1:18">
      <c r="A144" s="7"/>
      <c r="B144" s="7" t="s">
        <v>1906</v>
      </c>
      <c r="C144" s="7" t="s">
        <v>1580</v>
      </c>
      <c r="D144" s="7" t="s">
        <v>386</v>
      </c>
      <c r="E144" s="7" t="s">
        <v>268</v>
      </c>
      <c r="F144" s="7" t="s">
        <v>409</v>
      </c>
      <c r="G144" s="7" t="s">
        <v>587</v>
      </c>
      <c r="H144" s="7" t="s">
        <v>127</v>
      </c>
      <c r="I144" s="7" t="s">
        <v>258</v>
      </c>
      <c r="J144" s="7" t="s">
        <v>399</v>
      </c>
      <c r="K144" s="7"/>
      <c r="L144" s="7"/>
      <c r="M144" s="7" t="s">
        <v>260</v>
      </c>
      <c r="N144" s="7" t="s">
        <v>412</v>
      </c>
      <c r="O144" s="7" t="s">
        <v>169</v>
      </c>
      <c r="P144" s="7"/>
      <c r="Q144" s="7" t="s">
        <v>262</v>
      </c>
      <c r="R144" s="7" t="s">
        <v>1821</v>
      </c>
    </row>
    <row r="145" spans="1:18">
      <c r="A145" s="7" t="s">
        <v>2036</v>
      </c>
      <c r="B145" s="7" t="s">
        <v>1856</v>
      </c>
      <c r="C145" s="7" t="s">
        <v>1868</v>
      </c>
      <c r="D145" s="7" t="s">
        <v>759</v>
      </c>
      <c r="E145" s="7" t="s">
        <v>268</v>
      </c>
      <c r="F145" s="7" t="s">
        <v>282</v>
      </c>
      <c r="G145" s="7" t="s">
        <v>524</v>
      </c>
      <c r="H145" s="7" t="s">
        <v>122</v>
      </c>
      <c r="I145" s="7" t="s">
        <v>258</v>
      </c>
      <c r="J145" s="7" t="s">
        <v>300</v>
      </c>
      <c r="K145" s="7"/>
      <c r="L145" s="7"/>
      <c r="M145" s="7" t="s">
        <v>260</v>
      </c>
      <c r="N145" s="7" t="s">
        <v>284</v>
      </c>
      <c r="O145" s="7" t="s">
        <v>195</v>
      </c>
      <c r="P145" s="7"/>
      <c r="Q145" s="7" t="s">
        <v>262</v>
      </c>
      <c r="R145" s="7" t="s">
        <v>1821</v>
      </c>
    </row>
    <row r="146" spans="1:18">
      <c r="A146" s="7" t="s">
        <v>2037</v>
      </c>
      <c r="B146" s="7" t="s">
        <v>1834</v>
      </c>
      <c r="C146" s="7" t="s">
        <v>1611</v>
      </c>
      <c r="D146" s="7" t="s">
        <v>2038</v>
      </c>
      <c r="E146" s="7" t="s">
        <v>339</v>
      </c>
      <c r="F146" s="7" t="s">
        <v>297</v>
      </c>
      <c r="G146" s="7" t="s">
        <v>780</v>
      </c>
      <c r="H146" s="7" t="s">
        <v>115</v>
      </c>
      <c r="I146" s="7" t="s">
        <v>1025</v>
      </c>
      <c r="J146" s="7" t="s">
        <v>447</v>
      </c>
      <c r="K146" s="7" t="s">
        <v>743</v>
      </c>
      <c r="L146" s="7" t="s">
        <v>2039</v>
      </c>
      <c r="M146" s="7" t="s">
        <v>293</v>
      </c>
      <c r="N146" s="7" t="s">
        <v>304</v>
      </c>
      <c r="O146" s="7" t="s">
        <v>195</v>
      </c>
      <c r="P146" s="7" t="s">
        <v>8</v>
      </c>
      <c r="Q146" s="7" t="s">
        <v>305</v>
      </c>
      <c r="R146" s="7" t="s">
        <v>1821</v>
      </c>
    </row>
    <row r="147" spans="1:18">
      <c r="A147" s="7" t="s">
        <v>2040</v>
      </c>
      <c r="B147" s="7" t="s">
        <v>1866</v>
      </c>
      <c r="C147" s="7" t="s">
        <v>1364</v>
      </c>
      <c r="D147" s="7" t="s">
        <v>1154</v>
      </c>
      <c r="E147" s="7" t="s">
        <v>255</v>
      </c>
      <c r="F147" s="7" t="s">
        <v>256</v>
      </c>
      <c r="G147" s="7" t="s">
        <v>398</v>
      </c>
      <c r="H147" s="7" t="s">
        <v>115</v>
      </c>
      <c r="I147" s="7" t="s">
        <v>271</v>
      </c>
      <c r="J147" s="7" t="s">
        <v>399</v>
      </c>
      <c r="K147" s="7" t="s">
        <v>2041</v>
      </c>
      <c r="L147" s="7" t="s">
        <v>1307</v>
      </c>
      <c r="M147" s="7" t="s">
        <v>293</v>
      </c>
      <c r="N147" s="7" t="s">
        <v>261</v>
      </c>
      <c r="O147" s="7" t="s">
        <v>195</v>
      </c>
      <c r="P147" s="7" t="s">
        <v>14</v>
      </c>
      <c r="Q147" s="7" t="s">
        <v>318</v>
      </c>
      <c r="R147" s="7" t="s">
        <v>1821</v>
      </c>
    </row>
    <row r="148" spans="1:18">
      <c r="A148" s="7" t="s">
        <v>2042</v>
      </c>
      <c r="B148" s="7" t="s">
        <v>1859</v>
      </c>
      <c r="C148" s="7" t="s">
        <v>1641</v>
      </c>
      <c r="D148" s="7" t="s">
        <v>843</v>
      </c>
      <c r="E148" s="7" t="s">
        <v>281</v>
      </c>
      <c r="F148" s="7" t="s">
        <v>282</v>
      </c>
      <c r="G148" s="7" t="s">
        <v>283</v>
      </c>
      <c r="H148" s="7" t="s">
        <v>115</v>
      </c>
      <c r="I148" s="7" t="s">
        <v>316</v>
      </c>
      <c r="J148" s="7" t="s">
        <v>259</v>
      </c>
      <c r="K148" s="7" t="s">
        <v>374</v>
      </c>
      <c r="L148" s="7" t="s">
        <v>1053</v>
      </c>
      <c r="M148" s="7" t="s">
        <v>293</v>
      </c>
      <c r="N148" s="7" t="s">
        <v>284</v>
      </c>
      <c r="O148" s="7" t="s">
        <v>169</v>
      </c>
      <c r="P148" s="7" t="s">
        <v>8</v>
      </c>
      <c r="Q148" s="7" t="s">
        <v>285</v>
      </c>
      <c r="R148" s="7" t="s">
        <v>1821</v>
      </c>
    </row>
    <row r="149" spans="1:18">
      <c r="A149" s="7" t="s">
        <v>2043</v>
      </c>
      <c r="B149" s="7" t="s">
        <v>1843</v>
      </c>
      <c r="C149" s="7" t="s">
        <v>1625</v>
      </c>
      <c r="D149" s="7" t="s">
        <v>2044</v>
      </c>
      <c r="E149" s="7" t="s">
        <v>268</v>
      </c>
      <c r="F149" s="7" t="s">
        <v>297</v>
      </c>
      <c r="G149" s="7" t="s">
        <v>583</v>
      </c>
      <c r="H149" s="7" t="s">
        <v>115</v>
      </c>
      <c r="I149" s="7" t="s">
        <v>258</v>
      </c>
      <c r="J149" s="7" t="s">
        <v>358</v>
      </c>
      <c r="K149" s="7" t="s">
        <v>497</v>
      </c>
      <c r="L149" s="7" t="s">
        <v>1642</v>
      </c>
      <c r="M149" s="7" t="s">
        <v>275</v>
      </c>
      <c r="N149" s="7" t="s">
        <v>304</v>
      </c>
      <c r="O149" s="7" t="s">
        <v>195</v>
      </c>
      <c r="P149" s="7" t="s">
        <v>17</v>
      </c>
      <c r="Q149" s="7" t="s">
        <v>262</v>
      </c>
      <c r="R149" s="7" t="s">
        <v>1821</v>
      </c>
    </row>
    <row r="150" spans="1:18">
      <c r="A150" s="7" t="s">
        <v>2045</v>
      </c>
      <c r="B150" s="7" t="s">
        <v>1823</v>
      </c>
      <c r="C150" s="7" t="s">
        <v>1329</v>
      </c>
      <c r="D150" s="7" t="s">
        <v>820</v>
      </c>
      <c r="E150" s="7" t="s">
        <v>268</v>
      </c>
      <c r="F150" s="7" t="s">
        <v>297</v>
      </c>
      <c r="G150" s="7" t="s">
        <v>583</v>
      </c>
      <c r="H150" s="7" t="s">
        <v>115</v>
      </c>
      <c r="I150" s="7" t="s">
        <v>316</v>
      </c>
      <c r="J150" s="7" t="s">
        <v>341</v>
      </c>
      <c r="K150" s="7" t="s">
        <v>1545</v>
      </c>
      <c r="L150" s="7" t="s">
        <v>1376</v>
      </c>
      <c r="M150" s="7" t="s">
        <v>335</v>
      </c>
      <c r="N150" s="7" t="s">
        <v>304</v>
      </c>
      <c r="O150" s="7" t="s">
        <v>195</v>
      </c>
      <c r="P150" s="7" t="s">
        <v>8</v>
      </c>
      <c r="Q150" s="7" t="s">
        <v>285</v>
      </c>
      <c r="R150" s="7" t="s">
        <v>1821</v>
      </c>
    </row>
    <row r="151" spans="1:18">
      <c r="A151" s="7" t="s">
        <v>2046</v>
      </c>
      <c r="B151" s="7" t="s">
        <v>1886</v>
      </c>
      <c r="C151" s="7" t="s">
        <v>1587</v>
      </c>
      <c r="D151" s="7" t="s">
        <v>1280</v>
      </c>
      <c r="E151" s="7" t="s">
        <v>281</v>
      </c>
      <c r="F151" s="7" t="s">
        <v>282</v>
      </c>
      <c r="G151" s="7" t="s">
        <v>446</v>
      </c>
      <c r="H151" s="7" t="s">
        <v>115</v>
      </c>
      <c r="I151" s="7" t="s">
        <v>258</v>
      </c>
      <c r="J151" s="7" t="s">
        <v>351</v>
      </c>
      <c r="K151" s="7" t="s">
        <v>1741</v>
      </c>
      <c r="L151" s="7" t="s">
        <v>1971</v>
      </c>
      <c r="M151" s="7" t="s">
        <v>303</v>
      </c>
      <c r="N151" s="7" t="s">
        <v>284</v>
      </c>
      <c r="O151" s="7" t="s">
        <v>195</v>
      </c>
      <c r="P151" s="7" t="s">
        <v>11</v>
      </c>
      <c r="Q151" s="7" t="s">
        <v>262</v>
      </c>
      <c r="R151" s="7" t="s">
        <v>1821</v>
      </c>
    </row>
    <row r="152" spans="1:18">
      <c r="A152" s="7" t="s">
        <v>2047</v>
      </c>
      <c r="B152" s="7" t="s">
        <v>1852</v>
      </c>
      <c r="C152" s="7" t="s">
        <v>1688</v>
      </c>
      <c r="D152" s="7" t="s">
        <v>970</v>
      </c>
      <c r="E152" s="7" t="s">
        <v>255</v>
      </c>
      <c r="F152" s="7" t="s">
        <v>409</v>
      </c>
      <c r="G152" s="7" t="s">
        <v>648</v>
      </c>
      <c r="H152" s="7" t="s">
        <v>115</v>
      </c>
      <c r="I152" s="7" t="s">
        <v>258</v>
      </c>
      <c r="J152" s="7" t="s">
        <v>300</v>
      </c>
      <c r="K152" s="7" t="s">
        <v>1348</v>
      </c>
      <c r="L152" s="7" t="s">
        <v>1752</v>
      </c>
      <c r="M152" s="7" t="s">
        <v>303</v>
      </c>
      <c r="N152" s="7" t="s">
        <v>412</v>
      </c>
      <c r="O152" s="7" t="s">
        <v>195</v>
      </c>
      <c r="P152" s="7" t="s">
        <v>8</v>
      </c>
      <c r="Q152" s="7" t="s">
        <v>326</v>
      </c>
      <c r="R152" s="7" t="s">
        <v>1821</v>
      </c>
    </row>
    <row r="153" spans="1:18">
      <c r="A153" s="7" t="s">
        <v>2048</v>
      </c>
      <c r="B153" s="7" t="s">
        <v>1921</v>
      </c>
      <c r="C153" s="7" t="s">
        <v>1876</v>
      </c>
      <c r="D153" s="7" t="s">
        <v>1222</v>
      </c>
      <c r="E153" s="7" t="s">
        <v>281</v>
      </c>
      <c r="F153" s="7" t="s">
        <v>297</v>
      </c>
      <c r="G153" s="7" t="s">
        <v>298</v>
      </c>
      <c r="H153" s="7" t="s">
        <v>466</v>
      </c>
      <c r="I153" s="7" t="s">
        <v>299</v>
      </c>
      <c r="J153" s="7" t="s">
        <v>404</v>
      </c>
      <c r="K153" s="7"/>
      <c r="L153" s="7"/>
      <c r="M153" s="7" t="s">
        <v>260</v>
      </c>
      <c r="N153" s="7" t="s">
        <v>304</v>
      </c>
      <c r="O153" s="7" t="s">
        <v>483</v>
      </c>
      <c r="P153" s="7"/>
      <c r="Q153" s="7" t="s">
        <v>326</v>
      </c>
      <c r="R153" s="7" t="s">
        <v>1821</v>
      </c>
    </row>
    <row r="154" spans="1:18">
      <c r="A154" s="7" t="s">
        <v>2049</v>
      </c>
      <c r="B154" s="7" t="s">
        <v>1899</v>
      </c>
      <c r="C154" s="7" t="s">
        <v>1843</v>
      </c>
      <c r="D154" s="7" t="s">
        <v>1126</v>
      </c>
      <c r="E154" s="7" t="s">
        <v>268</v>
      </c>
      <c r="F154" s="7" t="s">
        <v>256</v>
      </c>
      <c r="G154" s="7" t="s">
        <v>886</v>
      </c>
      <c r="H154" s="7" t="s">
        <v>115</v>
      </c>
      <c r="I154" s="7" t="s">
        <v>316</v>
      </c>
      <c r="J154" s="7" t="s">
        <v>272</v>
      </c>
      <c r="K154" s="7" t="s">
        <v>425</v>
      </c>
      <c r="L154" s="7" t="s">
        <v>783</v>
      </c>
      <c r="M154" s="7" t="s">
        <v>293</v>
      </c>
      <c r="N154" s="7"/>
      <c r="O154" s="7" t="s">
        <v>195</v>
      </c>
      <c r="P154" s="7" t="s">
        <v>14</v>
      </c>
      <c r="Q154" s="7" t="s">
        <v>326</v>
      </c>
      <c r="R154" s="7" t="s">
        <v>1821</v>
      </c>
    </row>
    <row r="155" spans="1:18">
      <c r="A155" s="7" t="s">
        <v>2050</v>
      </c>
      <c r="B155" s="7" t="s">
        <v>1834</v>
      </c>
      <c r="C155" s="7" t="s">
        <v>1314</v>
      </c>
      <c r="D155" s="7" t="s">
        <v>1060</v>
      </c>
      <c r="E155" s="7" t="s">
        <v>255</v>
      </c>
      <c r="F155" s="7" t="s">
        <v>256</v>
      </c>
      <c r="G155" s="7" t="s">
        <v>257</v>
      </c>
      <c r="H155" s="7" t="s">
        <v>466</v>
      </c>
      <c r="I155" s="7" t="s">
        <v>316</v>
      </c>
      <c r="J155" s="7" t="s">
        <v>341</v>
      </c>
      <c r="K155" s="7"/>
      <c r="L155" s="7"/>
      <c r="M155" s="7" t="s">
        <v>260</v>
      </c>
      <c r="N155" s="7" t="s">
        <v>261</v>
      </c>
      <c r="O155" s="7" t="s">
        <v>195</v>
      </c>
      <c r="P155" s="7"/>
      <c r="Q155" s="7" t="s">
        <v>318</v>
      </c>
      <c r="R155" s="7" t="s">
        <v>1821</v>
      </c>
    </row>
    <row r="156" spans="1:18">
      <c r="A156" s="7" t="s">
        <v>2051</v>
      </c>
      <c r="B156" s="7" t="s">
        <v>1855</v>
      </c>
      <c r="C156" s="7" t="s">
        <v>1851</v>
      </c>
      <c r="D156" s="7" t="s">
        <v>786</v>
      </c>
      <c r="E156" s="7" t="s">
        <v>281</v>
      </c>
      <c r="F156" s="7" t="s">
        <v>297</v>
      </c>
      <c r="G156" s="7" t="s">
        <v>368</v>
      </c>
      <c r="H156" s="7" t="s">
        <v>115</v>
      </c>
      <c r="I156" s="7" t="s">
        <v>271</v>
      </c>
      <c r="J156" s="7" t="s">
        <v>411</v>
      </c>
      <c r="K156" s="7" t="s">
        <v>1240</v>
      </c>
      <c r="L156" s="7" t="s">
        <v>553</v>
      </c>
      <c r="M156" s="7" t="s">
        <v>335</v>
      </c>
      <c r="N156" s="7" t="s">
        <v>304</v>
      </c>
      <c r="O156" s="7" t="s">
        <v>195</v>
      </c>
      <c r="P156" s="7" t="s">
        <v>17</v>
      </c>
      <c r="Q156" s="7" t="s">
        <v>305</v>
      </c>
      <c r="R156" s="7" t="s">
        <v>1821</v>
      </c>
    </row>
    <row r="157" spans="1:18">
      <c r="A157" s="7" t="s">
        <v>2052</v>
      </c>
      <c r="B157" s="7" t="s">
        <v>1823</v>
      </c>
      <c r="C157" s="7" t="s">
        <v>1381</v>
      </c>
      <c r="D157" s="7" t="s">
        <v>1503</v>
      </c>
      <c r="E157" s="7" t="s">
        <v>281</v>
      </c>
      <c r="F157" s="7" t="s">
        <v>269</v>
      </c>
      <c r="G157" s="7" t="s">
        <v>363</v>
      </c>
      <c r="H157" s="7" t="s">
        <v>115</v>
      </c>
      <c r="I157" s="7" t="s">
        <v>299</v>
      </c>
      <c r="J157" s="7" t="s">
        <v>300</v>
      </c>
      <c r="K157" s="7" t="s">
        <v>1028</v>
      </c>
      <c r="L157" s="7" t="s">
        <v>510</v>
      </c>
      <c r="M157" s="7" t="s">
        <v>303</v>
      </c>
      <c r="N157" s="7" t="s">
        <v>276</v>
      </c>
      <c r="O157" s="7" t="s">
        <v>169</v>
      </c>
      <c r="P157" s="7" t="s">
        <v>17</v>
      </c>
      <c r="Q157" s="7" t="s">
        <v>285</v>
      </c>
      <c r="R157" s="7" t="s">
        <v>1821</v>
      </c>
    </row>
    <row r="158" spans="1:18">
      <c r="A158" s="7" t="s">
        <v>2053</v>
      </c>
      <c r="B158" s="7" t="s">
        <v>1912</v>
      </c>
      <c r="C158" s="7" t="s">
        <v>1591</v>
      </c>
      <c r="D158" s="7" t="s">
        <v>930</v>
      </c>
      <c r="E158" s="7" t="s">
        <v>255</v>
      </c>
      <c r="F158" s="7" t="s">
        <v>269</v>
      </c>
      <c r="G158" s="7" t="s">
        <v>542</v>
      </c>
      <c r="H158" s="7" t="s">
        <v>115</v>
      </c>
      <c r="I158" s="7" t="s">
        <v>258</v>
      </c>
      <c r="J158" s="7" t="s">
        <v>358</v>
      </c>
      <c r="K158" s="7" t="s">
        <v>1223</v>
      </c>
      <c r="L158" s="7" t="s">
        <v>1073</v>
      </c>
      <c r="M158" s="7" t="s">
        <v>293</v>
      </c>
      <c r="N158" s="7" t="s">
        <v>276</v>
      </c>
      <c r="O158" s="7" t="s">
        <v>195</v>
      </c>
      <c r="P158" s="7" t="s">
        <v>8</v>
      </c>
      <c r="Q158" s="7" t="s">
        <v>262</v>
      </c>
      <c r="R158" s="7" t="s">
        <v>1821</v>
      </c>
    </row>
    <row r="159" spans="1:18">
      <c r="A159" s="7" t="s">
        <v>2054</v>
      </c>
      <c r="B159" s="7" t="s">
        <v>1828</v>
      </c>
      <c r="C159" s="7" t="s">
        <v>1296</v>
      </c>
      <c r="D159" s="7" t="s">
        <v>1299</v>
      </c>
      <c r="E159" s="7" t="s">
        <v>268</v>
      </c>
      <c r="F159" s="7" t="s">
        <v>297</v>
      </c>
      <c r="G159" s="7" t="s">
        <v>583</v>
      </c>
      <c r="H159" s="7" t="s">
        <v>115</v>
      </c>
      <c r="I159" s="7" t="s">
        <v>316</v>
      </c>
      <c r="J159" s="7" t="s">
        <v>259</v>
      </c>
      <c r="K159" s="7" t="s">
        <v>259</v>
      </c>
      <c r="L159" s="7" t="s">
        <v>430</v>
      </c>
      <c r="M159" s="7" t="s">
        <v>303</v>
      </c>
      <c r="N159" s="7" t="s">
        <v>304</v>
      </c>
      <c r="O159" s="7" t="s">
        <v>195</v>
      </c>
      <c r="P159" s="7" t="s">
        <v>8</v>
      </c>
      <c r="Q159" s="7" t="s">
        <v>318</v>
      </c>
      <c r="R159" s="7" t="s">
        <v>1821</v>
      </c>
    </row>
    <row r="160" spans="1:18">
      <c r="A160" s="7" t="s">
        <v>2055</v>
      </c>
      <c r="B160" s="7" t="s">
        <v>1826</v>
      </c>
      <c r="C160" s="7" t="s">
        <v>1368</v>
      </c>
      <c r="D160" s="7" t="s">
        <v>982</v>
      </c>
      <c r="E160" s="7" t="s">
        <v>268</v>
      </c>
      <c r="F160" s="7" t="s">
        <v>297</v>
      </c>
      <c r="G160" s="7" t="s">
        <v>628</v>
      </c>
      <c r="H160" s="7" t="s">
        <v>787</v>
      </c>
      <c r="I160" s="7" t="s">
        <v>271</v>
      </c>
      <c r="J160" s="7" t="s">
        <v>272</v>
      </c>
      <c r="K160" s="7"/>
      <c r="L160" s="7"/>
      <c r="M160" s="7" t="s">
        <v>260</v>
      </c>
      <c r="N160" s="7" t="s">
        <v>304</v>
      </c>
      <c r="O160" s="7" t="s">
        <v>195</v>
      </c>
      <c r="P160" s="7"/>
      <c r="Q160" s="7" t="s">
        <v>318</v>
      </c>
      <c r="R160" s="7" t="s">
        <v>1821</v>
      </c>
    </row>
    <row r="161" spans="1:18">
      <c r="A161" s="7" t="s">
        <v>2056</v>
      </c>
      <c r="B161" s="7" t="s">
        <v>1834</v>
      </c>
      <c r="C161" s="7" t="s">
        <v>1309</v>
      </c>
      <c r="D161" s="7" t="s">
        <v>736</v>
      </c>
      <c r="E161" s="7" t="s">
        <v>281</v>
      </c>
      <c r="F161" s="7" t="s">
        <v>282</v>
      </c>
      <c r="G161" s="7" t="s">
        <v>446</v>
      </c>
      <c r="H161" s="7" t="s">
        <v>115</v>
      </c>
      <c r="I161" s="7" t="s">
        <v>271</v>
      </c>
      <c r="J161" s="7" t="s">
        <v>351</v>
      </c>
      <c r="K161" s="7" t="s">
        <v>1235</v>
      </c>
      <c r="L161" s="7" t="s">
        <v>1530</v>
      </c>
      <c r="M161" s="7" t="s">
        <v>293</v>
      </c>
      <c r="N161" s="7" t="s">
        <v>284</v>
      </c>
      <c r="O161" s="7" t="s">
        <v>195</v>
      </c>
      <c r="P161" s="7" t="s">
        <v>17</v>
      </c>
      <c r="Q161" s="7" t="s">
        <v>305</v>
      </c>
      <c r="R161" s="7" t="s">
        <v>1821</v>
      </c>
    </row>
    <row r="162" spans="1:18">
      <c r="A162" s="7" t="s">
        <v>2057</v>
      </c>
      <c r="B162" s="7" t="s">
        <v>1820</v>
      </c>
      <c r="C162" s="7" t="s">
        <v>1843</v>
      </c>
      <c r="D162" s="7" t="s">
        <v>715</v>
      </c>
      <c r="E162" s="7" t="s">
        <v>281</v>
      </c>
      <c r="F162" s="7" t="s">
        <v>282</v>
      </c>
      <c r="G162" s="7" t="s">
        <v>283</v>
      </c>
      <c r="H162" s="7" t="s">
        <v>115</v>
      </c>
      <c r="I162" s="7" t="s">
        <v>316</v>
      </c>
      <c r="J162" s="7" t="s">
        <v>529</v>
      </c>
      <c r="K162" s="7" t="s">
        <v>1148</v>
      </c>
      <c r="L162" s="7" t="s">
        <v>598</v>
      </c>
      <c r="M162" s="7" t="s">
        <v>303</v>
      </c>
      <c r="N162" s="7" t="s">
        <v>284</v>
      </c>
      <c r="O162" s="7" t="s">
        <v>169</v>
      </c>
      <c r="P162" s="7" t="s">
        <v>8</v>
      </c>
      <c r="Q162" s="7" t="s">
        <v>305</v>
      </c>
      <c r="R162" s="7" t="s">
        <v>1821</v>
      </c>
    </row>
    <row r="163" spans="1:18">
      <c r="A163" s="7" t="s">
        <v>2058</v>
      </c>
      <c r="B163" s="7" t="s">
        <v>1921</v>
      </c>
      <c r="C163" s="7" t="s">
        <v>1687</v>
      </c>
      <c r="D163" s="7" t="s">
        <v>845</v>
      </c>
      <c r="E163" s="7" t="s">
        <v>255</v>
      </c>
      <c r="F163" s="7"/>
      <c r="G163" s="7" t="s">
        <v>424</v>
      </c>
      <c r="H163" s="7" t="s">
        <v>115</v>
      </c>
      <c r="I163" s="7" t="s">
        <v>271</v>
      </c>
      <c r="J163" s="7" t="s">
        <v>323</v>
      </c>
      <c r="K163" s="7" t="s">
        <v>814</v>
      </c>
      <c r="L163" s="7" t="s">
        <v>1200</v>
      </c>
      <c r="M163" s="7" t="s">
        <v>335</v>
      </c>
      <c r="N163" s="7" t="s">
        <v>284</v>
      </c>
      <c r="O163" s="7" t="s">
        <v>169</v>
      </c>
      <c r="P163" s="7" t="s">
        <v>14</v>
      </c>
      <c r="Q163" s="7" t="s">
        <v>262</v>
      </c>
      <c r="R163" s="7" t="s">
        <v>1821</v>
      </c>
    </row>
    <row r="164" spans="1:18">
      <c r="A164" s="7" t="s">
        <v>2059</v>
      </c>
      <c r="B164" s="7" t="s">
        <v>1825</v>
      </c>
      <c r="C164" s="7" t="s">
        <v>1583</v>
      </c>
      <c r="D164" s="7" t="s">
        <v>2060</v>
      </c>
      <c r="E164" s="7" t="s">
        <v>268</v>
      </c>
      <c r="F164" s="7" t="s">
        <v>282</v>
      </c>
      <c r="G164" s="7" t="s">
        <v>505</v>
      </c>
      <c r="H164" s="7" t="s">
        <v>115</v>
      </c>
      <c r="I164" s="7" t="s">
        <v>299</v>
      </c>
      <c r="J164" s="7" t="s">
        <v>272</v>
      </c>
      <c r="K164" s="7" t="s">
        <v>559</v>
      </c>
      <c r="L164" s="7" t="s">
        <v>543</v>
      </c>
      <c r="M164" s="7" t="s">
        <v>335</v>
      </c>
      <c r="N164" s="7" t="s">
        <v>738</v>
      </c>
      <c r="O164" s="7" t="s">
        <v>195</v>
      </c>
      <c r="P164" s="7" t="s">
        <v>17</v>
      </c>
      <c r="Q164" s="7" t="s">
        <v>285</v>
      </c>
      <c r="R164" s="7" t="s">
        <v>1821</v>
      </c>
    </row>
    <row r="165" spans="1:18">
      <c r="A165" s="7" t="s">
        <v>2061</v>
      </c>
      <c r="B165" s="7" t="s">
        <v>1906</v>
      </c>
      <c r="C165" s="7" t="s">
        <v>1649</v>
      </c>
      <c r="D165" s="7" t="s">
        <v>408</v>
      </c>
      <c r="E165" s="7" t="s">
        <v>255</v>
      </c>
      <c r="F165" s="7" t="s">
        <v>409</v>
      </c>
      <c r="G165" s="7" t="s">
        <v>410</v>
      </c>
      <c r="H165" s="7" t="s">
        <v>115</v>
      </c>
      <c r="I165" s="7" t="s">
        <v>258</v>
      </c>
      <c r="J165" s="7" t="s">
        <v>351</v>
      </c>
      <c r="K165" s="7" t="s">
        <v>688</v>
      </c>
      <c r="L165" s="7" t="s">
        <v>1487</v>
      </c>
      <c r="M165" s="7" t="s">
        <v>303</v>
      </c>
      <c r="N165" s="7" t="s">
        <v>412</v>
      </c>
      <c r="O165" s="7" t="s">
        <v>195</v>
      </c>
      <c r="P165" s="7" t="s">
        <v>17</v>
      </c>
      <c r="Q165" s="7" t="s">
        <v>262</v>
      </c>
      <c r="R165" s="7" t="s">
        <v>1821</v>
      </c>
    </row>
    <row r="166" spans="1:18">
      <c r="A166" s="7" t="s">
        <v>1833</v>
      </c>
      <c r="B166" s="7" t="s">
        <v>1834</v>
      </c>
      <c r="C166" s="7" t="s">
        <v>1825</v>
      </c>
      <c r="D166" s="7" t="s">
        <v>1246</v>
      </c>
      <c r="E166" s="7" t="s">
        <v>339</v>
      </c>
      <c r="F166" s="7" t="s">
        <v>282</v>
      </c>
      <c r="G166" s="7" t="s">
        <v>564</v>
      </c>
      <c r="H166" s="7" t="s">
        <v>122</v>
      </c>
      <c r="I166" s="7" t="s">
        <v>258</v>
      </c>
      <c r="J166" s="7" t="s">
        <v>346</v>
      </c>
      <c r="K166" s="7"/>
      <c r="L166" s="7"/>
      <c r="M166" s="7" t="s">
        <v>260</v>
      </c>
      <c r="N166" s="7" t="s">
        <v>284</v>
      </c>
      <c r="O166" s="7" t="s">
        <v>195</v>
      </c>
      <c r="P166" s="7"/>
      <c r="Q166" s="7" t="s">
        <v>305</v>
      </c>
      <c r="R166" s="7" t="s">
        <v>1821</v>
      </c>
    </row>
    <row r="167" spans="1:18">
      <c r="A167" s="7" t="s">
        <v>1922</v>
      </c>
      <c r="B167" s="7" t="s">
        <v>1912</v>
      </c>
      <c r="C167" s="7" t="s">
        <v>1578</v>
      </c>
      <c r="D167" s="7" t="s">
        <v>514</v>
      </c>
      <c r="E167" s="7" t="s">
        <v>339</v>
      </c>
      <c r="F167" s="7" t="s">
        <v>256</v>
      </c>
      <c r="G167" s="7" t="s">
        <v>345</v>
      </c>
      <c r="H167" s="7" t="s">
        <v>115</v>
      </c>
      <c r="I167" s="7" t="s">
        <v>271</v>
      </c>
      <c r="J167" s="7" t="s">
        <v>447</v>
      </c>
      <c r="K167" s="7" t="s">
        <v>548</v>
      </c>
      <c r="L167" s="7" t="s">
        <v>324</v>
      </c>
      <c r="M167" s="7" t="s">
        <v>303</v>
      </c>
      <c r="N167" s="7" t="s">
        <v>261</v>
      </c>
      <c r="O167" s="7" t="s">
        <v>195</v>
      </c>
      <c r="P167" s="7" t="s">
        <v>11</v>
      </c>
      <c r="Q167" s="7" t="s">
        <v>318</v>
      </c>
      <c r="R167" s="7" t="s">
        <v>1821</v>
      </c>
    </row>
    <row r="168" spans="1:18">
      <c r="A168" s="7" t="s">
        <v>1995</v>
      </c>
      <c r="B168" s="7" t="s">
        <v>1820</v>
      </c>
      <c r="C168" s="7" t="s">
        <v>1688</v>
      </c>
      <c r="D168" s="7" t="s">
        <v>1018</v>
      </c>
      <c r="E168" s="7" t="s">
        <v>281</v>
      </c>
      <c r="F168" s="7" t="s">
        <v>256</v>
      </c>
      <c r="G168" s="7" t="s">
        <v>796</v>
      </c>
      <c r="H168" s="7" t="s">
        <v>115</v>
      </c>
      <c r="I168" s="7" t="s">
        <v>299</v>
      </c>
      <c r="J168" s="7" t="s">
        <v>404</v>
      </c>
      <c r="K168" s="7" t="s">
        <v>1917</v>
      </c>
      <c r="L168" s="7" t="s">
        <v>1996</v>
      </c>
      <c r="M168" s="7" t="s">
        <v>293</v>
      </c>
      <c r="N168" s="7" t="s">
        <v>888</v>
      </c>
      <c r="O168" s="7" t="s">
        <v>195</v>
      </c>
      <c r="P168" s="7" t="s">
        <v>14</v>
      </c>
      <c r="Q168" s="7" t="s">
        <v>326</v>
      </c>
      <c r="R168" s="7" t="s">
        <v>1821</v>
      </c>
    </row>
  </sheetData>
  <mergeCells count="2">
    <mergeCell ref="A1:R2"/>
    <mergeCell ref="A3:R3"/>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R168"/>
  <sheetViews>
    <sheetView showGridLines="0" workbookViewId="0">
      <selection activeCell="A9" sqref="A9"/>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49" t="s">
        <v>2062</v>
      </c>
      <c r="B1" s="49"/>
      <c r="C1" s="49"/>
      <c r="D1" s="49"/>
      <c r="E1" s="49"/>
      <c r="F1" s="49"/>
      <c r="G1" s="49"/>
      <c r="H1" s="49"/>
      <c r="I1" s="49"/>
      <c r="J1" s="49"/>
      <c r="K1" s="49"/>
      <c r="L1" s="49"/>
      <c r="M1" s="49"/>
      <c r="N1" s="49"/>
      <c r="O1" s="49"/>
      <c r="P1" s="49"/>
      <c r="Q1" s="49"/>
      <c r="R1" s="49"/>
    </row>
    <row r="2" spans="1:18">
      <c r="A2" s="49"/>
      <c r="B2" s="49"/>
      <c r="C2" s="49"/>
      <c r="D2" s="49"/>
      <c r="E2" s="49"/>
      <c r="F2" s="49"/>
      <c r="G2" s="49"/>
      <c r="H2" s="49"/>
      <c r="I2" s="49"/>
      <c r="J2" s="49"/>
      <c r="K2" s="49"/>
      <c r="L2" s="49"/>
      <c r="M2" s="49"/>
      <c r="N2" s="49"/>
      <c r="O2" s="49"/>
      <c r="P2" s="49"/>
      <c r="Q2" s="49"/>
      <c r="R2" s="49"/>
    </row>
    <row r="3" spans="1:18">
      <c r="A3" s="50" t="s">
        <v>250</v>
      </c>
      <c r="B3" s="50"/>
      <c r="C3" s="50"/>
      <c r="D3" s="50"/>
      <c r="E3" s="50"/>
      <c r="F3" s="50"/>
      <c r="G3" s="50"/>
      <c r="H3" s="50"/>
      <c r="I3" s="50"/>
      <c r="J3" s="50"/>
      <c r="K3" s="50"/>
      <c r="L3" s="50"/>
      <c r="M3" s="50"/>
      <c r="N3" s="50"/>
      <c r="O3" s="50"/>
      <c r="P3" s="50"/>
      <c r="Q3" s="50"/>
      <c r="R3" s="50"/>
    </row>
    <row r="4" spans="1:18" ht="14.5">
      <c r="A4" s="2"/>
      <c r="B4" s="2"/>
      <c r="C4" s="2"/>
      <c r="D4" s="2"/>
      <c r="E4" s="2"/>
      <c r="F4" s="2"/>
      <c r="G4" s="2"/>
      <c r="H4" s="2"/>
      <c r="I4" s="2"/>
      <c r="J4" s="2"/>
      <c r="K4" s="2"/>
      <c r="L4" s="2"/>
      <c r="M4" s="2"/>
      <c r="N4" s="2"/>
      <c r="O4" s="2"/>
      <c r="P4" s="2"/>
      <c r="Q4" s="2"/>
      <c r="R4" s="2"/>
    </row>
    <row r="5" spans="1:18" ht="29">
      <c r="A5" s="1" t="s">
        <v>166</v>
      </c>
      <c r="B5" s="1" t="s">
        <v>171</v>
      </c>
      <c r="C5" s="1" t="s">
        <v>175</v>
      </c>
      <c r="D5" s="1" t="s">
        <v>178</v>
      </c>
      <c r="E5" s="1" t="s">
        <v>181</v>
      </c>
      <c r="F5" s="1" t="s">
        <v>184</v>
      </c>
      <c r="G5" s="1" t="s">
        <v>187</v>
      </c>
      <c r="H5" s="1" t="s">
        <v>190</v>
      </c>
      <c r="I5" s="1" t="s">
        <v>193</v>
      </c>
      <c r="J5" s="1" t="s">
        <v>197</v>
      </c>
      <c r="K5" s="1" t="s">
        <v>201</v>
      </c>
      <c r="L5" s="1" t="s">
        <v>205</v>
      </c>
      <c r="M5" s="1" t="s">
        <v>207</v>
      </c>
      <c r="N5" s="1" t="s">
        <v>211</v>
      </c>
      <c r="O5" s="1" t="s">
        <v>215</v>
      </c>
      <c r="P5" s="1" t="s">
        <v>219</v>
      </c>
      <c r="Q5" s="1" t="s">
        <v>222</v>
      </c>
      <c r="R5" s="1" t="s">
        <v>225</v>
      </c>
    </row>
    <row r="6" spans="1:18">
      <c r="A6" s="7" t="s">
        <v>2063</v>
      </c>
      <c r="B6" s="7" t="s">
        <v>2064</v>
      </c>
      <c r="C6" s="7" t="s">
        <v>1849</v>
      </c>
      <c r="D6" s="7" t="s">
        <v>541</v>
      </c>
      <c r="E6" s="7" t="s">
        <v>339</v>
      </c>
      <c r="F6" s="7" t="s">
        <v>409</v>
      </c>
      <c r="G6" s="7" t="s">
        <v>476</v>
      </c>
      <c r="H6" s="7" t="s">
        <v>127</v>
      </c>
      <c r="I6" s="7" t="s">
        <v>258</v>
      </c>
      <c r="J6" s="7" t="s">
        <v>358</v>
      </c>
      <c r="K6" s="7"/>
      <c r="L6" s="7"/>
      <c r="M6" s="7" t="s">
        <v>260</v>
      </c>
      <c r="N6" s="7" t="s">
        <v>412</v>
      </c>
      <c r="O6" s="7" t="s">
        <v>195</v>
      </c>
      <c r="P6" s="7"/>
      <c r="Q6" s="7" t="s">
        <v>305</v>
      </c>
      <c r="R6" s="7" t="s">
        <v>2065</v>
      </c>
    </row>
    <row r="7" spans="1:18">
      <c r="A7" s="7" t="s">
        <v>2066</v>
      </c>
      <c r="B7" s="7" t="s">
        <v>2067</v>
      </c>
      <c r="C7" s="7" t="s">
        <v>1837</v>
      </c>
      <c r="D7" s="7" t="s">
        <v>397</v>
      </c>
      <c r="E7" s="7" t="s">
        <v>268</v>
      </c>
      <c r="F7" s="7" t="s">
        <v>409</v>
      </c>
      <c r="G7" s="7" t="s">
        <v>587</v>
      </c>
      <c r="H7" s="7" t="s">
        <v>115</v>
      </c>
      <c r="I7" s="7" t="s">
        <v>316</v>
      </c>
      <c r="J7" s="7" t="s">
        <v>411</v>
      </c>
      <c r="K7" s="7" t="s">
        <v>2035</v>
      </c>
      <c r="L7" s="7" t="s">
        <v>683</v>
      </c>
      <c r="M7" s="7" t="s">
        <v>293</v>
      </c>
      <c r="N7" s="7" t="s">
        <v>412</v>
      </c>
      <c r="O7" s="7" t="s">
        <v>169</v>
      </c>
      <c r="P7" s="7" t="s">
        <v>17</v>
      </c>
      <c r="Q7" s="7" t="s">
        <v>305</v>
      </c>
      <c r="R7" s="7" t="s">
        <v>2065</v>
      </c>
    </row>
    <row r="8" spans="1:18">
      <c r="A8" s="7" t="s">
        <v>2068</v>
      </c>
      <c r="B8" s="7" t="s">
        <v>2069</v>
      </c>
      <c r="C8" s="7" t="s">
        <v>1839</v>
      </c>
      <c r="D8" s="7" t="s">
        <v>1378</v>
      </c>
      <c r="E8" s="7" t="s">
        <v>255</v>
      </c>
      <c r="F8" s="7" t="s">
        <v>256</v>
      </c>
      <c r="G8" s="7" t="s">
        <v>398</v>
      </c>
      <c r="H8" s="7" t="s">
        <v>127</v>
      </c>
      <c r="I8" s="7" t="s">
        <v>299</v>
      </c>
      <c r="J8" s="7" t="s">
        <v>341</v>
      </c>
      <c r="K8" s="7"/>
      <c r="L8" s="7"/>
      <c r="M8" s="7" t="s">
        <v>260</v>
      </c>
      <c r="N8" s="7" t="s">
        <v>261</v>
      </c>
      <c r="O8" s="7" t="s">
        <v>195</v>
      </c>
      <c r="P8" s="7"/>
      <c r="Q8" s="7" t="s">
        <v>326</v>
      </c>
      <c r="R8" s="7" t="s">
        <v>2065</v>
      </c>
    </row>
    <row r="9" spans="1:18">
      <c r="A9" s="7" t="s">
        <v>2070</v>
      </c>
      <c r="B9" s="7" t="s">
        <v>2071</v>
      </c>
      <c r="C9" s="7" t="s">
        <v>1852</v>
      </c>
      <c r="D9" s="7" t="s">
        <v>610</v>
      </c>
      <c r="E9" s="7" t="s">
        <v>339</v>
      </c>
      <c r="F9" s="7" t="s">
        <v>282</v>
      </c>
      <c r="G9" s="7" t="s">
        <v>564</v>
      </c>
      <c r="H9" s="7" t="s">
        <v>127</v>
      </c>
      <c r="I9" s="7" t="s">
        <v>258</v>
      </c>
      <c r="J9" s="7" t="s">
        <v>469</v>
      </c>
      <c r="K9" s="7"/>
      <c r="L9" s="7"/>
      <c r="M9" s="7" t="s">
        <v>260</v>
      </c>
      <c r="N9" s="7" t="s">
        <v>284</v>
      </c>
      <c r="O9" s="7" t="s">
        <v>169</v>
      </c>
      <c r="P9" s="7"/>
      <c r="Q9" s="7" t="s">
        <v>305</v>
      </c>
      <c r="R9" s="7" t="s">
        <v>2065</v>
      </c>
    </row>
    <row r="10" spans="1:18">
      <c r="A10" s="7" t="s">
        <v>2072</v>
      </c>
      <c r="B10" s="7" t="s">
        <v>2073</v>
      </c>
      <c r="C10" s="7" t="s">
        <v>1890</v>
      </c>
      <c r="D10" s="7" t="s">
        <v>1136</v>
      </c>
      <c r="E10" s="7" t="s">
        <v>268</v>
      </c>
      <c r="F10" s="7" t="s">
        <v>269</v>
      </c>
      <c r="G10" s="7" t="s">
        <v>270</v>
      </c>
      <c r="H10" s="7" t="s">
        <v>127</v>
      </c>
      <c r="I10" s="7" t="s">
        <v>271</v>
      </c>
      <c r="J10" s="7" t="s">
        <v>346</v>
      </c>
      <c r="K10" s="7"/>
      <c r="L10" s="7"/>
      <c r="M10" s="7" t="s">
        <v>260</v>
      </c>
      <c r="N10" s="7" t="s">
        <v>276</v>
      </c>
      <c r="O10" s="7" t="s">
        <v>195</v>
      </c>
      <c r="P10" s="7"/>
      <c r="Q10" s="7" t="s">
        <v>305</v>
      </c>
      <c r="R10" s="7" t="s">
        <v>2065</v>
      </c>
    </row>
    <row r="11" spans="1:18">
      <c r="A11" s="7" t="s">
        <v>2074</v>
      </c>
      <c r="B11" s="7" t="s">
        <v>2075</v>
      </c>
      <c r="C11" s="7" t="s">
        <v>1888</v>
      </c>
      <c r="D11" s="7" t="s">
        <v>853</v>
      </c>
      <c r="E11" s="7" t="s">
        <v>281</v>
      </c>
      <c r="F11" s="7" t="s">
        <v>269</v>
      </c>
      <c r="G11" s="7" t="s">
        <v>322</v>
      </c>
      <c r="H11" s="7" t="s">
        <v>115</v>
      </c>
      <c r="I11" s="7" t="s">
        <v>316</v>
      </c>
      <c r="J11" s="7" t="s">
        <v>411</v>
      </c>
      <c r="K11" s="7" t="s">
        <v>808</v>
      </c>
      <c r="L11" s="7" t="s">
        <v>1767</v>
      </c>
      <c r="M11" s="7" t="s">
        <v>303</v>
      </c>
      <c r="N11" s="7" t="s">
        <v>276</v>
      </c>
      <c r="O11" s="7" t="s">
        <v>195</v>
      </c>
      <c r="P11" s="7" t="s">
        <v>17</v>
      </c>
      <c r="Q11" s="7" t="s">
        <v>285</v>
      </c>
      <c r="R11" s="7" t="s">
        <v>2065</v>
      </c>
    </row>
    <row r="12" spans="1:18">
      <c r="A12" s="7" t="s">
        <v>2076</v>
      </c>
      <c r="B12" s="7" t="s">
        <v>2077</v>
      </c>
      <c r="C12" s="7" t="s">
        <v>1823</v>
      </c>
      <c r="D12" s="7" t="s">
        <v>727</v>
      </c>
      <c r="E12" s="7" t="s">
        <v>255</v>
      </c>
      <c r="F12" s="7" t="s">
        <v>282</v>
      </c>
      <c r="G12" s="7" t="s">
        <v>424</v>
      </c>
      <c r="H12" s="7" t="s">
        <v>127</v>
      </c>
      <c r="I12" s="7" t="s">
        <v>258</v>
      </c>
      <c r="J12" s="7" t="s">
        <v>392</v>
      </c>
      <c r="K12" s="7"/>
      <c r="L12" s="7"/>
      <c r="M12" s="7" t="s">
        <v>260</v>
      </c>
      <c r="N12" s="7" t="s">
        <v>284</v>
      </c>
      <c r="O12" s="7" t="s">
        <v>195</v>
      </c>
      <c r="P12" s="7"/>
      <c r="Q12" s="7" t="s">
        <v>326</v>
      </c>
      <c r="R12" s="7" t="s">
        <v>2065</v>
      </c>
    </row>
    <row r="13" spans="1:18">
      <c r="A13" s="7" t="s">
        <v>2078</v>
      </c>
      <c r="B13" s="7" t="s">
        <v>2079</v>
      </c>
      <c r="C13" s="7" t="s">
        <v>2080</v>
      </c>
      <c r="D13" s="7" t="s">
        <v>586</v>
      </c>
      <c r="E13" s="7" t="s">
        <v>339</v>
      </c>
      <c r="F13" s="7" t="s">
        <v>256</v>
      </c>
      <c r="G13" s="7" t="s">
        <v>403</v>
      </c>
      <c r="H13" s="7" t="s">
        <v>466</v>
      </c>
      <c r="I13" s="7" t="s">
        <v>299</v>
      </c>
      <c r="J13" s="7" t="s">
        <v>529</v>
      </c>
      <c r="K13" s="7"/>
      <c r="L13" s="7"/>
      <c r="M13" s="7" t="s">
        <v>260</v>
      </c>
      <c r="N13" s="7" t="s">
        <v>261</v>
      </c>
      <c r="O13" s="7" t="s">
        <v>195</v>
      </c>
      <c r="P13" s="7"/>
      <c r="Q13" s="7" t="s">
        <v>262</v>
      </c>
      <c r="R13" s="7" t="s">
        <v>2065</v>
      </c>
    </row>
    <row r="14" spans="1:18">
      <c r="A14" s="7" t="s">
        <v>2081</v>
      </c>
      <c r="B14" s="7" t="s">
        <v>2064</v>
      </c>
      <c r="C14" s="7" t="s">
        <v>1620</v>
      </c>
      <c r="D14" s="7" t="s">
        <v>865</v>
      </c>
      <c r="E14" s="7" t="s">
        <v>255</v>
      </c>
      <c r="F14" s="7" t="s">
        <v>269</v>
      </c>
      <c r="G14" s="7" t="s">
        <v>391</v>
      </c>
      <c r="H14" s="7" t="s">
        <v>115</v>
      </c>
      <c r="I14" s="7" t="s">
        <v>316</v>
      </c>
      <c r="J14" s="7" t="s">
        <v>346</v>
      </c>
      <c r="K14" s="7" t="s">
        <v>723</v>
      </c>
      <c r="L14" s="7" t="s">
        <v>2082</v>
      </c>
      <c r="M14" s="7" t="s">
        <v>303</v>
      </c>
      <c r="N14" s="7" t="s">
        <v>276</v>
      </c>
      <c r="O14" s="7" t="s">
        <v>169</v>
      </c>
      <c r="P14" s="7" t="s">
        <v>17</v>
      </c>
      <c r="Q14" s="7" t="s">
        <v>262</v>
      </c>
      <c r="R14" s="7" t="s">
        <v>2065</v>
      </c>
    </row>
    <row r="15" spans="1:18">
      <c r="A15" s="7" t="s">
        <v>2083</v>
      </c>
      <c r="B15" s="7" t="s">
        <v>2084</v>
      </c>
      <c r="C15" s="7" t="s">
        <v>1921</v>
      </c>
      <c r="D15" s="7" t="s">
        <v>638</v>
      </c>
      <c r="E15" s="7" t="s">
        <v>255</v>
      </c>
      <c r="F15" s="7" t="s">
        <v>256</v>
      </c>
      <c r="G15" s="7" t="s">
        <v>398</v>
      </c>
      <c r="H15" s="7" t="s">
        <v>115</v>
      </c>
      <c r="I15" s="7" t="s">
        <v>316</v>
      </c>
      <c r="J15" s="7" t="s">
        <v>332</v>
      </c>
      <c r="K15" s="7" t="s">
        <v>1019</v>
      </c>
      <c r="L15" s="7" t="s">
        <v>556</v>
      </c>
      <c r="M15" s="7" t="s">
        <v>303</v>
      </c>
      <c r="N15" s="7" t="s">
        <v>261</v>
      </c>
      <c r="O15" s="7" t="s">
        <v>195</v>
      </c>
      <c r="P15" s="7" t="s">
        <v>14</v>
      </c>
      <c r="Q15" s="7" t="s">
        <v>305</v>
      </c>
      <c r="R15" s="7" t="s">
        <v>2065</v>
      </c>
    </row>
    <row r="16" spans="1:18">
      <c r="A16" s="7" t="s">
        <v>2085</v>
      </c>
      <c r="B16" s="7" t="s">
        <v>2086</v>
      </c>
      <c r="C16" s="7" t="s">
        <v>1885</v>
      </c>
      <c r="D16" s="7" t="s">
        <v>970</v>
      </c>
      <c r="E16" s="7" t="s">
        <v>255</v>
      </c>
      <c r="F16" s="7" t="s">
        <v>409</v>
      </c>
      <c r="G16" s="7" t="s">
        <v>648</v>
      </c>
      <c r="H16" s="7" t="s">
        <v>115</v>
      </c>
      <c r="I16" s="7" t="s">
        <v>271</v>
      </c>
      <c r="J16" s="7" t="s">
        <v>323</v>
      </c>
      <c r="K16" s="7" t="s">
        <v>986</v>
      </c>
      <c r="L16" s="7" t="s">
        <v>462</v>
      </c>
      <c r="M16" s="7" t="s">
        <v>293</v>
      </c>
      <c r="N16" s="7" t="s">
        <v>412</v>
      </c>
      <c r="O16" s="7" t="s">
        <v>169</v>
      </c>
      <c r="P16" s="7" t="s">
        <v>11</v>
      </c>
      <c r="Q16" s="7" t="s">
        <v>262</v>
      </c>
      <c r="R16" s="7" t="s">
        <v>2065</v>
      </c>
    </row>
    <row r="17" spans="1:18">
      <c r="A17" s="7" t="s">
        <v>2087</v>
      </c>
      <c r="B17" s="7" t="s">
        <v>2067</v>
      </c>
      <c r="C17" s="7" t="s">
        <v>2088</v>
      </c>
      <c r="D17" s="7" t="s">
        <v>1126</v>
      </c>
      <c r="E17" s="7" t="s">
        <v>339</v>
      </c>
      <c r="F17" s="7" t="s">
        <v>409</v>
      </c>
      <c r="G17" s="7" t="s">
        <v>501</v>
      </c>
      <c r="H17" s="7" t="s">
        <v>115</v>
      </c>
      <c r="I17" s="7" t="s">
        <v>316</v>
      </c>
      <c r="J17" s="7" t="s">
        <v>346</v>
      </c>
      <c r="K17" s="7" t="s">
        <v>798</v>
      </c>
      <c r="L17" s="7" t="s">
        <v>1000</v>
      </c>
      <c r="M17" s="7" t="s">
        <v>335</v>
      </c>
      <c r="N17" s="7" t="s">
        <v>412</v>
      </c>
      <c r="O17" s="7" t="s">
        <v>195</v>
      </c>
      <c r="P17" s="7" t="s">
        <v>14</v>
      </c>
      <c r="Q17" s="7" t="s">
        <v>262</v>
      </c>
      <c r="R17" s="7" t="s">
        <v>2065</v>
      </c>
    </row>
    <row r="18" spans="1:18">
      <c r="A18" s="7" t="s">
        <v>2089</v>
      </c>
      <c r="B18" s="7" t="s">
        <v>2071</v>
      </c>
      <c r="C18" s="7" t="s">
        <v>1834</v>
      </c>
      <c r="D18" s="7" t="s">
        <v>1097</v>
      </c>
      <c r="E18" s="7" t="s">
        <v>255</v>
      </c>
      <c r="F18" s="7" t="s">
        <v>282</v>
      </c>
      <c r="G18" s="7" t="s">
        <v>290</v>
      </c>
      <c r="H18" s="7" t="s">
        <v>115</v>
      </c>
      <c r="I18" s="7" t="s">
        <v>258</v>
      </c>
      <c r="J18" s="7" t="s">
        <v>332</v>
      </c>
      <c r="K18" s="7" t="s">
        <v>918</v>
      </c>
      <c r="L18" s="7" t="s">
        <v>906</v>
      </c>
      <c r="M18" s="7" t="s">
        <v>303</v>
      </c>
      <c r="N18" s="7" t="s">
        <v>284</v>
      </c>
      <c r="O18" s="7" t="s">
        <v>169</v>
      </c>
      <c r="P18" s="7" t="s">
        <v>17</v>
      </c>
      <c r="Q18" s="7" t="s">
        <v>285</v>
      </c>
      <c r="R18" s="7" t="s">
        <v>2065</v>
      </c>
    </row>
    <row r="19" spans="1:18">
      <c r="A19" s="7" t="s">
        <v>2090</v>
      </c>
      <c r="B19" s="7" t="s">
        <v>2091</v>
      </c>
      <c r="C19" s="7" t="s">
        <v>1834</v>
      </c>
      <c r="D19" s="7" t="s">
        <v>615</v>
      </c>
      <c r="E19" s="7" t="s">
        <v>255</v>
      </c>
      <c r="F19" s="7" t="s">
        <v>409</v>
      </c>
      <c r="G19" s="7" t="s">
        <v>648</v>
      </c>
      <c r="H19" s="7" t="s">
        <v>115</v>
      </c>
      <c r="I19" s="7" t="s">
        <v>299</v>
      </c>
      <c r="J19" s="7" t="s">
        <v>300</v>
      </c>
      <c r="K19" s="7" t="s">
        <v>1710</v>
      </c>
      <c r="L19" s="7" t="s">
        <v>554</v>
      </c>
      <c r="M19" s="7" t="s">
        <v>275</v>
      </c>
      <c r="N19" s="7" t="s">
        <v>412</v>
      </c>
      <c r="O19" s="7" t="s">
        <v>169</v>
      </c>
      <c r="P19" s="7" t="s">
        <v>14</v>
      </c>
      <c r="Q19" s="7" t="s">
        <v>262</v>
      </c>
      <c r="R19" s="7" t="s">
        <v>2065</v>
      </c>
    </row>
    <row r="20" spans="1:18">
      <c r="A20" s="7" t="s">
        <v>2092</v>
      </c>
      <c r="B20" s="7" t="s">
        <v>2093</v>
      </c>
      <c r="C20" s="7" t="s">
        <v>1868</v>
      </c>
      <c r="D20" s="7" t="s">
        <v>756</v>
      </c>
      <c r="E20" s="7" t="s">
        <v>268</v>
      </c>
      <c r="F20" s="7" t="s">
        <v>297</v>
      </c>
      <c r="G20" s="7" t="s">
        <v>628</v>
      </c>
      <c r="H20" s="7" t="s">
        <v>115</v>
      </c>
      <c r="I20" s="7" t="s">
        <v>316</v>
      </c>
      <c r="J20" s="7" t="s">
        <v>259</v>
      </c>
      <c r="K20" s="7" t="s">
        <v>382</v>
      </c>
      <c r="L20" s="7" t="s">
        <v>488</v>
      </c>
      <c r="M20" s="7" t="s">
        <v>303</v>
      </c>
      <c r="N20" s="7" t="s">
        <v>304</v>
      </c>
      <c r="O20" s="7" t="s">
        <v>169</v>
      </c>
      <c r="P20" s="7" t="s">
        <v>11</v>
      </c>
      <c r="Q20" s="7" t="s">
        <v>318</v>
      </c>
      <c r="R20" s="7" t="s">
        <v>2065</v>
      </c>
    </row>
    <row r="21" spans="1:18">
      <c r="A21" s="7" t="s">
        <v>2094</v>
      </c>
      <c r="B21" s="7" t="s">
        <v>2088</v>
      </c>
      <c r="C21" s="7" t="s">
        <v>2069</v>
      </c>
      <c r="D21" s="7" t="s">
        <v>1551</v>
      </c>
      <c r="E21" s="7" t="s">
        <v>268</v>
      </c>
      <c r="F21" s="7" t="s">
        <v>297</v>
      </c>
      <c r="G21" s="7" t="s">
        <v>628</v>
      </c>
      <c r="H21" s="7" t="s">
        <v>115</v>
      </c>
      <c r="I21" s="7" t="s">
        <v>258</v>
      </c>
      <c r="J21" s="7" t="s">
        <v>272</v>
      </c>
      <c r="K21" s="7" t="s">
        <v>1168</v>
      </c>
      <c r="L21" s="7" t="s">
        <v>1647</v>
      </c>
      <c r="M21" s="7" t="s">
        <v>303</v>
      </c>
      <c r="N21" s="7" t="s">
        <v>304</v>
      </c>
      <c r="O21" s="7" t="s">
        <v>169</v>
      </c>
      <c r="P21" s="7" t="s">
        <v>14</v>
      </c>
      <c r="Q21" s="7" t="s">
        <v>305</v>
      </c>
      <c r="R21" s="7" t="s">
        <v>2065</v>
      </c>
    </row>
    <row r="22" spans="1:18">
      <c r="A22" s="7" t="s">
        <v>2095</v>
      </c>
      <c r="B22" s="7" t="s">
        <v>2096</v>
      </c>
      <c r="C22" s="7" t="s">
        <v>2091</v>
      </c>
      <c r="D22" s="7" t="s">
        <v>362</v>
      </c>
      <c r="E22" s="7" t="s">
        <v>339</v>
      </c>
      <c r="F22" s="7" t="s">
        <v>297</v>
      </c>
      <c r="G22" s="7" t="s">
        <v>780</v>
      </c>
      <c r="H22" s="7" t="s">
        <v>115</v>
      </c>
      <c r="I22" s="7" t="s">
        <v>271</v>
      </c>
      <c r="J22" s="7" t="s">
        <v>399</v>
      </c>
      <c r="K22" s="7" t="s">
        <v>399</v>
      </c>
      <c r="L22" s="7" t="s">
        <v>625</v>
      </c>
      <c r="M22" s="7" t="s">
        <v>303</v>
      </c>
      <c r="N22" s="7" t="s">
        <v>304</v>
      </c>
      <c r="O22" s="7" t="s">
        <v>169</v>
      </c>
      <c r="P22" s="7" t="s">
        <v>17</v>
      </c>
      <c r="Q22" s="7" t="s">
        <v>318</v>
      </c>
      <c r="R22" s="7" t="s">
        <v>2065</v>
      </c>
    </row>
    <row r="23" spans="1:18">
      <c r="A23" s="7" t="s">
        <v>2097</v>
      </c>
      <c r="B23" s="7" t="s">
        <v>2098</v>
      </c>
      <c r="C23" s="7" t="s">
        <v>1921</v>
      </c>
      <c r="D23" s="7" t="s">
        <v>2038</v>
      </c>
      <c r="E23" s="7" t="s">
        <v>255</v>
      </c>
      <c r="F23" s="7" t="s">
        <v>297</v>
      </c>
      <c r="G23" s="7" t="s">
        <v>639</v>
      </c>
      <c r="H23" s="7" t="s">
        <v>115</v>
      </c>
      <c r="I23" s="7" t="s">
        <v>258</v>
      </c>
      <c r="J23" s="7" t="s">
        <v>272</v>
      </c>
      <c r="K23" s="7" t="s">
        <v>849</v>
      </c>
      <c r="L23" s="7" t="s">
        <v>1647</v>
      </c>
      <c r="M23" s="7" t="s">
        <v>303</v>
      </c>
      <c r="N23" s="7" t="s">
        <v>304</v>
      </c>
      <c r="O23" s="7" t="s">
        <v>195</v>
      </c>
      <c r="P23" s="7" t="s">
        <v>17</v>
      </c>
      <c r="Q23" s="7" t="s">
        <v>305</v>
      </c>
      <c r="R23" s="7" t="s">
        <v>2065</v>
      </c>
    </row>
    <row r="24" spans="1:18">
      <c r="A24" s="7" t="s">
        <v>2099</v>
      </c>
      <c r="B24" s="7" t="s">
        <v>2086</v>
      </c>
      <c r="C24" s="7" t="s">
        <v>1858</v>
      </c>
      <c r="D24" s="7" t="s">
        <v>839</v>
      </c>
      <c r="E24" s="7" t="s">
        <v>255</v>
      </c>
      <c r="F24" s="7" t="s">
        <v>256</v>
      </c>
      <c r="G24" s="7" t="s">
        <v>257</v>
      </c>
      <c r="H24" s="7" t="s">
        <v>115</v>
      </c>
      <c r="I24" s="7" t="s">
        <v>258</v>
      </c>
      <c r="J24" s="7" t="s">
        <v>272</v>
      </c>
      <c r="K24" s="7" t="s">
        <v>1160</v>
      </c>
      <c r="L24" s="7" t="s">
        <v>942</v>
      </c>
      <c r="M24" s="7" t="s">
        <v>275</v>
      </c>
      <c r="N24" s="7" t="s">
        <v>261</v>
      </c>
      <c r="O24" s="7" t="s">
        <v>195</v>
      </c>
      <c r="P24" s="7" t="s">
        <v>14</v>
      </c>
      <c r="Q24" s="7" t="s">
        <v>305</v>
      </c>
      <c r="R24" s="7" t="s">
        <v>2065</v>
      </c>
    </row>
    <row r="25" spans="1:18">
      <c r="A25" s="7" t="s">
        <v>2100</v>
      </c>
      <c r="B25" s="7" t="s">
        <v>2075</v>
      </c>
      <c r="C25" s="7" t="s">
        <v>1885</v>
      </c>
      <c r="D25" s="7" t="s">
        <v>1012</v>
      </c>
      <c r="E25" s="7" t="s">
        <v>255</v>
      </c>
      <c r="F25" s="7" t="s">
        <v>269</v>
      </c>
      <c r="G25" s="7" t="s">
        <v>542</v>
      </c>
      <c r="H25" s="7" t="s">
        <v>115</v>
      </c>
      <c r="I25" s="7" t="s">
        <v>271</v>
      </c>
      <c r="J25" s="7" t="s">
        <v>392</v>
      </c>
      <c r="K25" s="7" t="s">
        <v>887</v>
      </c>
      <c r="L25" s="7" t="s">
        <v>833</v>
      </c>
      <c r="M25" s="7" t="s">
        <v>335</v>
      </c>
      <c r="N25" s="7" t="s">
        <v>276</v>
      </c>
      <c r="O25" s="7" t="s">
        <v>195</v>
      </c>
      <c r="P25" s="7" t="s">
        <v>17</v>
      </c>
      <c r="Q25" s="7" t="s">
        <v>262</v>
      </c>
      <c r="R25" s="7" t="s">
        <v>2065</v>
      </c>
    </row>
    <row r="26" spans="1:18">
      <c r="A26" s="7" t="s">
        <v>2101</v>
      </c>
      <c r="B26" s="7" t="s">
        <v>2080</v>
      </c>
      <c r="C26" s="7" t="s">
        <v>1859</v>
      </c>
      <c r="D26" s="7" t="s">
        <v>1103</v>
      </c>
      <c r="E26" s="7" t="s">
        <v>255</v>
      </c>
      <c r="F26" s="7" t="s">
        <v>269</v>
      </c>
      <c r="G26" s="7" t="s">
        <v>542</v>
      </c>
      <c r="H26" s="7" t="s">
        <v>466</v>
      </c>
      <c r="I26" s="7" t="s">
        <v>299</v>
      </c>
      <c r="J26" s="7" t="s">
        <v>358</v>
      </c>
      <c r="K26" s="7"/>
      <c r="L26" s="7"/>
      <c r="M26" s="7" t="s">
        <v>260</v>
      </c>
      <c r="N26" s="7" t="s">
        <v>276</v>
      </c>
      <c r="O26" s="7" t="s">
        <v>195</v>
      </c>
      <c r="P26" s="7"/>
      <c r="Q26" s="7" t="s">
        <v>326</v>
      </c>
      <c r="R26" s="7" t="s">
        <v>2065</v>
      </c>
    </row>
    <row r="27" spans="1:18">
      <c r="A27" s="7" t="s">
        <v>2102</v>
      </c>
      <c r="B27" s="7" t="s">
        <v>2103</v>
      </c>
      <c r="C27" s="7" t="s">
        <v>1906</v>
      </c>
      <c r="D27" s="7" t="s">
        <v>1537</v>
      </c>
      <c r="E27" s="7" t="s">
        <v>268</v>
      </c>
      <c r="F27" s="7" t="s">
        <v>409</v>
      </c>
      <c r="G27" s="7" t="s">
        <v>552</v>
      </c>
      <c r="H27" s="7" t="s">
        <v>122</v>
      </c>
      <c r="I27" s="7" t="s">
        <v>299</v>
      </c>
      <c r="J27" s="7" t="s">
        <v>404</v>
      </c>
      <c r="K27" s="7"/>
      <c r="L27" s="7"/>
      <c r="M27" s="7" t="s">
        <v>260</v>
      </c>
      <c r="N27" s="7" t="s">
        <v>412</v>
      </c>
      <c r="O27" s="7" t="s">
        <v>195</v>
      </c>
      <c r="P27" s="7"/>
      <c r="Q27" s="7" t="s">
        <v>305</v>
      </c>
      <c r="R27" s="7" t="s">
        <v>2065</v>
      </c>
    </row>
    <row r="28" spans="1:18">
      <c r="A28" s="7" t="s">
        <v>2104</v>
      </c>
      <c r="B28" s="7" t="s">
        <v>2091</v>
      </c>
      <c r="C28" s="7" t="s">
        <v>1914</v>
      </c>
      <c r="D28" s="7" t="s">
        <v>1130</v>
      </c>
      <c r="E28" s="7" t="s">
        <v>339</v>
      </c>
      <c r="F28" s="7" t="s">
        <v>256</v>
      </c>
      <c r="G28" s="7" t="s">
        <v>403</v>
      </c>
      <c r="H28" s="7" t="s">
        <v>122</v>
      </c>
      <c r="I28" s="7" t="s">
        <v>316</v>
      </c>
      <c r="J28" s="7" t="s">
        <v>358</v>
      </c>
      <c r="K28" s="7"/>
      <c r="L28" s="7"/>
      <c r="M28" s="7" t="s">
        <v>260</v>
      </c>
      <c r="N28" s="7" t="s">
        <v>261</v>
      </c>
      <c r="O28" s="7" t="s">
        <v>195</v>
      </c>
      <c r="P28" s="7"/>
      <c r="Q28" s="7" t="s">
        <v>318</v>
      </c>
      <c r="R28" s="7" t="s">
        <v>2065</v>
      </c>
    </row>
    <row r="29" spans="1:18">
      <c r="A29" s="7" t="s">
        <v>2105</v>
      </c>
      <c r="B29" s="7" t="s">
        <v>2086</v>
      </c>
      <c r="C29" s="7" t="s">
        <v>1859</v>
      </c>
      <c r="D29" s="7" t="s">
        <v>2106</v>
      </c>
      <c r="E29" s="7" t="s">
        <v>268</v>
      </c>
      <c r="F29" s="7" t="s">
        <v>256</v>
      </c>
      <c r="G29" s="7" t="s">
        <v>419</v>
      </c>
      <c r="H29" s="7" t="s">
        <v>122</v>
      </c>
      <c r="I29" s="7" t="s">
        <v>299</v>
      </c>
      <c r="J29" s="7" t="s">
        <v>332</v>
      </c>
      <c r="K29" s="7"/>
      <c r="L29" s="7"/>
      <c r="M29" s="7" t="s">
        <v>260</v>
      </c>
      <c r="N29" s="7" t="s">
        <v>261</v>
      </c>
      <c r="O29" s="7" t="s">
        <v>195</v>
      </c>
      <c r="P29" s="7"/>
      <c r="Q29" s="7" t="s">
        <v>326</v>
      </c>
      <c r="R29" s="7" t="s">
        <v>2065</v>
      </c>
    </row>
    <row r="30" spans="1:18">
      <c r="A30" s="7" t="s">
        <v>2107</v>
      </c>
      <c r="B30" s="7" t="s">
        <v>2075</v>
      </c>
      <c r="C30" s="7" t="s">
        <v>1837</v>
      </c>
      <c r="D30" s="7" t="s">
        <v>1012</v>
      </c>
      <c r="E30" s="7" t="s">
        <v>339</v>
      </c>
      <c r="F30" s="7" t="s">
        <v>297</v>
      </c>
      <c r="G30" s="7" t="s">
        <v>569</v>
      </c>
      <c r="H30" s="7" t="s">
        <v>115</v>
      </c>
      <c r="I30" s="7" t="s">
        <v>258</v>
      </c>
      <c r="J30" s="7" t="s">
        <v>469</v>
      </c>
      <c r="K30" s="7" t="s">
        <v>669</v>
      </c>
      <c r="L30" s="7" t="s">
        <v>2108</v>
      </c>
      <c r="M30" s="7" t="s">
        <v>303</v>
      </c>
      <c r="N30" s="7" t="s">
        <v>304</v>
      </c>
      <c r="O30" s="7" t="s">
        <v>195</v>
      </c>
      <c r="P30" s="7" t="s">
        <v>17</v>
      </c>
      <c r="Q30" s="7" t="s">
        <v>318</v>
      </c>
      <c r="R30" s="7" t="s">
        <v>2065</v>
      </c>
    </row>
    <row r="31" spans="1:18">
      <c r="A31" s="7" t="s">
        <v>2109</v>
      </c>
      <c r="B31" s="7" t="s">
        <v>2088</v>
      </c>
      <c r="C31" s="7" t="s">
        <v>1598</v>
      </c>
      <c r="D31" s="7" t="s">
        <v>655</v>
      </c>
      <c r="E31" s="7" t="s">
        <v>255</v>
      </c>
      <c r="F31" s="7" t="s">
        <v>269</v>
      </c>
      <c r="G31" s="7" t="s">
        <v>542</v>
      </c>
      <c r="H31" s="7" t="s">
        <v>115</v>
      </c>
      <c r="I31" s="7" t="s">
        <v>316</v>
      </c>
      <c r="J31" s="7" t="s">
        <v>323</v>
      </c>
      <c r="K31" s="7" t="s">
        <v>1896</v>
      </c>
      <c r="L31" s="7" t="s">
        <v>986</v>
      </c>
      <c r="M31" s="7" t="s">
        <v>335</v>
      </c>
      <c r="N31" s="7" t="s">
        <v>276</v>
      </c>
      <c r="O31" s="7" t="s">
        <v>169</v>
      </c>
      <c r="P31" s="7" t="s">
        <v>14</v>
      </c>
      <c r="Q31" s="7" t="s">
        <v>326</v>
      </c>
      <c r="R31" s="7" t="s">
        <v>2065</v>
      </c>
    </row>
    <row r="32" spans="1:18">
      <c r="A32" s="7" t="s">
        <v>2110</v>
      </c>
      <c r="B32" s="7" t="s">
        <v>2067</v>
      </c>
      <c r="C32" s="7" t="s">
        <v>1849</v>
      </c>
      <c r="D32" s="7" t="s">
        <v>1297</v>
      </c>
      <c r="E32" s="7" t="s">
        <v>339</v>
      </c>
      <c r="F32" s="7" t="s">
        <v>269</v>
      </c>
      <c r="G32" s="7" t="s">
        <v>340</v>
      </c>
      <c r="H32" s="7" t="s">
        <v>115</v>
      </c>
      <c r="I32" s="7" t="s">
        <v>258</v>
      </c>
      <c r="J32" s="7" t="s">
        <v>346</v>
      </c>
      <c r="K32" s="7" t="s">
        <v>1556</v>
      </c>
      <c r="L32" s="7" t="s">
        <v>1203</v>
      </c>
      <c r="M32" s="7" t="s">
        <v>293</v>
      </c>
      <c r="N32" s="7" t="s">
        <v>276</v>
      </c>
      <c r="O32" s="7" t="s">
        <v>195</v>
      </c>
      <c r="P32" s="7" t="s">
        <v>8</v>
      </c>
      <c r="Q32" s="7" t="s">
        <v>305</v>
      </c>
      <c r="R32" s="7" t="s">
        <v>2065</v>
      </c>
    </row>
    <row r="33" spans="1:18">
      <c r="A33" s="7" t="s">
        <v>2111</v>
      </c>
      <c r="B33" s="7" t="s">
        <v>2093</v>
      </c>
      <c r="C33" s="7" t="s">
        <v>1828</v>
      </c>
      <c r="D33" s="7" t="s">
        <v>1361</v>
      </c>
      <c r="E33" s="7" t="s">
        <v>281</v>
      </c>
      <c r="F33" s="7" t="s">
        <v>269</v>
      </c>
      <c r="G33" s="7" t="s">
        <v>363</v>
      </c>
      <c r="H33" s="7" t="s">
        <v>115</v>
      </c>
      <c r="I33" s="7" t="s">
        <v>271</v>
      </c>
      <c r="J33" s="7" t="s">
        <v>399</v>
      </c>
      <c r="K33" s="7" t="s">
        <v>1315</v>
      </c>
      <c r="L33" s="7" t="s">
        <v>625</v>
      </c>
      <c r="M33" s="7" t="s">
        <v>335</v>
      </c>
      <c r="N33" s="7" t="s">
        <v>276</v>
      </c>
      <c r="O33" s="7" t="s">
        <v>195</v>
      </c>
      <c r="P33" s="7" t="s">
        <v>14</v>
      </c>
      <c r="Q33" s="7" t="s">
        <v>305</v>
      </c>
      <c r="R33" s="7" t="s">
        <v>2065</v>
      </c>
    </row>
    <row r="34" spans="1:18">
      <c r="A34" s="7" t="s">
        <v>2112</v>
      </c>
      <c r="B34" s="7" t="s">
        <v>2096</v>
      </c>
      <c r="C34" s="7" t="s">
        <v>2091</v>
      </c>
      <c r="D34" s="7" t="s">
        <v>309</v>
      </c>
      <c r="E34" s="7" t="s">
        <v>255</v>
      </c>
      <c r="F34" s="7" t="s">
        <v>269</v>
      </c>
      <c r="G34" s="7" t="s">
        <v>391</v>
      </c>
      <c r="H34" s="7" t="s">
        <v>127</v>
      </c>
      <c r="I34" s="7" t="s">
        <v>271</v>
      </c>
      <c r="J34" s="7" t="s">
        <v>525</v>
      </c>
      <c r="K34" s="7"/>
      <c r="L34" s="7"/>
      <c r="M34" s="7" t="s">
        <v>260</v>
      </c>
      <c r="N34" s="7" t="s">
        <v>276</v>
      </c>
      <c r="O34" s="7" t="s">
        <v>195</v>
      </c>
      <c r="P34" s="7"/>
      <c r="Q34" s="7" t="s">
        <v>326</v>
      </c>
      <c r="R34" s="7" t="s">
        <v>2065</v>
      </c>
    </row>
    <row r="35" spans="1:18">
      <c r="A35" s="7" t="s">
        <v>2113</v>
      </c>
      <c r="B35" s="7" t="s">
        <v>2114</v>
      </c>
      <c r="C35" s="7" t="s">
        <v>1591</v>
      </c>
      <c r="D35" s="7" t="s">
        <v>765</v>
      </c>
      <c r="E35" s="7" t="s">
        <v>281</v>
      </c>
      <c r="F35" s="7" t="s">
        <v>409</v>
      </c>
      <c r="G35" s="7" t="s">
        <v>535</v>
      </c>
      <c r="H35" s="7" t="s">
        <v>115</v>
      </c>
      <c r="I35" s="7" t="s">
        <v>299</v>
      </c>
      <c r="J35" s="7" t="s">
        <v>404</v>
      </c>
      <c r="K35" s="7" t="s">
        <v>2115</v>
      </c>
      <c r="L35" s="7" t="s">
        <v>2116</v>
      </c>
      <c r="M35" s="7" t="s">
        <v>293</v>
      </c>
      <c r="N35" s="7" t="s">
        <v>412</v>
      </c>
      <c r="O35" s="7" t="s">
        <v>169</v>
      </c>
      <c r="P35" s="7" t="s">
        <v>11</v>
      </c>
      <c r="Q35" s="7" t="s">
        <v>262</v>
      </c>
      <c r="R35" s="7" t="s">
        <v>2065</v>
      </c>
    </row>
    <row r="36" spans="1:18">
      <c r="A36" s="7" t="s">
        <v>2117</v>
      </c>
      <c r="B36" s="7" t="s">
        <v>2118</v>
      </c>
      <c r="C36" s="7" t="s">
        <v>2098</v>
      </c>
      <c r="D36" s="7" t="s">
        <v>1280</v>
      </c>
      <c r="E36" s="7" t="s">
        <v>339</v>
      </c>
      <c r="F36" s="7" t="s">
        <v>282</v>
      </c>
      <c r="G36" s="7" t="s">
        <v>461</v>
      </c>
      <c r="H36" s="7" t="s">
        <v>1202</v>
      </c>
      <c r="I36" s="7" t="s">
        <v>258</v>
      </c>
      <c r="J36" s="7" t="s">
        <v>300</v>
      </c>
      <c r="K36" s="7" t="s">
        <v>789</v>
      </c>
      <c r="L36" s="7" t="s">
        <v>789</v>
      </c>
      <c r="M36" s="7" t="s">
        <v>293</v>
      </c>
      <c r="N36" s="7" t="s">
        <v>284</v>
      </c>
      <c r="O36" s="7" t="s">
        <v>195</v>
      </c>
      <c r="P36" s="7" t="s">
        <v>11</v>
      </c>
      <c r="Q36" s="7" t="s">
        <v>305</v>
      </c>
      <c r="R36" s="7" t="s">
        <v>2065</v>
      </c>
    </row>
    <row r="37" spans="1:18">
      <c r="A37" s="7" t="s">
        <v>2119</v>
      </c>
      <c r="B37" s="7" t="s">
        <v>2120</v>
      </c>
      <c r="C37" s="7" t="s">
        <v>1583</v>
      </c>
      <c r="D37" s="7" t="s">
        <v>1466</v>
      </c>
      <c r="E37" s="7" t="s">
        <v>339</v>
      </c>
      <c r="F37" s="7" t="s">
        <v>297</v>
      </c>
      <c r="G37" s="7" t="s">
        <v>569</v>
      </c>
      <c r="H37" s="7" t="s">
        <v>127</v>
      </c>
      <c r="I37" s="7" t="s">
        <v>271</v>
      </c>
      <c r="J37" s="7" t="s">
        <v>272</v>
      </c>
      <c r="K37" s="7"/>
      <c r="L37" s="7"/>
      <c r="M37" s="7" t="s">
        <v>260</v>
      </c>
      <c r="N37" s="7" t="s">
        <v>304</v>
      </c>
      <c r="O37" s="7" t="s">
        <v>169</v>
      </c>
      <c r="P37" s="7"/>
      <c r="Q37" s="7" t="s">
        <v>326</v>
      </c>
      <c r="R37" s="7" t="s">
        <v>2065</v>
      </c>
    </row>
    <row r="38" spans="1:18">
      <c r="A38" s="7" t="s">
        <v>2121</v>
      </c>
      <c r="B38" s="7" t="s">
        <v>2091</v>
      </c>
      <c r="C38" s="7" t="s">
        <v>1912</v>
      </c>
      <c r="D38" s="7" t="s">
        <v>2122</v>
      </c>
      <c r="E38" s="7" t="s">
        <v>268</v>
      </c>
      <c r="F38" s="7" t="s">
        <v>297</v>
      </c>
      <c r="G38" s="7" t="s">
        <v>583</v>
      </c>
      <c r="H38" s="7" t="s">
        <v>115</v>
      </c>
      <c r="I38" s="7" t="s">
        <v>271</v>
      </c>
      <c r="J38" s="7" t="s">
        <v>259</v>
      </c>
      <c r="K38" s="7" t="s">
        <v>437</v>
      </c>
      <c r="L38" s="7" t="s">
        <v>1411</v>
      </c>
      <c r="M38" s="7" t="s">
        <v>303</v>
      </c>
      <c r="N38" s="7" t="s">
        <v>304</v>
      </c>
      <c r="O38" s="7" t="s">
        <v>169</v>
      </c>
      <c r="P38" s="7" t="s">
        <v>17</v>
      </c>
      <c r="Q38" s="7" t="s">
        <v>262</v>
      </c>
      <c r="R38" s="7" t="s">
        <v>2065</v>
      </c>
    </row>
    <row r="39" spans="1:18">
      <c r="A39" s="7" t="s">
        <v>2123</v>
      </c>
      <c r="B39" s="7" t="s">
        <v>2075</v>
      </c>
      <c r="C39" s="7" t="s">
        <v>2084</v>
      </c>
      <c r="D39" s="7" t="s">
        <v>1755</v>
      </c>
      <c r="E39" s="7" t="s">
        <v>339</v>
      </c>
      <c r="F39" s="7" t="s">
        <v>297</v>
      </c>
      <c r="G39" s="7" t="s">
        <v>780</v>
      </c>
      <c r="H39" s="7" t="s">
        <v>115</v>
      </c>
      <c r="I39" s="7" t="s">
        <v>316</v>
      </c>
      <c r="J39" s="7" t="s">
        <v>411</v>
      </c>
      <c r="K39" s="7" t="s">
        <v>2035</v>
      </c>
      <c r="L39" s="7" t="s">
        <v>1767</v>
      </c>
      <c r="M39" s="7" t="s">
        <v>303</v>
      </c>
      <c r="N39" s="7" t="s">
        <v>304</v>
      </c>
      <c r="O39" s="7" t="s">
        <v>169</v>
      </c>
      <c r="P39" s="7" t="s">
        <v>14</v>
      </c>
      <c r="Q39" s="7" t="s">
        <v>318</v>
      </c>
      <c r="R39" s="7" t="s">
        <v>2065</v>
      </c>
    </row>
    <row r="40" spans="1:18">
      <c r="A40" s="7" t="s">
        <v>2124</v>
      </c>
      <c r="B40" s="7" t="s">
        <v>2067</v>
      </c>
      <c r="C40" s="7" t="s">
        <v>2064</v>
      </c>
      <c r="D40" s="7" t="s">
        <v>1505</v>
      </c>
      <c r="E40" s="7" t="s">
        <v>281</v>
      </c>
      <c r="F40" s="7" t="s">
        <v>282</v>
      </c>
      <c r="G40" s="7" t="s">
        <v>446</v>
      </c>
      <c r="H40" s="7" t="s">
        <v>115</v>
      </c>
      <c r="I40" s="7" t="s">
        <v>299</v>
      </c>
      <c r="J40" s="7" t="s">
        <v>259</v>
      </c>
      <c r="K40" s="7" t="s">
        <v>1300</v>
      </c>
      <c r="L40" s="7" t="s">
        <v>311</v>
      </c>
      <c r="M40" s="7" t="s">
        <v>335</v>
      </c>
      <c r="N40" s="7" t="s">
        <v>284</v>
      </c>
      <c r="O40" s="7" t="s">
        <v>195</v>
      </c>
      <c r="P40" s="7" t="s">
        <v>17</v>
      </c>
      <c r="Q40" s="7" t="s">
        <v>318</v>
      </c>
      <c r="R40" s="7" t="s">
        <v>2065</v>
      </c>
    </row>
    <row r="41" spans="1:18">
      <c r="A41" s="7" t="s">
        <v>2125</v>
      </c>
      <c r="B41" s="7" t="s">
        <v>2079</v>
      </c>
      <c r="C41" s="7" t="s">
        <v>2096</v>
      </c>
      <c r="D41" s="7" t="s">
        <v>1804</v>
      </c>
      <c r="E41" s="7" t="s">
        <v>339</v>
      </c>
      <c r="F41" s="7" t="s">
        <v>269</v>
      </c>
      <c r="G41" s="7" t="s">
        <v>528</v>
      </c>
      <c r="H41" s="7" t="s">
        <v>115</v>
      </c>
      <c r="I41" s="7" t="s">
        <v>258</v>
      </c>
      <c r="J41" s="7" t="s">
        <v>346</v>
      </c>
      <c r="K41" s="7" t="s">
        <v>722</v>
      </c>
      <c r="L41" s="7" t="s">
        <v>2126</v>
      </c>
      <c r="M41" s="7" t="s">
        <v>335</v>
      </c>
      <c r="N41" s="7" t="s">
        <v>276</v>
      </c>
      <c r="O41" s="7" t="s">
        <v>195</v>
      </c>
      <c r="P41" s="7" t="s">
        <v>8</v>
      </c>
      <c r="Q41" s="7" t="s">
        <v>262</v>
      </c>
      <c r="R41" s="7" t="s">
        <v>2065</v>
      </c>
    </row>
    <row r="42" spans="1:18">
      <c r="A42" s="7" t="s">
        <v>2127</v>
      </c>
      <c r="B42" s="7" t="s">
        <v>2091</v>
      </c>
      <c r="C42" s="7" t="s">
        <v>1912</v>
      </c>
      <c r="D42" s="7" t="s">
        <v>1907</v>
      </c>
      <c r="E42" s="7" t="s">
        <v>339</v>
      </c>
      <c r="F42" s="7" t="s">
        <v>282</v>
      </c>
      <c r="G42" s="7" t="s">
        <v>564</v>
      </c>
      <c r="H42" s="7" t="s">
        <v>115</v>
      </c>
      <c r="I42" s="7" t="s">
        <v>258</v>
      </c>
      <c r="J42" s="7" t="s">
        <v>351</v>
      </c>
      <c r="K42" s="7" t="s">
        <v>1486</v>
      </c>
      <c r="L42" s="7" t="s">
        <v>1033</v>
      </c>
      <c r="M42" s="7" t="s">
        <v>275</v>
      </c>
      <c r="N42" s="7" t="s">
        <v>284</v>
      </c>
      <c r="O42" s="7" t="s">
        <v>1248</v>
      </c>
      <c r="P42" s="7" t="s">
        <v>11</v>
      </c>
      <c r="Q42" s="7" t="s">
        <v>326</v>
      </c>
      <c r="R42" s="7" t="s">
        <v>2065</v>
      </c>
    </row>
    <row r="43" spans="1:18">
      <c r="A43" s="7" t="s">
        <v>2128</v>
      </c>
      <c r="B43" s="7" t="s">
        <v>2064</v>
      </c>
      <c r="C43" s="7" t="s">
        <v>1820</v>
      </c>
      <c r="D43" s="7" t="s">
        <v>468</v>
      </c>
      <c r="E43" s="7" t="s">
        <v>281</v>
      </c>
      <c r="F43" s="7" t="s">
        <v>269</v>
      </c>
      <c r="G43" s="7" t="s">
        <v>322</v>
      </c>
      <c r="H43" s="7" t="s">
        <v>466</v>
      </c>
      <c r="I43" s="7" t="s">
        <v>316</v>
      </c>
      <c r="J43" s="7" t="s">
        <v>404</v>
      </c>
      <c r="K43" s="7"/>
      <c r="L43" s="7"/>
      <c r="M43" s="7" t="s">
        <v>260</v>
      </c>
      <c r="N43" s="7" t="s">
        <v>276</v>
      </c>
      <c r="O43" s="7" t="s">
        <v>195</v>
      </c>
      <c r="P43" s="7"/>
      <c r="Q43" s="7" t="s">
        <v>305</v>
      </c>
      <c r="R43" s="7" t="s">
        <v>2065</v>
      </c>
    </row>
    <row r="44" spans="1:18">
      <c r="A44" s="7" t="s">
        <v>2129</v>
      </c>
      <c r="B44" s="7" t="s">
        <v>2080</v>
      </c>
      <c r="C44" s="7" t="s">
        <v>2130</v>
      </c>
      <c r="D44" s="7" t="s">
        <v>1215</v>
      </c>
      <c r="E44" s="7" t="s">
        <v>281</v>
      </c>
      <c r="F44" s="7" t="s">
        <v>409</v>
      </c>
      <c r="G44" s="7" t="s">
        <v>535</v>
      </c>
      <c r="H44" s="7" t="s">
        <v>115</v>
      </c>
      <c r="I44" s="7" t="s">
        <v>316</v>
      </c>
      <c r="J44" s="7" t="s">
        <v>447</v>
      </c>
      <c r="K44" s="7" t="s">
        <v>1420</v>
      </c>
      <c r="L44" s="7" t="s">
        <v>1263</v>
      </c>
      <c r="M44" s="7" t="s">
        <v>303</v>
      </c>
      <c r="N44" s="7" t="s">
        <v>412</v>
      </c>
      <c r="O44" s="7" t="s">
        <v>195</v>
      </c>
      <c r="P44" s="7" t="s">
        <v>17</v>
      </c>
      <c r="Q44" s="7" t="s">
        <v>326</v>
      </c>
      <c r="R44" s="7" t="s">
        <v>2065</v>
      </c>
    </row>
    <row r="45" spans="1:18">
      <c r="A45" s="7" t="s">
        <v>2131</v>
      </c>
      <c r="B45" s="7" t="s">
        <v>2132</v>
      </c>
      <c r="C45" s="7" t="s">
        <v>1826</v>
      </c>
      <c r="D45" s="7" t="s">
        <v>759</v>
      </c>
      <c r="E45" s="7" t="s">
        <v>281</v>
      </c>
      <c r="F45" s="7" t="s">
        <v>256</v>
      </c>
      <c r="G45" s="7" t="s">
        <v>429</v>
      </c>
      <c r="H45" s="7" t="s">
        <v>115</v>
      </c>
      <c r="I45" s="7" t="s">
        <v>271</v>
      </c>
      <c r="J45" s="7" t="s">
        <v>469</v>
      </c>
      <c r="K45" s="7" t="s">
        <v>1902</v>
      </c>
      <c r="L45" s="7" t="s">
        <v>640</v>
      </c>
      <c r="M45" s="7" t="s">
        <v>293</v>
      </c>
      <c r="N45" s="7" t="s">
        <v>261</v>
      </c>
      <c r="O45" s="7" t="s">
        <v>169</v>
      </c>
      <c r="P45" s="7" t="s">
        <v>8</v>
      </c>
      <c r="Q45" s="7" t="s">
        <v>326</v>
      </c>
      <c r="R45" s="7" t="s">
        <v>2065</v>
      </c>
    </row>
    <row r="46" spans="1:18">
      <c r="A46" s="7" t="s">
        <v>2133</v>
      </c>
      <c r="B46" s="7" t="s">
        <v>2132</v>
      </c>
      <c r="C46" s="7" t="s">
        <v>2130</v>
      </c>
      <c r="D46" s="7" t="s">
        <v>1060</v>
      </c>
      <c r="E46" s="7" t="s">
        <v>255</v>
      </c>
      <c r="F46" s="7" t="s">
        <v>269</v>
      </c>
      <c r="G46" s="7" t="s">
        <v>542</v>
      </c>
      <c r="H46" s="7" t="s">
        <v>115</v>
      </c>
      <c r="I46" s="7" t="s">
        <v>271</v>
      </c>
      <c r="J46" s="7" t="s">
        <v>332</v>
      </c>
      <c r="K46" s="7" t="s">
        <v>1033</v>
      </c>
      <c r="L46" s="7" t="s">
        <v>370</v>
      </c>
      <c r="M46" s="7" t="s">
        <v>293</v>
      </c>
      <c r="N46" s="7" t="s">
        <v>276</v>
      </c>
      <c r="O46" s="7" t="s">
        <v>195</v>
      </c>
      <c r="P46" s="7" t="s">
        <v>14</v>
      </c>
      <c r="Q46" s="7" t="s">
        <v>262</v>
      </c>
      <c r="R46" s="7" t="s">
        <v>2065</v>
      </c>
    </row>
    <row r="47" spans="1:18">
      <c r="A47" s="7" t="s">
        <v>2134</v>
      </c>
      <c r="B47" s="7" t="s">
        <v>2135</v>
      </c>
      <c r="C47" s="7" t="s">
        <v>1601</v>
      </c>
      <c r="D47" s="7" t="s">
        <v>786</v>
      </c>
      <c r="E47" s="7" t="s">
        <v>339</v>
      </c>
      <c r="F47" s="7" t="s">
        <v>282</v>
      </c>
      <c r="G47" s="7" t="s">
        <v>564</v>
      </c>
      <c r="H47" s="7" t="s">
        <v>115</v>
      </c>
      <c r="I47" s="7" t="s">
        <v>316</v>
      </c>
      <c r="J47" s="7" t="s">
        <v>351</v>
      </c>
      <c r="K47" s="7" t="s">
        <v>815</v>
      </c>
      <c r="L47" s="7" t="s">
        <v>571</v>
      </c>
      <c r="M47" s="7" t="s">
        <v>303</v>
      </c>
      <c r="N47" s="7" t="s">
        <v>284</v>
      </c>
      <c r="O47" s="7" t="s">
        <v>169</v>
      </c>
      <c r="P47" s="7" t="s">
        <v>14</v>
      </c>
      <c r="Q47" s="7" t="s">
        <v>285</v>
      </c>
      <c r="R47" s="7" t="s">
        <v>2065</v>
      </c>
    </row>
    <row r="48" spans="1:18">
      <c r="A48" s="7" t="s">
        <v>2136</v>
      </c>
      <c r="B48" s="7" t="s">
        <v>2114</v>
      </c>
      <c r="C48" s="7" t="s">
        <v>1576</v>
      </c>
      <c r="D48" s="7" t="s">
        <v>1144</v>
      </c>
      <c r="E48" s="7" t="s">
        <v>1658</v>
      </c>
      <c r="F48" s="7" t="s">
        <v>269</v>
      </c>
      <c r="G48" s="7" t="s">
        <v>322</v>
      </c>
      <c r="H48" s="7" t="s">
        <v>115</v>
      </c>
      <c r="I48" s="7" t="s">
        <v>258</v>
      </c>
      <c r="J48" s="7" t="s">
        <v>259</v>
      </c>
      <c r="K48" s="7" t="s">
        <v>374</v>
      </c>
      <c r="L48" s="7" t="s">
        <v>801</v>
      </c>
      <c r="M48" s="7" t="s">
        <v>303</v>
      </c>
      <c r="N48" s="7" t="s">
        <v>276</v>
      </c>
      <c r="O48" s="7" t="s">
        <v>195</v>
      </c>
      <c r="P48" s="7" t="s">
        <v>14</v>
      </c>
      <c r="Q48" s="7" t="s">
        <v>326</v>
      </c>
      <c r="R48" s="7" t="s">
        <v>2065</v>
      </c>
    </row>
    <row r="49" spans="1:18">
      <c r="A49" s="7" t="s">
        <v>2137</v>
      </c>
      <c r="B49" s="7" t="s">
        <v>2138</v>
      </c>
      <c r="C49" s="7" t="s">
        <v>1609</v>
      </c>
      <c r="D49" s="7" t="s">
        <v>338</v>
      </c>
      <c r="E49" s="7" t="s">
        <v>281</v>
      </c>
      <c r="F49" s="7" t="s">
        <v>269</v>
      </c>
      <c r="G49" s="7" t="s">
        <v>363</v>
      </c>
      <c r="H49" s="7" t="s">
        <v>127</v>
      </c>
      <c r="I49" s="7" t="s">
        <v>316</v>
      </c>
      <c r="J49" s="7" t="s">
        <v>447</v>
      </c>
      <c r="K49" s="7"/>
      <c r="L49" s="7"/>
      <c r="M49" s="7" t="s">
        <v>260</v>
      </c>
      <c r="N49" s="7" t="s">
        <v>276</v>
      </c>
      <c r="O49" s="7" t="s">
        <v>169</v>
      </c>
      <c r="P49" s="7"/>
      <c r="Q49" s="7" t="s">
        <v>326</v>
      </c>
      <c r="R49" s="7" t="s">
        <v>2065</v>
      </c>
    </row>
    <row r="50" spans="1:18">
      <c r="A50" s="7" t="s">
        <v>2139</v>
      </c>
      <c r="B50" s="7" t="s">
        <v>2132</v>
      </c>
      <c r="C50" s="7" t="s">
        <v>2071</v>
      </c>
      <c r="D50" s="7" t="s">
        <v>468</v>
      </c>
      <c r="E50" s="7" t="s">
        <v>339</v>
      </c>
      <c r="F50" s="7" t="s">
        <v>282</v>
      </c>
      <c r="G50" s="7" t="s">
        <v>564</v>
      </c>
      <c r="H50" s="7" t="s">
        <v>127</v>
      </c>
      <c r="I50" s="7" t="s">
        <v>271</v>
      </c>
      <c r="J50" s="7" t="s">
        <v>300</v>
      </c>
      <c r="K50" s="7"/>
      <c r="L50" s="7"/>
      <c r="M50" s="7" t="s">
        <v>260</v>
      </c>
      <c r="N50" s="7" t="s">
        <v>284</v>
      </c>
      <c r="O50" s="7" t="s">
        <v>195</v>
      </c>
      <c r="P50" s="7"/>
      <c r="Q50" s="7" t="s">
        <v>262</v>
      </c>
      <c r="R50" s="7" t="s">
        <v>2065</v>
      </c>
    </row>
    <row r="51" spans="1:18">
      <c r="A51" s="7" t="s">
        <v>2140</v>
      </c>
      <c r="B51" s="7" t="s">
        <v>2120</v>
      </c>
      <c r="C51" s="7" t="s">
        <v>1620</v>
      </c>
      <c r="D51" s="7" t="s">
        <v>315</v>
      </c>
      <c r="E51" s="7" t="s">
        <v>255</v>
      </c>
      <c r="F51" s="7" t="s">
        <v>297</v>
      </c>
      <c r="G51" s="7" t="s">
        <v>639</v>
      </c>
      <c r="H51" s="7" t="s">
        <v>115</v>
      </c>
      <c r="I51" s="7" t="s">
        <v>316</v>
      </c>
      <c r="J51" s="7" t="s">
        <v>341</v>
      </c>
      <c r="K51" s="7" t="s">
        <v>341</v>
      </c>
      <c r="L51" s="7" t="s">
        <v>1484</v>
      </c>
      <c r="M51" s="7" t="s">
        <v>293</v>
      </c>
      <c r="N51" s="7" t="s">
        <v>304</v>
      </c>
      <c r="O51" s="7" t="s">
        <v>195</v>
      </c>
      <c r="P51" s="7" t="s">
        <v>14</v>
      </c>
      <c r="Q51" s="7" t="s">
        <v>262</v>
      </c>
      <c r="R51" s="7" t="s">
        <v>2065</v>
      </c>
    </row>
    <row r="52" spans="1:18">
      <c r="A52" s="7" t="s">
        <v>2141</v>
      </c>
      <c r="B52" s="7" t="s">
        <v>2064</v>
      </c>
      <c r="C52" s="7" t="s">
        <v>1859</v>
      </c>
      <c r="D52" s="7" t="s">
        <v>1475</v>
      </c>
      <c r="E52" s="7" t="s">
        <v>255</v>
      </c>
      <c r="F52" s="7" t="s">
        <v>269</v>
      </c>
      <c r="G52" s="7" t="s">
        <v>391</v>
      </c>
      <c r="H52" s="7" t="s">
        <v>127</v>
      </c>
      <c r="I52" s="7" t="s">
        <v>1025</v>
      </c>
      <c r="J52" s="7" t="s">
        <v>529</v>
      </c>
      <c r="K52" s="7"/>
      <c r="L52" s="7"/>
      <c r="M52" s="7" t="s">
        <v>260</v>
      </c>
      <c r="N52" s="7" t="s">
        <v>276</v>
      </c>
      <c r="O52" s="7" t="s">
        <v>195</v>
      </c>
      <c r="P52" s="7"/>
      <c r="Q52" s="7" t="s">
        <v>285</v>
      </c>
      <c r="R52" s="7" t="s">
        <v>2065</v>
      </c>
    </row>
    <row r="53" spans="1:18">
      <c r="A53" s="7" t="s">
        <v>2142</v>
      </c>
      <c r="B53" s="7" t="s">
        <v>2064</v>
      </c>
      <c r="C53" s="7" t="s">
        <v>1632</v>
      </c>
      <c r="D53" s="7" t="s">
        <v>1299</v>
      </c>
      <c r="E53" s="7" t="s">
        <v>281</v>
      </c>
      <c r="F53" s="7" t="s">
        <v>297</v>
      </c>
      <c r="G53" s="7" t="s">
        <v>368</v>
      </c>
      <c r="H53" s="7" t="s">
        <v>466</v>
      </c>
      <c r="I53" s="7" t="s">
        <v>271</v>
      </c>
      <c r="J53" s="7" t="s">
        <v>529</v>
      </c>
      <c r="K53" s="7"/>
      <c r="L53" s="7"/>
      <c r="M53" s="7" t="s">
        <v>260</v>
      </c>
      <c r="N53" s="7" t="s">
        <v>304</v>
      </c>
      <c r="O53" s="7" t="s">
        <v>195</v>
      </c>
      <c r="P53" s="7"/>
      <c r="Q53" s="7" t="s">
        <v>318</v>
      </c>
      <c r="R53" s="7" t="s">
        <v>2065</v>
      </c>
    </row>
    <row r="54" spans="1:18">
      <c r="A54" s="7" t="s">
        <v>2143</v>
      </c>
      <c r="B54" s="7" t="s">
        <v>2079</v>
      </c>
      <c r="C54" s="7" t="s">
        <v>1826</v>
      </c>
      <c r="D54" s="7" t="s">
        <v>1541</v>
      </c>
      <c r="E54" s="7" t="s">
        <v>268</v>
      </c>
      <c r="F54" s="7" t="s">
        <v>269</v>
      </c>
      <c r="G54" s="7" t="s">
        <v>435</v>
      </c>
      <c r="H54" s="7" t="s">
        <v>466</v>
      </c>
      <c r="I54" s="7" t="s">
        <v>271</v>
      </c>
      <c r="J54" s="7" t="s">
        <v>346</v>
      </c>
      <c r="K54" s="7"/>
      <c r="L54" s="7"/>
      <c r="M54" s="7" t="s">
        <v>260</v>
      </c>
      <c r="N54" s="7" t="s">
        <v>276</v>
      </c>
      <c r="O54" s="7" t="s">
        <v>195</v>
      </c>
      <c r="P54" s="7"/>
      <c r="Q54" s="7" t="s">
        <v>326</v>
      </c>
      <c r="R54" s="7" t="s">
        <v>2065</v>
      </c>
    </row>
    <row r="55" spans="1:18">
      <c r="A55" s="7" t="s">
        <v>2144</v>
      </c>
      <c r="B55" s="7" t="s">
        <v>2145</v>
      </c>
      <c r="C55" s="7" t="s">
        <v>1906</v>
      </c>
      <c r="D55" s="7" t="s">
        <v>989</v>
      </c>
      <c r="E55" s="7" t="s">
        <v>339</v>
      </c>
      <c r="F55" s="7" t="s">
        <v>409</v>
      </c>
      <c r="G55" s="7" t="s">
        <v>476</v>
      </c>
      <c r="H55" s="7" t="s">
        <v>466</v>
      </c>
      <c r="I55" s="7" t="s">
        <v>299</v>
      </c>
      <c r="J55" s="7" t="s">
        <v>525</v>
      </c>
      <c r="K55" s="7"/>
      <c r="L55" s="7"/>
      <c r="M55" s="7" t="s">
        <v>260</v>
      </c>
      <c r="N55" s="7" t="s">
        <v>412</v>
      </c>
      <c r="O55" s="7" t="s">
        <v>169</v>
      </c>
      <c r="P55" s="7"/>
      <c r="Q55" s="7" t="s">
        <v>305</v>
      </c>
      <c r="R55" s="7" t="s">
        <v>2065</v>
      </c>
    </row>
    <row r="56" spans="1:18">
      <c r="A56" s="7" t="s">
        <v>2146</v>
      </c>
      <c r="B56" s="7" t="s">
        <v>2075</v>
      </c>
      <c r="C56" s="7" t="s">
        <v>1832</v>
      </c>
      <c r="D56" s="7" t="s">
        <v>1472</v>
      </c>
      <c r="E56" s="7" t="s">
        <v>281</v>
      </c>
      <c r="F56" s="7" t="s">
        <v>282</v>
      </c>
      <c r="G56" s="7" t="s">
        <v>283</v>
      </c>
      <c r="H56" s="7" t="s">
        <v>115</v>
      </c>
      <c r="I56" s="7" t="s">
        <v>316</v>
      </c>
      <c r="J56" s="7" t="s">
        <v>392</v>
      </c>
      <c r="K56" s="7" t="s">
        <v>1562</v>
      </c>
      <c r="L56" s="7" t="s">
        <v>1767</v>
      </c>
      <c r="M56" s="7" t="s">
        <v>335</v>
      </c>
      <c r="N56" s="7" t="s">
        <v>284</v>
      </c>
      <c r="O56" s="7" t="s">
        <v>195</v>
      </c>
      <c r="P56" s="7" t="s">
        <v>8</v>
      </c>
      <c r="Q56" s="7" t="s">
        <v>318</v>
      </c>
      <c r="R56" s="7" t="s">
        <v>2065</v>
      </c>
    </row>
    <row r="57" spans="1:18">
      <c r="A57" s="7" t="s">
        <v>2147</v>
      </c>
      <c r="B57" s="7" t="s">
        <v>2120</v>
      </c>
      <c r="C57" s="7" t="s">
        <v>1912</v>
      </c>
      <c r="D57" s="7" t="s">
        <v>904</v>
      </c>
      <c r="E57" s="7" t="s">
        <v>268</v>
      </c>
      <c r="F57" s="7" t="s">
        <v>297</v>
      </c>
      <c r="G57" s="7" t="s">
        <v>583</v>
      </c>
      <c r="H57" s="7" t="s">
        <v>115</v>
      </c>
      <c r="I57" s="7" t="s">
        <v>299</v>
      </c>
      <c r="J57" s="7" t="s">
        <v>341</v>
      </c>
      <c r="K57" s="7" t="s">
        <v>1534</v>
      </c>
      <c r="L57" s="7" t="s">
        <v>942</v>
      </c>
      <c r="M57" s="7" t="s">
        <v>335</v>
      </c>
      <c r="N57" s="7" t="s">
        <v>304</v>
      </c>
      <c r="O57" s="7" t="s">
        <v>195</v>
      </c>
      <c r="P57" s="7" t="s">
        <v>14</v>
      </c>
      <c r="Q57" s="7" t="s">
        <v>318</v>
      </c>
      <c r="R57" s="7" t="s">
        <v>2065</v>
      </c>
    </row>
    <row r="58" spans="1:18">
      <c r="A58" s="7" t="s">
        <v>2148</v>
      </c>
      <c r="B58" s="7" t="s">
        <v>2120</v>
      </c>
      <c r="C58" s="7" t="s">
        <v>1687</v>
      </c>
      <c r="D58" s="7" t="s">
        <v>2038</v>
      </c>
      <c r="E58" s="7" t="s">
        <v>339</v>
      </c>
      <c r="F58" s="7" t="s">
        <v>282</v>
      </c>
      <c r="G58" s="7" t="s">
        <v>461</v>
      </c>
      <c r="H58" s="7" t="s">
        <v>127</v>
      </c>
      <c r="I58" s="7" t="s">
        <v>258</v>
      </c>
      <c r="J58" s="7" t="s">
        <v>341</v>
      </c>
      <c r="K58" s="7"/>
      <c r="L58" s="7"/>
      <c r="M58" s="7" t="s">
        <v>260</v>
      </c>
      <c r="N58" s="7" t="s">
        <v>738</v>
      </c>
      <c r="O58" s="7" t="s">
        <v>195</v>
      </c>
      <c r="P58" s="7"/>
      <c r="Q58" s="7" t="s">
        <v>262</v>
      </c>
      <c r="R58" s="7" t="s">
        <v>2065</v>
      </c>
    </row>
    <row r="59" spans="1:18">
      <c r="A59" s="7" t="s">
        <v>2149</v>
      </c>
      <c r="B59" s="7" t="s">
        <v>2150</v>
      </c>
      <c r="C59" s="7" t="s">
        <v>1843</v>
      </c>
      <c r="D59" s="7" t="s">
        <v>967</v>
      </c>
      <c r="E59" s="7" t="s">
        <v>268</v>
      </c>
      <c r="F59" s="7" t="s">
        <v>256</v>
      </c>
      <c r="G59" s="7" t="s">
        <v>419</v>
      </c>
      <c r="H59" s="7" t="s">
        <v>115</v>
      </c>
      <c r="I59" s="7" t="s">
        <v>271</v>
      </c>
      <c r="J59" s="7" t="s">
        <v>525</v>
      </c>
      <c r="K59" s="7" t="s">
        <v>1229</v>
      </c>
      <c r="L59" s="7" t="s">
        <v>2151</v>
      </c>
      <c r="M59" s="7" t="s">
        <v>303</v>
      </c>
      <c r="N59" s="7" t="s">
        <v>261</v>
      </c>
      <c r="O59" s="7" t="s">
        <v>195</v>
      </c>
      <c r="P59" s="7" t="s">
        <v>14</v>
      </c>
      <c r="Q59" s="7" t="s">
        <v>262</v>
      </c>
      <c r="R59" s="7" t="s">
        <v>2065</v>
      </c>
    </row>
    <row r="60" spans="1:18">
      <c r="A60" s="7" t="s">
        <v>2152</v>
      </c>
      <c r="B60" s="7" t="s">
        <v>2114</v>
      </c>
      <c r="C60" s="7" t="s">
        <v>2098</v>
      </c>
      <c r="D60" s="7" t="s">
        <v>1179</v>
      </c>
      <c r="E60" s="7" t="s">
        <v>268</v>
      </c>
      <c r="F60" s="7" t="s">
        <v>409</v>
      </c>
      <c r="G60" s="7" t="s">
        <v>587</v>
      </c>
      <c r="H60" s="7" t="s">
        <v>127</v>
      </c>
      <c r="I60" s="7" t="s">
        <v>316</v>
      </c>
      <c r="J60" s="7" t="s">
        <v>351</v>
      </c>
      <c r="K60" s="7"/>
      <c r="L60" s="7"/>
      <c r="M60" s="7" t="s">
        <v>260</v>
      </c>
      <c r="N60" s="7" t="s">
        <v>412</v>
      </c>
      <c r="O60" s="7" t="s">
        <v>169</v>
      </c>
      <c r="P60" s="7"/>
      <c r="Q60" s="7" t="s">
        <v>326</v>
      </c>
      <c r="R60" s="7" t="s">
        <v>2065</v>
      </c>
    </row>
    <row r="61" spans="1:18">
      <c r="A61" s="7" t="s">
        <v>2153</v>
      </c>
      <c r="B61" s="7" t="s">
        <v>2091</v>
      </c>
      <c r="C61" s="7" t="s">
        <v>1576</v>
      </c>
      <c r="D61" s="7" t="s">
        <v>402</v>
      </c>
      <c r="E61" s="7" t="s">
        <v>339</v>
      </c>
      <c r="F61" s="7" t="s">
        <v>282</v>
      </c>
      <c r="G61" s="7" t="s">
        <v>461</v>
      </c>
      <c r="H61" s="7" t="s">
        <v>115</v>
      </c>
      <c r="I61" s="7" t="s">
        <v>299</v>
      </c>
      <c r="J61" s="7" t="s">
        <v>392</v>
      </c>
      <c r="K61" s="7" t="s">
        <v>1809</v>
      </c>
      <c r="L61" s="7" t="s">
        <v>1173</v>
      </c>
      <c r="M61" s="7" t="s">
        <v>275</v>
      </c>
      <c r="N61" s="7" t="s">
        <v>284</v>
      </c>
      <c r="O61" s="7" t="s">
        <v>195</v>
      </c>
      <c r="P61" s="7" t="s">
        <v>11</v>
      </c>
      <c r="Q61" s="7" t="s">
        <v>285</v>
      </c>
      <c r="R61" s="7" t="s">
        <v>2065</v>
      </c>
    </row>
    <row r="62" spans="1:18">
      <c r="A62" s="7" t="s">
        <v>2154</v>
      </c>
      <c r="B62" s="7" t="s">
        <v>2069</v>
      </c>
      <c r="C62" s="7" t="s">
        <v>1866</v>
      </c>
      <c r="D62" s="7" t="s">
        <v>381</v>
      </c>
      <c r="E62" s="7" t="s">
        <v>268</v>
      </c>
      <c r="F62" s="7" t="s">
        <v>297</v>
      </c>
      <c r="G62" s="7" t="s">
        <v>583</v>
      </c>
      <c r="H62" s="7" t="s">
        <v>127</v>
      </c>
      <c r="I62" s="7" t="s">
        <v>299</v>
      </c>
      <c r="J62" s="7" t="s">
        <v>351</v>
      </c>
      <c r="K62" s="7"/>
      <c r="L62" s="7"/>
      <c r="M62" s="7" t="s">
        <v>260</v>
      </c>
      <c r="N62" s="7" t="s">
        <v>304</v>
      </c>
      <c r="O62" s="7" t="s">
        <v>195</v>
      </c>
      <c r="P62" s="7"/>
      <c r="Q62" s="7" t="s">
        <v>318</v>
      </c>
      <c r="R62" s="7" t="s">
        <v>2065</v>
      </c>
    </row>
    <row r="63" spans="1:18">
      <c r="A63" s="7" t="s">
        <v>2155</v>
      </c>
      <c r="B63" s="7" t="s">
        <v>2067</v>
      </c>
      <c r="C63" s="7" t="s">
        <v>2138</v>
      </c>
      <c r="D63" s="7" t="s">
        <v>321</v>
      </c>
      <c r="E63" s="7" t="s">
        <v>281</v>
      </c>
      <c r="F63" s="7" t="s">
        <v>297</v>
      </c>
      <c r="G63" s="7" t="s">
        <v>368</v>
      </c>
      <c r="H63" s="7" t="s">
        <v>466</v>
      </c>
      <c r="I63" s="7" t="s">
        <v>258</v>
      </c>
      <c r="J63" s="7" t="s">
        <v>529</v>
      </c>
      <c r="K63" s="7"/>
      <c r="L63" s="7"/>
      <c r="M63" s="7" t="s">
        <v>260</v>
      </c>
      <c r="N63" s="7" t="s">
        <v>304</v>
      </c>
      <c r="O63" s="7" t="s">
        <v>195</v>
      </c>
      <c r="P63" s="7"/>
      <c r="Q63" s="7" t="s">
        <v>285</v>
      </c>
      <c r="R63" s="7" t="s">
        <v>2065</v>
      </c>
    </row>
    <row r="64" spans="1:18">
      <c r="A64" s="7" t="s">
        <v>2156</v>
      </c>
      <c r="B64" s="7" t="s">
        <v>2157</v>
      </c>
      <c r="C64" s="7" t="s">
        <v>1828</v>
      </c>
      <c r="D64" s="7" t="s">
        <v>853</v>
      </c>
      <c r="E64" s="7" t="s">
        <v>268</v>
      </c>
      <c r="F64" s="7" t="s">
        <v>269</v>
      </c>
      <c r="G64" s="7" t="s">
        <v>270</v>
      </c>
      <c r="H64" s="7" t="s">
        <v>115</v>
      </c>
      <c r="I64" s="7" t="s">
        <v>258</v>
      </c>
      <c r="J64" s="7" t="s">
        <v>351</v>
      </c>
      <c r="K64" s="7" t="s">
        <v>657</v>
      </c>
      <c r="L64" s="7" t="s">
        <v>917</v>
      </c>
      <c r="M64" s="7" t="s">
        <v>303</v>
      </c>
      <c r="N64" s="7" t="s">
        <v>276</v>
      </c>
      <c r="O64" s="7" t="s">
        <v>195</v>
      </c>
      <c r="P64" s="7" t="s">
        <v>8</v>
      </c>
      <c r="Q64" s="7" t="s">
        <v>285</v>
      </c>
      <c r="R64" s="7" t="s">
        <v>2065</v>
      </c>
    </row>
    <row r="65" spans="1:18">
      <c r="A65" s="7" t="s">
        <v>2158</v>
      </c>
      <c r="B65" s="7" t="s">
        <v>2159</v>
      </c>
      <c r="C65" s="7" t="s">
        <v>1828</v>
      </c>
      <c r="D65" s="7" t="s">
        <v>1393</v>
      </c>
      <c r="E65" s="7" t="s">
        <v>339</v>
      </c>
      <c r="F65" s="7" t="s">
        <v>256</v>
      </c>
      <c r="G65" s="7" t="s">
        <v>403</v>
      </c>
      <c r="H65" s="7" t="s">
        <v>115</v>
      </c>
      <c r="I65" s="7" t="s">
        <v>271</v>
      </c>
      <c r="J65" s="7" t="s">
        <v>411</v>
      </c>
      <c r="K65" s="7" t="s">
        <v>1946</v>
      </c>
      <c r="L65" s="7" t="s">
        <v>300</v>
      </c>
      <c r="M65" s="7" t="s">
        <v>293</v>
      </c>
      <c r="N65" s="7" t="s">
        <v>261</v>
      </c>
      <c r="O65" s="7" t="s">
        <v>169</v>
      </c>
      <c r="P65" s="7" t="s">
        <v>14</v>
      </c>
      <c r="Q65" s="7" t="s">
        <v>285</v>
      </c>
      <c r="R65" s="7" t="s">
        <v>2065</v>
      </c>
    </row>
    <row r="66" spans="1:18">
      <c r="A66" s="7" t="s">
        <v>2160</v>
      </c>
      <c r="B66" s="7" t="s">
        <v>2103</v>
      </c>
      <c r="C66" s="7" t="s">
        <v>2161</v>
      </c>
      <c r="D66" s="7" t="s">
        <v>1846</v>
      </c>
      <c r="E66" s="7" t="s">
        <v>339</v>
      </c>
      <c r="F66" s="7" t="s">
        <v>2162</v>
      </c>
      <c r="G66" s="7" t="s">
        <v>528</v>
      </c>
      <c r="H66" s="7" t="s">
        <v>115</v>
      </c>
      <c r="I66" s="7" t="s">
        <v>271</v>
      </c>
      <c r="J66" s="7" t="s">
        <v>323</v>
      </c>
      <c r="K66" s="7" t="s">
        <v>2163</v>
      </c>
      <c r="L66" s="7" t="s">
        <v>351</v>
      </c>
      <c r="M66" s="7" t="s">
        <v>303</v>
      </c>
      <c r="N66" s="7" t="s">
        <v>276</v>
      </c>
      <c r="O66" s="7" t="s">
        <v>195</v>
      </c>
      <c r="P66" s="7" t="s">
        <v>17</v>
      </c>
      <c r="Q66" s="7" t="s">
        <v>262</v>
      </c>
      <c r="R66" s="7" t="s">
        <v>2065</v>
      </c>
    </row>
    <row r="67" spans="1:18">
      <c r="A67" s="7" t="s">
        <v>2164</v>
      </c>
      <c r="B67" s="7" t="s">
        <v>2069</v>
      </c>
      <c r="C67" s="7" t="s">
        <v>1586</v>
      </c>
      <c r="D67" s="7" t="s">
        <v>2165</v>
      </c>
      <c r="E67" s="7" t="s">
        <v>268</v>
      </c>
      <c r="F67" s="7" t="s">
        <v>256</v>
      </c>
      <c r="G67" s="7" t="s">
        <v>886</v>
      </c>
      <c r="H67" s="7" t="s">
        <v>451</v>
      </c>
      <c r="I67" s="7" t="s">
        <v>271</v>
      </c>
      <c r="J67" s="7" t="s">
        <v>346</v>
      </c>
      <c r="K67" s="7" t="s">
        <v>1107</v>
      </c>
      <c r="L67" s="7" t="s">
        <v>723</v>
      </c>
      <c r="M67" s="7" t="s">
        <v>303</v>
      </c>
      <c r="N67" s="7" t="s">
        <v>261</v>
      </c>
      <c r="O67" s="7" t="s">
        <v>195</v>
      </c>
      <c r="P67" s="7" t="s">
        <v>8</v>
      </c>
      <c r="Q67" s="7" t="s">
        <v>318</v>
      </c>
      <c r="R67" s="7" t="s">
        <v>2065</v>
      </c>
    </row>
    <row r="68" spans="1:18">
      <c r="A68" s="7" t="s">
        <v>2166</v>
      </c>
      <c r="B68" s="7" t="s">
        <v>2114</v>
      </c>
      <c r="C68" s="7" t="s">
        <v>1823</v>
      </c>
      <c r="D68" s="7" t="s">
        <v>2167</v>
      </c>
      <c r="E68" s="7" t="s">
        <v>268</v>
      </c>
      <c r="F68" s="7" t="s">
        <v>282</v>
      </c>
      <c r="G68" s="7" t="s">
        <v>505</v>
      </c>
      <c r="H68" s="7" t="s">
        <v>115</v>
      </c>
      <c r="I68" s="7" t="s">
        <v>316</v>
      </c>
      <c r="J68" s="7" t="s">
        <v>341</v>
      </c>
      <c r="K68" s="7" t="s">
        <v>1379</v>
      </c>
      <c r="L68" s="7" t="s">
        <v>949</v>
      </c>
      <c r="M68" s="7" t="s">
        <v>275</v>
      </c>
      <c r="N68" s="7" t="s">
        <v>284</v>
      </c>
      <c r="O68" s="7" t="s">
        <v>169</v>
      </c>
      <c r="P68" s="7" t="s">
        <v>8</v>
      </c>
      <c r="Q68" s="7" t="s">
        <v>318</v>
      </c>
      <c r="R68" s="7" t="s">
        <v>2065</v>
      </c>
    </row>
    <row r="69" spans="1:18">
      <c r="A69" s="7" t="s">
        <v>2168</v>
      </c>
      <c r="B69" s="7" t="s">
        <v>2120</v>
      </c>
      <c r="C69" s="7" t="s">
        <v>1601</v>
      </c>
      <c r="D69" s="7" t="s">
        <v>624</v>
      </c>
      <c r="E69" s="7" t="s">
        <v>268</v>
      </c>
      <c r="F69" s="7" t="s">
        <v>297</v>
      </c>
      <c r="G69" s="7" t="s">
        <v>583</v>
      </c>
      <c r="H69" s="7" t="s">
        <v>115</v>
      </c>
      <c r="I69" s="7" t="s">
        <v>299</v>
      </c>
      <c r="J69" s="7" t="s">
        <v>411</v>
      </c>
      <c r="K69" s="7" t="s">
        <v>2169</v>
      </c>
      <c r="L69" s="7" t="s">
        <v>1037</v>
      </c>
      <c r="M69" s="7" t="s">
        <v>275</v>
      </c>
      <c r="N69" s="7" t="s">
        <v>304</v>
      </c>
      <c r="O69" s="7" t="s">
        <v>195</v>
      </c>
      <c r="P69" s="7" t="s">
        <v>8</v>
      </c>
      <c r="Q69" s="7" t="s">
        <v>318</v>
      </c>
      <c r="R69" s="7" t="s">
        <v>2065</v>
      </c>
    </row>
    <row r="70" spans="1:18">
      <c r="A70" s="7" t="s">
        <v>2170</v>
      </c>
      <c r="B70" s="7" t="s">
        <v>2135</v>
      </c>
      <c r="C70" s="7" t="s">
        <v>1826</v>
      </c>
      <c r="D70" s="7" t="s">
        <v>765</v>
      </c>
      <c r="E70" s="7" t="s">
        <v>339</v>
      </c>
      <c r="F70" s="7" t="s">
        <v>297</v>
      </c>
      <c r="G70" s="7" t="s">
        <v>780</v>
      </c>
      <c r="H70" s="7" t="s">
        <v>115</v>
      </c>
      <c r="I70" s="7" t="s">
        <v>299</v>
      </c>
      <c r="J70" s="7" t="s">
        <v>323</v>
      </c>
      <c r="K70" s="7" t="s">
        <v>1389</v>
      </c>
      <c r="L70" s="7" t="s">
        <v>688</v>
      </c>
      <c r="M70" s="7" t="s">
        <v>275</v>
      </c>
      <c r="N70" s="7" t="s">
        <v>304</v>
      </c>
      <c r="O70" s="7" t="s">
        <v>195</v>
      </c>
      <c r="P70" s="7" t="s">
        <v>14</v>
      </c>
      <c r="Q70" s="7" t="s">
        <v>305</v>
      </c>
      <c r="R70" s="7" t="s">
        <v>2065</v>
      </c>
    </row>
    <row r="71" spans="1:18">
      <c r="A71" s="7" t="s">
        <v>2171</v>
      </c>
      <c r="B71" s="7" t="s">
        <v>2091</v>
      </c>
      <c r="C71" s="7" t="s">
        <v>1859</v>
      </c>
      <c r="D71" s="7" t="s">
        <v>1478</v>
      </c>
      <c r="E71" s="7" t="s">
        <v>339</v>
      </c>
      <c r="F71" s="7" t="s">
        <v>282</v>
      </c>
      <c r="G71" s="7" t="s">
        <v>461</v>
      </c>
      <c r="H71" s="7" t="s">
        <v>115</v>
      </c>
      <c r="I71" s="7" t="s">
        <v>271</v>
      </c>
      <c r="J71" s="7" t="s">
        <v>300</v>
      </c>
      <c r="K71" s="7" t="s">
        <v>1037</v>
      </c>
      <c r="L71" s="7" t="s">
        <v>1182</v>
      </c>
      <c r="M71" s="7" t="s">
        <v>275</v>
      </c>
      <c r="N71" s="7" t="s">
        <v>284</v>
      </c>
      <c r="O71" s="7" t="s">
        <v>195</v>
      </c>
      <c r="P71" s="7" t="s">
        <v>17</v>
      </c>
      <c r="Q71" s="7" t="s">
        <v>318</v>
      </c>
      <c r="R71" s="7" t="s">
        <v>2065</v>
      </c>
    </row>
    <row r="72" spans="1:18">
      <c r="A72" s="7" t="s">
        <v>2172</v>
      </c>
      <c r="B72" s="7" t="s">
        <v>2145</v>
      </c>
      <c r="C72" s="7" t="s">
        <v>1856</v>
      </c>
      <c r="D72" s="7" t="s">
        <v>691</v>
      </c>
      <c r="E72" s="7" t="s">
        <v>255</v>
      </c>
      <c r="F72" s="7" t="s">
        <v>269</v>
      </c>
      <c r="G72" s="7" t="s">
        <v>391</v>
      </c>
      <c r="H72" s="7" t="s">
        <v>115</v>
      </c>
      <c r="I72" s="7" t="s">
        <v>299</v>
      </c>
      <c r="J72" s="7" t="s">
        <v>332</v>
      </c>
      <c r="K72" s="7" t="s">
        <v>607</v>
      </c>
      <c r="L72" s="7" t="s">
        <v>1479</v>
      </c>
      <c r="M72" s="7" t="s">
        <v>604</v>
      </c>
      <c r="N72" s="7" t="s">
        <v>276</v>
      </c>
      <c r="O72" s="7" t="s">
        <v>195</v>
      </c>
      <c r="P72" s="7" t="s">
        <v>14</v>
      </c>
      <c r="Q72" s="7" t="s">
        <v>285</v>
      </c>
      <c r="R72" s="7" t="s">
        <v>2065</v>
      </c>
    </row>
    <row r="73" spans="1:18">
      <c r="A73" s="7" t="s">
        <v>2173</v>
      </c>
      <c r="B73" s="7" t="s">
        <v>2077</v>
      </c>
      <c r="C73" s="7" t="s">
        <v>1888</v>
      </c>
      <c r="D73" s="7" t="s">
        <v>1262</v>
      </c>
      <c r="E73" s="7" t="s">
        <v>268</v>
      </c>
      <c r="F73" s="7" t="s">
        <v>409</v>
      </c>
      <c r="G73" s="7" t="s">
        <v>552</v>
      </c>
      <c r="H73" s="7" t="s">
        <v>115</v>
      </c>
      <c r="I73" s="7" t="s">
        <v>316</v>
      </c>
      <c r="J73" s="7" t="s">
        <v>351</v>
      </c>
      <c r="K73" s="7" t="s">
        <v>491</v>
      </c>
      <c r="L73" s="7" t="s">
        <v>607</v>
      </c>
      <c r="M73" s="7" t="s">
        <v>303</v>
      </c>
      <c r="N73" s="7" t="s">
        <v>412</v>
      </c>
      <c r="O73" s="7" t="s">
        <v>195</v>
      </c>
      <c r="P73" s="7" t="s">
        <v>14</v>
      </c>
      <c r="Q73" s="7" t="s">
        <v>285</v>
      </c>
      <c r="R73" s="7" t="s">
        <v>2065</v>
      </c>
    </row>
    <row r="74" spans="1:18">
      <c r="A74" s="7" t="s">
        <v>2174</v>
      </c>
      <c r="B74" s="7" t="s">
        <v>2118</v>
      </c>
      <c r="C74" s="7" t="s">
        <v>2120</v>
      </c>
      <c r="D74" s="7" t="s">
        <v>1239</v>
      </c>
      <c r="E74" s="7" t="s">
        <v>268</v>
      </c>
      <c r="F74" s="7" t="s">
        <v>256</v>
      </c>
      <c r="G74" s="7" t="s">
        <v>886</v>
      </c>
      <c r="H74" s="7" t="s">
        <v>115</v>
      </c>
      <c r="I74" s="7" t="s">
        <v>299</v>
      </c>
      <c r="J74" s="7" t="s">
        <v>323</v>
      </c>
      <c r="K74" s="7" t="s">
        <v>325</v>
      </c>
      <c r="L74" s="7" t="s">
        <v>2163</v>
      </c>
      <c r="M74" s="7" t="s">
        <v>303</v>
      </c>
      <c r="N74" s="7" t="s">
        <v>261</v>
      </c>
      <c r="O74" s="7" t="s">
        <v>195</v>
      </c>
      <c r="P74" s="7" t="s">
        <v>17</v>
      </c>
      <c r="Q74" s="7" t="s">
        <v>285</v>
      </c>
      <c r="R74" s="7" t="s">
        <v>2065</v>
      </c>
    </row>
    <row r="75" spans="1:18">
      <c r="A75" s="7" t="s">
        <v>2175</v>
      </c>
      <c r="B75" s="7" t="s">
        <v>2077</v>
      </c>
      <c r="C75" s="7" t="s">
        <v>1823</v>
      </c>
      <c r="D75" s="7" t="s">
        <v>2005</v>
      </c>
      <c r="E75" s="7" t="s">
        <v>255</v>
      </c>
      <c r="F75" s="7" t="s">
        <v>409</v>
      </c>
      <c r="G75" s="7" t="s">
        <v>648</v>
      </c>
      <c r="H75" s="7" t="s">
        <v>127</v>
      </c>
      <c r="I75" s="7" t="s">
        <v>271</v>
      </c>
      <c r="J75" s="7" t="s">
        <v>469</v>
      </c>
      <c r="K75" s="7"/>
      <c r="L75" s="7"/>
      <c r="M75" s="7" t="s">
        <v>260</v>
      </c>
      <c r="N75" s="7" t="s">
        <v>412</v>
      </c>
      <c r="O75" s="7" t="s">
        <v>195</v>
      </c>
      <c r="P75" s="7"/>
      <c r="Q75" s="7" t="s">
        <v>305</v>
      </c>
      <c r="R75" s="7" t="s">
        <v>2065</v>
      </c>
    </row>
    <row r="76" spans="1:18">
      <c r="A76" s="7" t="s">
        <v>2176</v>
      </c>
      <c r="B76" s="7" t="s">
        <v>2096</v>
      </c>
      <c r="C76" s="7" t="s">
        <v>1858</v>
      </c>
      <c r="D76" s="7" t="s">
        <v>820</v>
      </c>
      <c r="E76" s="7" t="s">
        <v>255</v>
      </c>
      <c r="F76" s="7" t="s">
        <v>269</v>
      </c>
      <c r="G76" s="7" t="s">
        <v>542</v>
      </c>
      <c r="H76" s="7" t="s">
        <v>127</v>
      </c>
      <c r="I76" s="7" t="s">
        <v>299</v>
      </c>
      <c r="J76" s="7" t="s">
        <v>351</v>
      </c>
      <c r="K76" s="7"/>
      <c r="L76" s="7"/>
      <c r="M76" s="7" t="s">
        <v>260</v>
      </c>
      <c r="N76" s="7" t="s">
        <v>276</v>
      </c>
      <c r="O76" s="7" t="s">
        <v>195</v>
      </c>
      <c r="P76" s="7"/>
      <c r="Q76" s="7" t="s">
        <v>262</v>
      </c>
      <c r="R76" s="7" t="s">
        <v>2065</v>
      </c>
    </row>
    <row r="77" spans="1:18">
      <c r="A77" s="7" t="s">
        <v>2177</v>
      </c>
      <c r="B77" s="7" t="s">
        <v>2077</v>
      </c>
      <c r="C77" s="7" t="s">
        <v>2178</v>
      </c>
      <c r="D77" s="7" t="s">
        <v>408</v>
      </c>
      <c r="E77" s="7" t="s">
        <v>268</v>
      </c>
      <c r="F77" s="7" t="s">
        <v>256</v>
      </c>
      <c r="G77" s="7" t="s">
        <v>419</v>
      </c>
      <c r="H77" s="7" t="s">
        <v>115</v>
      </c>
      <c r="I77" s="7" t="s">
        <v>271</v>
      </c>
      <c r="J77" s="7" t="s">
        <v>411</v>
      </c>
      <c r="K77" s="7" t="s">
        <v>2169</v>
      </c>
      <c r="L77" s="7" t="s">
        <v>1743</v>
      </c>
      <c r="M77" s="7" t="s">
        <v>335</v>
      </c>
      <c r="N77" s="7" t="s">
        <v>261</v>
      </c>
      <c r="O77" s="7" t="s">
        <v>195</v>
      </c>
      <c r="P77" s="7" t="s">
        <v>8</v>
      </c>
      <c r="Q77" s="7" t="s">
        <v>285</v>
      </c>
      <c r="R77" s="7" t="s">
        <v>2065</v>
      </c>
    </row>
    <row r="78" spans="1:18">
      <c r="A78" s="7" t="s">
        <v>2179</v>
      </c>
      <c r="B78" s="7" t="s">
        <v>2064</v>
      </c>
      <c r="C78" s="7" t="s">
        <v>1851</v>
      </c>
      <c r="D78" s="7" t="s">
        <v>736</v>
      </c>
      <c r="E78" s="7" t="s">
        <v>255</v>
      </c>
      <c r="F78" s="7" t="s">
        <v>282</v>
      </c>
      <c r="G78" s="7" t="s">
        <v>424</v>
      </c>
      <c r="H78" s="7" t="s">
        <v>115</v>
      </c>
      <c r="I78" s="7" t="s">
        <v>299</v>
      </c>
      <c r="J78" s="7" t="s">
        <v>469</v>
      </c>
      <c r="K78" s="7" t="s">
        <v>1628</v>
      </c>
      <c r="L78" s="7" t="s">
        <v>470</v>
      </c>
      <c r="M78" s="7" t="s">
        <v>275</v>
      </c>
      <c r="N78" s="7" t="s">
        <v>284</v>
      </c>
      <c r="O78" s="7" t="s">
        <v>169</v>
      </c>
      <c r="P78" s="7" t="s">
        <v>17</v>
      </c>
      <c r="Q78" s="7" t="s">
        <v>326</v>
      </c>
      <c r="R78" s="7" t="s">
        <v>2065</v>
      </c>
    </row>
    <row r="79" spans="1:18">
      <c r="A79" s="7" t="s">
        <v>2180</v>
      </c>
      <c r="B79" s="7" t="s">
        <v>2181</v>
      </c>
      <c r="C79" s="7" t="s">
        <v>1826</v>
      </c>
      <c r="D79" s="7" t="s">
        <v>486</v>
      </c>
      <c r="E79" s="7" t="s">
        <v>268</v>
      </c>
      <c r="F79" s="7" t="s">
        <v>256</v>
      </c>
      <c r="G79" s="7" t="s">
        <v>419</v>
      </c>
      <c r="H79" s="7" t="s">
        <v>115</v>
      </c>
      <c r="I79" s="7" t="s">
        <v>316</v>
      </c>
      <c r="J79" s="7" t="s">
        <v>300</v>
      </c>
      <c r="K79" s="7" t="s">
        <v>789</v>
      </c>
      <c r="L79" s="7" t="s">
        <v>742</v>
      </c>
      <c r="M79" s="7" t="s">
        <v>293</v>
      </c>
      <c r="N79" s="7" t="s">
        <v>261</v>
      </c>
      <c r="O79" s="7" t="s">
        <v>483</v>
      </c>
      <c r="P79" s="7" t="s">
        <v>11</v>
      </c>
      <c r="Q79" s="7" t="s">
        <v>318</v>
      </c>
      <c r="R79" s="7" t="s">
        <v>2065</v>
      </c>
    </row>
    <row r="80" spans="1:18">
      <c r="A80" s="7" t="s">
        <v>2182</v>
      </c>
      <c r="B80" s="7" t="s">
        <v>2161</v>
      </c>
      <c r="C80" s="7" t="s">
        <v>2130</v>
      </c>
      <c r="D80" s="7" t="s">
        <v>946</v>
      </c>
      <c r="E80" s="7" t="s">
        <v>281</v>
      </c>
      <c r="F80" s="7" t="s">
        <v>297</v>
      </c>
      <c r="G80" s="7" t="s">
        <v>298</v>
      </c>
      <c r="H80" s="7" t="s">
        <v>115</v>
      </c>
      <c r="I80" s="7" t="s">
        <v>271</v>
      </c>
      <c r="J80" s="7" t="s">
        <v>272</v>
      </c>
      <c r="K80" s="7" t="s">
        <v>425</v>
      </c>
      <c r="L80" s="7" t="s">
        <v>1562</v>
      </c>
      <c r="M80" s="7" t="s">
        <v>303</v>
      </c>
      <c r="N80" s="7" t="s">
        <v>304</v>
      </c>
      <c r="O80" s="7" t="s">
        <v>169</v>
      </c>
      <c r="P80" s="7" t="s">
        <v>11</v>
      </c>
      <c r="Q80" s="7" t="s">
        <v>305</v>
      </c>
      <c r="R80" s="7" t="s">
        <v>2065</v>
      </c>
    </row>
    <row r="81" spans="1:18">
      <c r="A81" s="7" t="s">
        <v>2183</v>
      </c>
      <c r="B81" s="7" t="s">
        <v>2145</v>
      </c>
      <c r="C81" s="7" t="s">
        <v>1837</v>
      </c>
      <c r="D81" s="7" t="s">
        <v>1206</v>
      </c>
      <c r="E81" s="7" t="s">
        <v>281</v>
      </c>
      <c r="F81" s="7" t="s">
        <v>282</v>
      </c>
      <c r="G81" s="7" t="s">
        <v>446</v>
      </c>
      <c r="H81" s="7" t="s">
        <v>122</v>
      </c>
      <c r="I81" s="7" t="s">
        <v>299</v>
      </c>
      <c r="J81" s="7" t="s">
        <v>447</v>
      </c>
      <c r="K81" s="7"/>
      <c r="L81" s="7"/>
      <c r="M81" s="7" t="s">
        <v>260</v>
      </c>
      <c r="N81" s="7" t="s">
        <v>284</v>
      </c>
      <c r="O81" s="7" t="s">
        <v>195</v>
      </c>
      <c r="P81" s="7"/>
      <c r="Q81" s="7" t="s">
        <v>305</v>
      </c>
      <c r="R81" s="7" t="s">
        <v>2065</v>
      </c>
    </row>
    <row r="82" spans="1:18">
      <c r="A82" s="7" t="s">
        <v>2184</v>
      </c>
      <c r="B82" s="7" t="s">
        <v>2103</v>
      </c>
      <c r="C82" s="7" t="s">
        <v>2077</v>
      </c>
      <c r="D82" s="7" t="s">
        <v>624</v>
      </c>
      <c r="E82" s="7" t="s">
        <v>255</v>
      </c>
      <c r="F82" s="7" t="s">
        <v>282</v>
      </c>
      <c r="G82" s="7" t="s">
        <v>290</v>
      </c>
      <c r="H82" s="7" t="s">
        <v>127</v>
      </c>
      <c r="I82" s="7" t="s">
        <v>316</v>
      </c>
      <c r="J82" s="7" t="s">
        <v>469</v>
      </c>
      <c r="K82" s="7"/>
      <c r="L82" s="7"/>
      <c r="M82" s="7" t="s">
        <v>260</v>
      </c>
      <c r="N82" s="7" t="s">
        <v>284</v>
      </c>
      <c r="O82" s="7" t="s">
        <v>169</v>
      </c>
      <c r="P82" s="7"/>
      <c r="Q82" s="7" t="s">
        <v>326</v>
      </c>
      <c r="R82" s="7" t="s">
        <v>2065</v>
      </c>
    </row>
    <row r="83" spans="1:18">
      <c r="A83" s="7" t="s">
        <v>2185</v>
      </c>
      <c r="B83" s="7" t="s">
        <v>2091</v>
      </c>
      <c r="C83" s="7" t="s">
        <v>1859</v>
      </c>
      <c r="D83" s="7" t="s">
        <v>309</v>
      </c>
      <c r="E83" s="7" t="s">
        <v>268</v>
      </c>
      <c r="F83" s="7" t="s">
        <v>269</v>
      </c>
      <c r="G83" s="7" t="s">
        <v>435</v>
      </c>
      <c r="H83" s="7" t="s">
        <v>115</v>
      </c>
      <c r="I83" s="7" t="s">
        <v>271</v>
      </c>
      <c r="J83" s="7" t="s">
        <v>525</v>
      </c>
      <c r="K83" s="7" t="s">
        <v>1073</v>
      </c>
      <c r="L83" s="7" t="s">
        <v>2151</v>
      </c>
      <c r="M83" s="7" t="s">
        <v>303</v>
      </c>
      <c r="N83" s="7" t="s">
        <v>276</v>
      </c>
      <c r="O83" s="7" t="s">
        <v>195</v>
      </c>
      <c r="P83" s="7" t="s">
        <v>14</v>
      </c>
      <c r="Q83" s="7" t="s">
        <v>305</v>
      </c>
      <c r="R83" s="7" t="s">
        <v>2065</v>
      </c>
    </row>
    <row r="84" spans="1:18">
      <c r="A84" s="7" t="s">
        <v>2186</v>
      </c>
      <c r="B84" s="7" t="s">
        <v>2084</v>
      </c>
      <c r="C84" s="7" t="s">
        <v>1576</v>
      </c>
      <c r="D84" s="7" t="s">
        <v>967</v>
      </c>
      <c r="E84" s="7" t="s">
        <v>339</v>
      </c>
      <c r="F84" s="7"/>
      <c r="G84" s="7" t="s">
        <v>501</v>
      </c>
      <c r="H84" s="7" t="s">
        <v>122</v>
      </c>
      <c r="I84" s="7" t="s">
        <v>271</v>
      </c>
      <c r="J84" s="7" t="s">
        <v>399</v>
      </c>
      <c r="K84" s="7"/>
      <c r="L84" s="7"/>
      <c r="M84" s="7" t="s">
        <v>260</v>
      </c>
      <c r="N84" s="7" t="s">
        <v>412</v>
      </c>
      <c r="O84" s="7" t="s">
        <v>195</v>
      </c>
      <c r="P84" s="7"/>
      <c r="Q84" s="7" t="s">
        <v>305</v>
      </c>
      <c r="R84" s="7" t="s">
        <v>2065</v>
      </c>
    </row>
    <row r="85" spans="1:18">
      <c r="A85" s="7" t="s">
        <v>2187</v>
      </c>
      <c r="B85" s="7" t="s">
        <v>2071</v>
      </c>
      <c r="C85" s="7" t="s">
        <v>1609</v>
      </c>
      <c r="D85" s="7" t="s">
        <v>1189</v>
      </c>
      <c r="E85" s="7" t="s">
        <v>255</v>
      </c>
      <c r="F85" s="7" t="s">
        <v>297</v>
      </c>
      <c r="G85" s="7" t="s">
        <v>331</v>
      </c>
      <c r="H85" s="7" t="s">
        <v>115</v>
      </c>
      <c r="I85" s="7" t="s">
        <v>316</v>
      </c>
      <c r="J85" s="7" t="s">
        <v>392</v>
      </c>
      <c r="K85" s="7" t="s">
        <v>456</v>
      </c>
      <c r="L85" s="7" t="s">
        <v>1771</v>
      </c>
      <c r="M85" s="7" t="s">
        <v>303</v>
      </c>
      <c r="N85" s="7" t="s">
        <v>304</v>
      </c>
      <c r="O85" s="7" t="s">
        <v>195</v>
      </c>
      <c r="P85" s="7" t="s">
        <v>17</v>
      </c>
      <c r="Q85" s="7" t="s">
        <v>326</v>
      </c>
      <c r="R85" s="7" t="s">
        <v>2065</v>
      </c>
    </row>
    <row r="86" spans="1:18">
      <c r="A86" s="7" t="s">
        <v>2188</v>
      </c>
      <c r="B86" s="7" t="s">
        <v>2075</v>
      </c>
      <c r="C86" s="7" t="s">
        <v>2077</v>
      </c>
      <c r="D86" s="7" t="s">
        <v>367</v>
      </c>
      <c r="E86" s="7" t="s">
        <v>255</v>
      </c>
      <c r="F86" s="7" t="s">
        <v>282</v>
      </c>
      <c r="G86" s="7" t="s">
        <v>424</v>
      </c>
      <c r="H86" s="7" t="s">
        <v>115</v>
      </c>
      <c r="I86" s="7" t="s">
        <v>258</v>
      </c>
      <c r="J86" s="7" t="s">
        <v>323</v>
      </c>
      <c r="K86" s="7" t="s">
        <v>751</v>
      </c>
      <c r="L86" s="7" t="s">
        <v>1389</v>
      </c>
      <c r="M86" s="7" t="s">
        <v>293</v>
      </c>
      <c r="N86" s="7" t="s">
        <v>284</v>
      </c>
      <c r="O86" s="7" t="s">
        <v>195</v>
      </c>
      <c r="P86" s="7" t="s">
        <v>14</v>
      </c>
      <c r="Q86" s="7" t="s">
        <v>305</v>
      </c>
      <c r="R86" s="7" t="s">
        <v>2065</v>
      </c>
    </row>
    <row r="87" spans="1:18">
      <c r="A87" s="7" t="s">
        <v>2189</v>
      </c>
      <c r="B87" s="7" t="s">
        <v>2130</v>
      </c>
      <c r="C87" s="7" t="s">
        <v>1820</v>
      </c>
      <c r="D87" s="7" t="s">
        <v>577</v>
      </c>
      <c r="E87" s="7" t="s">
        <v>281</v>
      </c>
      <c r="F87" s="7" t="s">
        <v>269</v>
      </c>
      <c r="G87" s="7" t="s">
        <v>363</v>
      </c>
      <c r="H87" s="7" t="s">
        <v>115</v>
      </c>
      <c r="I87" s="7" t="s">
        <v>299</v>
      </c>
      <c r="J87" s="7" t="s">
        <v>399</v>
      </c>
      <c r="K87" s="7" t="s">
        <v>1958</v>
      </c>
      <c r="L87" s="7" t="s">
        <v>1958</v>
      </c>
      <c r="M87" s="7" t="s">
        <v>335</v>
      </c>
      <c r="N87" s="7" t="s">
        <v>276</v>
      </c>
      <c r="O87" s="7" t="s">
        <v>195</v>
      </c>
      <c r="P87" s="7" t="s">
        <v>8</v>
      </c>
      <c r="Q87" s="7" t="s">
        <v>305</v>
      </c>
      <c r="R87" s="7" t="s">
        <v>2065</v>
      </c>
    </row>
    <row r="88" spans="1:18">
      <c r="A88" s="7" t="s">
        <v>2190</v>
      </c>
      <c r="B88" s="7" t="s">
        <v>2067</v>
      </c>
      <c r="C88" s="7" t="s">
        <v>1826</v>
      </c>
      <c r="D88" s="7" t="s">
        <v>1418</v>
      </c>
      <c r="E88" s="7" t="s">
        <v>339</v>
      </c>
      <c r="F88" s="7" t="s">
        <v>409</v>
      </c>
      <c r="G88" s="7" t="s">
        <v>501</v>
      </c>
      <c r="H88" s="7" t="s">
        <v>115</v>
      </c>
      <c r="I88" s="7" t="s">
        <v>316</v>
      </c>
      <c r="J88" s="7" t="s">
        <v>399</v>
      </c>
      <c r="K88" s="7" t="s">
        <v>1315</v>
      </c>
      <c r="L88" s="7" t="s">
        <v>520</v>
      </c>
      <c r="M88" s="7" t="s">
        <v>335</v>
      </c>
      <c r="N88" s="7" t="s">
        <v>412</v>
      </c>
      <c r="O88" s="7" t="s">
        <v>169</v>
      </c>
      <c r="P88" s="7" t="s">
        <v>664</v>
      </c>
      <c r="Q88" s="7" t="s">
        <v>318</v>
      </c>
      <c r="R88" s="7" t="s">
        <v>2065</v>
      </c>
    </row>
    <row r="89" spans="1:18">
      <c r="A89" s="7" t="s">
        <v>2191</v>
      </c>
      <c r="B89" s="7" t="s">
        <v>2138</v>
      </c>
      <c r="C89" s="7" t="s">
        <v>1583</v>
      </c>
      <c r="D89" s="7" t="s">
        <v>1123</v>
      </c>
      <c r="E89" s="7" t="s">
        <v>339</v>
      </c>
      <c r="F89" s="7" t="s">
        <v>269</v>
      </c>
      <c r="G89" s="7" t="s">
        <v>528</v>
      </c>
      <c r="H89" s="7" t="s">
        <v>122</v>
      </c>
      <c r="I89" s="7" t="s">
        <v>299</v>
      </c>
      <c r="J89" s="7" t="s">
        <v>399</v>
      </c>
      <c r="K89" s="7"/>
      <c r="L89" s="7"/>
      <c r="M89" s="7" t="s">
        <v>260</v>
      </c>
      <c r="N89" s="7" t="s">
        <v>276</v>
      </c>
      <c r="O89" s="7" t="s">
        <v>195</v>
      </c>
      <c r="P89" s="7"/>
      <c r="Q89" s="7" t="s">
        <v>318</v>
      </c>
      <c r="R89" s="7" t="s">
        <v>2065</v>
      </c>
    </row>
    <row r="90" spans="1:18">
      <c r="A90" s="7" t="s">
        <v>2192</v>
      </c>
      <c r="B90" s="7" t="s">
        <v>2064</v>
      </c>
      <c r="C90" s="7" t="s">
        <v>1852</v>
      </c>
      <c r="D90" s="7" t="s">
        <v>2165</v>
      </c>
      <c r="E90" s="7" t="s">
        <v>268</v>
      </c>
      <c r="F90" s="7" t="s">
        <v>297</v>
      </c>
      <c r="G90" s="7" t="s">
        <v>628</v>
      </c>
      <c r="H90" s="7" t="s">
        <v>115</v>
      </c>
      <c r="I90" s="7" t="s">
        <v>316</v>
      </c>
      <c r="J90" s="7" t="s">
        <v>392</v>
      </c>
      <c r="K90" s="7" t="s">
        <v>394</v>
      </c>
      <c r="L90" s="7" t="s">
        <v>1813</v>
      </c>
      <c r="M90" s="7" t="s">
        <v>303</v>
      </c>
      <c r="N90" s="7" t="s">
        <v>304</v>
      </c>
      <c r="O90" s="7" t="s">
        <v>195</v>
      </c>
      <c r="P90" s="7" t="s">
        <v>8</v>
      </c>
      <c r="Q90" s="7" t="s">
        <v>326</v>
      </c>
      <c r="R90" s="7" t="s">
        <v>2065</v>
      </c>
    </row>
    <row r="91" spans="1:18">
      <c r="A91" s="7" t="s">
        <v>2193</v>
      </c>
      <c r="B91" s="7" t="s">
        <v>2069</v>
      </c>
      <c r="C91" s="7" t="s">
        <v>1837</v>
      </c>
      <c r="D91" s="7" t="s">
        <v>465</v>
      </c>
      <c r="E91" s="7" t="s">
        <v>1015</v>
      </c>
      <c r="F91" s="7" t="s">
        <v>297</v>
      </c>
      <c r="G91" s="7" t="s">
        <v>583</v>
      </c>
      <c r="H91" s="7" t="s">
        <v>115</v>
      </c>
      <c r="I91" s="7" t="s">
        <v>271</v>
      </c>
      <c r="J91" s="7" t="s">
        <v>351</v>
      </c>
      <c r="K91" s="7" t="s">
        <v>1487</v>
      </c>
      <c r="L91" s="7" t="s">
        <v>1881</v>
      </c>
      <c r="M91" s="7" t="s">
        <v>303</v>
      </c>
      <c r="N91" s="7" t="s">
        <v>304</v>
      </c>
      <c r="O91" s="7" t="s">
        <v>169</v>
      </c>
      <c r="P91" s="7" t="s">
        <v>11</v>
      </c>
      <c r="Q91" s="7" t="s">
        <v>326</v>
      </c>
      <c r="R91" s="7" t="s">
        <v>2065</v>
      </c>
    </row>
    <row r="92" spans="1:18">
      <c r="A92" s="7" t="s">
        <v>2194</v>
      </c>
      <c r="B92" s="7" t="s">
        <v>2145</v>
      </c>
      <c r="C92" s="7" t="s">
        <v>1945</v>
      </c>
      <c r="D92" s="7" t="s">
        <v>1525</v>
      </c>
      <c r="E92" s="7" t="s">
        <v>339</v>
      </c>
      <c r="F92" s="7" t="s">
        <v>269</v>
      </c>
      <c r="G92" s="7" t="s">
        <v>528</v>
      </c>
      <c r="H92" s="7" t="s">
        <v>115</v>
      </c>
      <c r="I92" s="7" t="s">
        <v>271</v>
      </c>
      <c r="J92" s="7" t="s">
        <v>346</v>
      </c>
      <c r="K92" s="7" t="s">
        <v>2195</v>
      </c>
      <c r="L92" s="7" t="s">
        <v>1339</v>
      </c>
      <c r="M92" s="7" t="s">
        <v>293</v>
      </c>
      <c r="N92" s="7" t="s">
        <v>276</v>
      </c>
      <c r="O92" s="7" t="s">
        <v>195</v>
      </c>
      <c r="P92" s="7" t="s">
        <v>11</v>
      </c>
      <c r="Q92" s="7" t="s">
        <v>326</v>
      </c>
      <c r="R92" s="7" t="s">
        <v>2065</v>
      </c>
    </row>
    <row r="93" spans="1:18">
      <c r="A93" s="7" t="s">
        <v>2196</v>
      </c>
      <c r="B93" s="7" t="s">
        <v>2178</v>
      </c>
      <c r="C93" s="7" t="s">
        <v>2161</v>
      </c>
      <c r="D93" s="7" t="s">
        <v>1393</v>
      </c>
      <c r="E93" s="7" t="s">
        <v>255</v>
      </c>
      <c r="F93" s="7" t="s">
        <v>256</v>
      </c>
      <c r="G93" s="7" t="s">
        <v>257</v>
      </c>
      <c r="H93" s="7" t="s">
        <v>115</v>
      </c>
      <c r="I93" s="7" t="s">
        <v>316</v>
      </c>
      <c r="J93" s="7" t="s">
        <v>404</v>
      </c>
      <c r="K93" s="7" t="s">
        <v>745</v>
      </c>
      <c r="L93" s="7" t="s">
        <v>880</v>
      </c>
      <c r="M93" s="7" t="s">
        <v>303</v>
      </c>
      <c r="N93" s="7" t="s">
        <v>261</v>
      </c>
      <c r="O93" s="7" t="s">
        <v>169</v>
      </c>
      <c r="P93" s="7" t="s">
        <v>11</v>
      </c>
      <c r="Q93" s="7" t="s">
        <v>326</v>
      </c>
      <c r="R93" s="7" t="s">
        <v>2065</v>
      </c>
    </row>
    <row r="94" spans="1:18">
      <c r="A94" s="7" t="s">
        <v>2197</v>
      </c>
      <c r="B94" s="7" t="s">
        <v>2080</v>
      </c>
      <c r="C94" s="7" t="s">
        <v>2114</v>
      </c>
      <c r="D94" s="7" t="s">
        <v>837</v>
      </c>
      <c r="E94" s="7" t="s">
        <v>255</v>
      </c>
      <c r="F94" s="7" t="s">
        <v>269</v>
      </c>
      <c r="G94" s="7" t="s">
        <v>542</v>
      </c>
      <c r="H94" s="7" t="s">
        <v>115</v>
      </c>
      <c r="I94" s="7" t="s">
        <v>258</v>
      </c>
      <c r="J94" s="7" t="s">
        <v>300</v>
      </c>
      <c r="K94" s="7" t="s">
        <v>596</v>
      </c>
      <c r="L94" s="7" t="s">
        <v>1652</v>
      </c>
      <c r="M94" s="7" t="s">
        <v>686</v>
      </c>
      <c r="N94" s="7" t="s">
        <v>276</v>
      </c>
      <c r="O94" s="7" t="s">
        <v>169</v>
      </c>
      <c r="P94" s="7" t="s">
        <v>14</v>
      </c>
      <c r="Q94" s="7" t="s">
        <v>262</v>
      </c>
      <c r="R94" s="7" t="s">
        <v>2065</v>
      </c>
    </row>
    <row r="95" spans="1:18">
      <c r="A95" s="7" t="s">
        <v>2198</v>
      </c>
      <c r="B95" s="7" t="s">
        <v>2145</v>
      </c>
      <c r="C95" s="7" t="s">
        <v>2084</v>
      </c>
      <c r="D95" s="7" t="s">
        <v>1065</v>
      </c>
      <c r="E95" s="7" t="s">
        <v>255</v>
      </c>
      <c r="F95" s="7" t="s">
        <v>409</v>
      </c>
      <c r="G95" s="7" t="s">
        <v>648</v>
      </c>
      <c r="H95" s="7" t="s">
        <v>115</v>
      </c>
      <c r="I95" s="7" t="s">
        <v>258</v>
      </c>
      <c r="J95" s="7" t="s">
        <v>447</v>
      </c>
      <c r="K95" s="7" t="s">
        <v>773</v>
      </c>
      <c r="L95" s="7" t="s">
        <v>1459</v>
      </c>
      <c r="M95" s="7" t="s">
        <v>293</v>
      </c>
      <c r="N95" s="7" t="s">
        <v>412</v>
      </c>
      <c r="O95" s="7" t="s">
        <v>195</v>
      </c>
      <c r="P95" s="7" t="s">
        <v>17</v>
      </c>
      <c r="Q95" s="7" t="s">
        <v>262</v>
      </c>
      <c r="R95" s="7" t="s">
        <v>2065</v>
      </c>
    </row>
    <row r="96" spans="1:18">
      <c r="A96" s="7" t="s">
        <v>2199</v>
      </c>
      <c r="B96" s="7" t="s">
        <v>2118</v>
      </c>
      <c r="C96" s="7" t="s">
        <v>2114</v>
      </c>
      <c r="D96" s="7" t="s">
        <v>967</v>
      </c>
      <c r="E96" s="7" t="s">
        <v>339</v>
      </c>
      <c r="F96" s="7" t="s">
        <v>269</v>
      </c>
      <c r="G96" s="7" t="s">
        <v>528</v>
      </c>
      <c r="H96" s="7" t="s">
        <v>115</v>
      </c>
      <c r="I96" s="7" t="s">
        <v>299</v>
      </c>
      <c r="J96" s="7" t="s">
        <v>323</v>
      </c>
      <c r="K96" s="7" t="s">
        <v>2031</v>
      </c>
      <c r="L96" s="7" t="s">
        <v>1489</v>
      </c>
      <c r="M96" s="7" t="s">
        <v>335</v>
      </c>
      <c r="N96" s="7" t="s">
        <v>276</v>
      </c>
      <c r="O96" s="7" t="s">
        <v>195</v>
      </c>
      <c r="P96" s="7" t="s">
        <v>17</v>
      </c>
      <c r="Q96" s="7" t="s">
        <v>285</v>
      </c>
      <c r="R96" s="7" t="s">
        <v>2065</v>
      </c>
    </row>
    <row r="97" spans="1:18">
      <c r="A97" s="7" t="s">
        <v>2200</v>
      </c>
      <c r="B97" s="7" t="s">
        <v>2150</v>
      </c>
      <c r="C97" s="7" t="s">
        <v>1888</v>
      </c>
      <c r="D97" s="7" t="s">
        <v>1864</v>
      </c>
      <c r="E97" s="7" t="s">
        <v>268</v>
      </c>
      <c r="F97" s="7" t="s">
        <v>269</v>
      </c>
      <c r="G97" s="7" t="s">
        <v>270</v>
      </c>
      <c r="H97" s="7" t="s">
        <v>115</v>
      </c>
      <c r="I97" s="7" t="s">
        <v>258</v>
      </c>
      <c r="J97" s="7" t="s">
        <v>332</v>
      </c>
      <c r="K97" s="7" t="s">
        <v>332</v>
      </c>
      <c r="L97" s="7" t="s">
        <v>259</v>
      </c>
      <c r="M97" s="7" t="s">
        <v>303</v>
      </c>
      <c r="N97" s="7" t="s">
        <v>276</v>
      </c>
      <c r="O97" s="7" t="s">
        <v>195</v>
      </c>
      <c r="P97" s="7" t="s">
        <v>14</v>
      </c>
      <c r="Q97" s="7" t="s">
        <v>318</v>
      </c>
      <c r="R97" s="7" t="s">
        <v>2065</v>
      </c>
    </row>
    <row r="98" spans="1:18">
      <c r="A98" s="7" t="s">
        <v>2201</v>
      </c>
      <c r="B98" s="7" t="s">
        <v>2118</v>
      </c>
      <c r="C98" s="7" t="s">
        <v>2098</v>
      </c>
      <c r="D98" s="7" t="s">
        <v>460</v>
      </c>
      <c r="E98" s="7" t="s">
        <v>268</v>
      </c>
      <c r="F98" s="7" t="s">
        <v>297</v>
      </c>
      <c r="G98" s="7" t="s">
        <v>583</v>
      </c>
      <c r="H98" s="7" t="s">
        <v>696</v>
      </c>
      <c r="I98" s="7" t="s">
        <v>299</v>
      </c>
      <c r="J98" s="7" t="s">
        <v>300</v>
      </c>
      <c r="K98" s="7" t="s">
        <v>991</v>
      </c>
      <c r="L98" s="7" t="s">
        <v>2202</v>
      </c>
      <c r="M98" s="7" t="s">
        <v>335</v>
      </c>
      <c r="N98" s="7" t="s">
        <v>304</v>
      </c>
      <c r="O98" s="7" t="s">
        <v>169</v>
      </c>
      <c r="P98" s="7" t="s">
        <v>11</v>
      </c>
      <c r="Q98" s="7" t="s">
        <v>262</v>
      </c>
      <c r="R98" s="7" t="s">
        <v>2065</v>
      </c>
    </row>
    <row r="99" spans="1:18">
      <c r="A99" s="7" t="s">
        <v>2203</v>
      </c>
      <c r="B99" s="7" t="s">
        <v>2138</v>
      </c>
      <c r="C99" s="7" t="s">
        <v>1888</v>
      </c>
      <c r="D99" s="7" t="s">
        <v>541</v>
      </c>
      <c r="E99" s="7" t="s">
        <v>268</v>
      </c>
      <c r="F99" s="7" t="s">
        <v>282</v>
      </c>
      <c r="G99" s="7" t="s">
        <v>524</v>
      </c>
      <c r="H99" s="7" t="s">
        <v>115</v>
      </c>
      <c r="I99" s="7" t="s">
        <v>1133</v>
      </c>
      <c r="J99" s="7" t="s">
        <v>259</v>
      </c>
      <c r="K99" s="7" t="s">
        <v>1300</v>
      </c>
      <c r="L99" s="7" t="s">
        <v>1411</v>
      </c>
      <c r="M99" s="7" t="s">
        <v>303</v>
      </c>
      <c r="N99" s="7" t="s">
        <v>284</v>
      </c>
      <c r="O99" s="7" t="s">
        <v>195</v>
      </c>
      <c r="P99" s="7" t="s">
        <v>11</v>
      </c>
      <c r="Q99" s="7" t="s">
        <v>318</v>
      </c>
      <c r="R99" s="7" t="s">
        <v>2065</v>
      </c>
    </row>
    <row r="100" spans="1:18">
      <c r="A100" s="7" t="s">
        <v>2204</v>
      </c>
      <c r="B100" s="7" t="s">
        <v>2088</v>
      </c>
      <c r="C100" s="7" t="s">
        <v>1834</v>
      </c>
      <c r="D100" s="7" t="s">
        <v>921</v>
      </c>
      <c r="E100" s="7" t="s">
        <v>339</v>
      </c>
      <c r="F100" s="7" t="s">
        <v>409</v>
      </c>
      <c r="G100" s="7" t="s">
        <v>501</v>
      </c>
      <c r="H100" s="7" t="s">
        <v>115</v>
      </c>
      <c r="I100" s="7" t="s">
        <v>258</v>
      </c>
      <c r="J100" s="7" t="s">
        <v>358</v>
      </c>
      <c r="K100" s="7" t="s">
        <v>713</v>
      </c>
      <c r="L100" s="7" t="s">
        <v>431</v>
      </c>
      <c r="M100" s="7" t="s">
        <v>293</v>
      </c>
      <c r="N100" s="7" t="s">
        <v>412</v>
      </c>
      <c r="O100" s="7" t="s">
        <v>195</v>
      </c>
      <c r="P100" s="7" t="s">
        <v>14</v>
      </c>
      <c r="Q100" s="7" t="s">
        <v>285</v>
      </c>
      <c r="R100" s="7" t="s">
        <v>2065</v>
      </c>
    </row>
    <row r="101" spans="1:18">
      <c r="A101" s="7" t="s">
        <v>2205</v>
      </c>
      <c r="B101" s="7" t="s">
        <v>2118</v>
      </c>
      <c r="C101" s="7" t="s">
        <v>2098</v>
      </c>
      <c r="D101" s="7" t="s">
        <v>989</v>
      </c>
      <c r="E101" s="7" t="s">
        <v>281</v>
      </c>
      <c r="F101" s="7" t="s">
        <v>297</v>
      </c>
      <c r="G101" s="7" t="s">
        <v>368</v>
      </c>
      <c r="H101" s="7" t="s">
        <v>127</v>
      </c>
      <c r="I101" s="7" t="s">
        <v>316</v>
      </c>
      <c r="J101" s="7" t="s">
        <v>447</v>
      </c>
      <c r="K101" s="7"/>
      <c r="L101" s="7"/>
      <c r="M101" s="7" t="s">
        <v>260</v>
      </c>
      <c r="N101" s="7" t="s">
        <v>304</v>
      </c>
      <c r="O101" s="7" t="s">
        <v>195</v>
      </c>
      <c r="P101" s="7"/>
      <c r="Q101" s="7" t="s">
        <v>285</v>
      </c>
      <c r="R101" s="7" t="s">
        <v>2065</v>
      </c>
    </row>
    <row r="102" spans="1:18">
      <c r="A102" s="7" t="s">
        <v>2206</v>
      </c>
      <c r="B102" s="7" t="s">
        <v>709</v>
      </c>
      <c r="C102" s="7" t="s">
        <v>1591</v>
      </c>
      <c r="D102" s="7" t="s">
        <v>1012</v>
      </c>
      <c r="E102" s="7" t="s">
        <v>268</v>
      </c>
      <c r="F102" s="7" t="s">
        <v>269</v>
      </c>
      <c r="G102" s="7" t="s">
        <v>270</v>
      </c>
      <c r="H102" s="7" t="s">
        <v>115</v>
      </c>
      <c r="I102" s="7" t="s">
        <v>316</v>
      </c>
      <c r="J102" s="7" t="s">
        <v>404</v>
      </c>
      <c r="K102" s="7" t="s">
        <v>1462</v>
      </c>
      <c r="L102" s="7" t="s">
        <v>1789</v>
      </c>
      <c r="M102" s="7" t="s">
        <v>303</v>
      </c>
      <c r="N102" s="7" t="s">
        <v>276</v>
      </c>
      <c r="O102" s="7" t="s">
        <v>195</v>
      </c>
      <c r="P102" s="7" t="s">
        <v>17</v>
      </c>
      <c r="Q102" s="7" t="s">
        <v>262</v>
      </c>
      <c r="R102" s="7" t="s">
        <v>2065</v>
      </c>
    </row>
    <row r="103" spans="1:18">
      <c r="A103" s="7" t="s">
        <v>2207</v>
      </c>
      <c r="B103" s="7" t="s">
        <v>2114</v>
      </c>
      <c r="C103" s="7" t="s">
        <v>2084</v>
      </c>
      <c r="D103" s="7" t="s">
        <v>1088</v>
      </c>
      <c r="E103" s="7" t="s">
        <v>268</v>
      </c>
      <c r="F103" s="7" t="s">
        <v>256</v>
      </c>
      <c r="G103" s="7" t="s">
        <v>419</v>
      </c>
      <c r="H103" s="7" t="s">
        <v>115</v>
      </c>
      <c r="I103" s="7" t="s">
        <v>258</v>
      </c>
      <c r="J103" s="7" t="s">
        <v>525</v>
      </c>
      <c r="K103" s="7" t="s">
        <v>1440</v>
      </c>
      <c r="L103" s="7" t="s">
        <v>2151</v>
      </c>
      <c r="M103" s="7" t="s">
        <v>335</v>
      </c>
      <c r="N103" s="7" t="s">
        <v>261</v>
      </c>
      <c r="O103" s="7" t="s">
        <v>169</v>
      </c>
      <c r="P103" s="7" t="s">
        <v>17</v>
      </c>
      <c r="Q103" s="7" t="s">
        <v>305</v>
      </c>
      <c r="R103" s="7" t="s">
        <v>2065</v>
      </c>
    </row>
    <row r="104" spans="1:18">
      <c r="A104" s="7" t="s">
        <v>2208</v>
      </c>
      <c r="B104" s="7" t="s">
        <v>2096</v>
      </c>
      <c r="C104" s="7" t="s">
        <v>1841</v>
      </c>
      <c r="D104" s="7" t="s">
        <v>1246</v>
      </c>
      <c r="E104" s="7" t="s">
        <v>268</v>
      </c>
      <c r="F104" s="7" t="s">
        <v>297</v>
      </c>
      <c r="G104" s="7" t="s">
        <v>628</v>
      </c>
      <c r="H104" s="7" t="s">
        <v>466</v>
      </c>
      <c r="I104" s="7" t="s">
        <v>271</v>
      </c>
      <c r="J104" s="7" t="s">
        <v>404</v>
      </c>
      <c r="K104" s="7"/>
      <c r="L104" s="7"/>
      <c r="M104" s="7" t="s">
        <v>260</v>
      </c>
      <c r="N104" s="7" t="s">
        <v>304</v>
      </c>
      <c r="O104" s="7" t="s">
        <v>195</v>
      </c>
      <c r="P104" s="7"/>
      <c r="Q104" s="7" t="s">
        <v>305</v>
      </c>
      <c r="R104" s="7" t="s">
        <v>2065</v>
      </c>
    </row>
    <row r="105" spans="1:18">
      <c r="A105" s="7" t="s">
        <v>2209</v>
      </c>
      <c r="B105" s="7" t="s">
        <v>2080</v>
      </c>
      <c r="C105" s="7" t="s">
        <v>1825</v>
      </c>
      <c r="D105" s="7" t="s">
        <v>465</v>
      </c>
      <c r="E105" s="7" t="s">
        <v>255</v>
      </c>
      <c r="F105" s="7" t="s">
        <v>297</v>
      </c>
      <c r="G105" s="7" t="s">
        <v>331</v>
      </c>
      <c r="H105" s="7" t="s">
        <v>122</v>
      </c>
      <c r="I105" s="7" t="s">
        <v>258</v>
      </c>
      <c r="J105" s="7" t="s">
        <v>447</v>
      </c>
      <c r="K105" s="7"/>
      <c r="L105" s="7"/>
      <c r="M105" s="7" t="s">
        <v>260</v>
      </c>
      <c r="N105" s="7" t="s">
        <v>304</v>
      </c>
      <c r="O105" s="7" t="s">
        <v>195</v>
      </c>
      <c r="P105" s="7"/>
      <c r="Q105" s="7" t="s">
        <v>262</v>
      </c>
      <c r="R105" s="7" t="s">
        <v>2065</v>
      </c>
    </row>
    <row r="106" spans="1:18">
      <c r="A106" s="7" t="s">
        <v>2210</v>
      </c>
      <c r="B106" s="7" t="s">
        <v>2084</v>
      </c>
      <c r="C106" s="7" t="s">
        <v>1837</v>
      </c>
      <c r="D106" s="7" t="s">
        <v>756</v>
      </c>
      <c r="E106" s="7" t="s">
        <v>281</v>
      </c>
      <c r="F106" s="7" t="s">
        <v>282</v>
      </c>
      <c r="G106" s="7" t="s">
        <v>725</v>
      </c>
      <c r="H106" s="7" t="s">
        <v>115</v>
      </c>
      <c r="I106" s="7" t="s">
        <v>316</v>
      </c>
      <c r="J106" s="7" t="s">
        <v>404</v>
      </c>
      <c r="K106" s="7" t="s">
        <v>1531</v>
      </c>
      <c r="L106" s="7" t="s">
        <v>650</v>
      </c>
      <c r="M106" s="7" t="s">
        <v>275</v>
      </c>
      <c r="N106" s="7" t="s">
        <v>284</v>
      </c>
      <c r="O106" s="7" t="s">
        <v>195</v>
      </c>
      <c r="P106" s="7" t="s">
        <v>17</v>
      </c>
      <c r="Q106" s="7" t="s">
        <v>262</v>
      </c>
      <c r="R106" s="7" t="s">
        <v>2065</v>
      </c>
    </row>
    <row r="107" spans="1:18">
      <c r="A107" s="7" t="s">
        <v>2211</v>
      </c>
      <c r="B107" s="7" t="s">
        <v>2084</v>
      </c>
      <c r="C107" s="7" t="s">
        <v>1834</v>
      </c>
      <c r="D107" s="7" t="s">
        <v>694</v>
      </c>
      <c r="E107" s="7" t="s">
        <v>255</v>
      </c>
      <c r="F107" s="7" t="s">
        <v>297</v>
      </c>
      <c r="G107" s="7" t="s">
        <v>331</v>
      </c>
      <c r="H107" s="7" t="s">
        <v>122</v>
      </c>
      <c r="I107" s="7" t="s">
        <v>271</v>
      </c>
      <c r="J107" s="7" t="s">
        <v>351</v>
      </c>
      <c r="K107" s="7"/>
      <c r="L107" s="7"/>
      <c r="M107" s="7" t="s">
        <v>260</v>
      </c>
      <c r="N107" s="7" t="s">
        <v>304</v>
      </c>
      <c r="O107" s="7" t="s">
        <v>195</v>
      </c>
      <c r="P107" s="7"/>
      <c r="Q107" s="7" t="s">
        <v>305</v>
      </c>
      <c r="R107" s="7" t="s">
        <v>2065</v>
      </c>
    </row>
    <row r="108" spans="1:18">
      <c r="A108" s="7" t="s">
        <v>2212</v>
      </c>
      <c r="B108" s="7" t="s">
        <v>2088</v>
      </c>
      <c r="C108" s="7" t="s">
        <v>1832</v>
      </c>
      <c r="D108" s="7" t="s">
        <v>315</v>
      </c>
      <c r="E108" s="7" t="s">
        <v>281</v>
      </c>
      <c r="F108" s="7" t="s">
        <v>269</v>
      </c>
      <c r="G108" s="7" t="s">
        <v>322</v>
      </c>
      <c r="H108" s="7" t="s">
        <v>127</v>
      </c>
      <c r="I108" s="7" t="s">
        <v>299</v>
      </c>
      <c r="J108" s="7" t="s">
        <v>272</v>
      </c>
      <c r="K108" s="7"/>
      <c r="L108" s="7"/>
      <c r="M108" s="7" t="s">
        <v>260</v>
      </c>
      <c r="N108" s="7" t="s">
        <v>276</v>
      </c>
      <c r="O108" s="7" t="s">
        <v>195</v>
      </c>
      <c r="P108" s="7"/>
      <c r="Q108" s="7" t="s">
        <v>285</v>
      </c>
      <c r="R108" s="7" t="s">
        <v>2065</v>
      </c>
    </row>
    <row r="109" spans="1:18">
      <c r="A109" s="7" t="s">
        <v>2213</v>
      </c>
      <c r="B109" s="7" t="s">
        <v>2118</v>
      </c>
      <c r="C109" s="7" t="s">
        <v>1687</v>
      </c>
      <c r="D109" s="7" t="s">
        <v>691</v>
      </c>
      <c r="E109" s="7" t="s">
        <v>281</v>
      </c>
      <c r="F109" s="7" t="s">
        <v>409</v>
      </c>
      <c r="G109" s="7" t="s">
        <v>496</v>
      </c>
      <c r="H109" s="7" t="s">
        <v>115</v>
      </c>
      <c r="I109" s="7" t="s">
        <v>258</v>
      </c>
      <c r="J109" s="7" t="s">
        <v>346</v>
      </c>
      <c r="K109" s="7" t="s">
        <v>2214</v>
      </c>
      <c r="L109" s="7" t="s">
        <v>2215</v>
      </c>
      <c r="M109" s="7" t="s">
        <v>303</v>
      </c>
      <c r="N109" s="7" t="s">
        <v>412</v>
      </c>
      <c r="O109" s="7" t="s">
        <v>169</v>
      </c>
      <c r="P109" s="7" t="s">
        <v>17</v>
      </c>
      <c r="Q109" s="7" t="s">
        <v>305</v>
      </c>
      <c r="R109" s="7" t="s">
        <v>2065</v>
      </c>
    </row>
    <row r="110" spans="1:18">
      <c r="A110" s="7" t="s">
        <v>2216</v>
      </c>
      <c r="B110" s="7" t="s">
        <v>2091</v>
      </c>
      <c r="C110" s="7" t="s">
        <v>2064</v>
      </c>
      <c r="D110" s="7" t="s">
        <v>1144</v>
      </c>
      <c r="E110" s="7" t="s">
        <v>268</v>
      </c>
      <c r="F110" s="7" t="s">
        <v>269</v>
      </c>
      <c r="G110" s="7" t="s">
        <v>435</v>
      </c>
      <c r="H110" s="7" t="s">
        <v>122</v>
      </c>
      <c r="I110" s="7" t="s">
        <v>299</v>
      </c>
      <c r="J110" s="7" t="s">
        <v>341</v>
      </c>
      <c r="K110" s="7"/>
      <c r="L110" s="7"/>
      <c r="M110" s="7" t="s">
        <v>260</v>
      </c>
      <c r="N110" s="7" t="s">
        <v>276</v>
      </c>
      <c r="O110" s="7" t="s">
        <v>195</v>
      </c>
      <c r="P110" s="7"/>
      <c r="Q110" s="7" t="s">
        <v>305</v>
      </c>
      <c r="R110" s="7" t="s">
        <v>2065</v>
      </c>
    </row>
    <row r="111" spans="1:18">
      <c r="A111" s="7" t="s">
        <v>2217</v>
      </c>
      <c r="B111" s="7" t="s">
        <v>2079</v>
      </c>
      <c r="C111" s="7" t="s">
        <v>2130</v>
      </c>
      <c r="D111" s="7" t="s">
        <v>1755</v>
      </c>
      <c r="E111" s="7" t="s">
        <v>339</v>
      </c>
      <c r="F111" s="7" t="s">
        <v>297</v>
      </c>
      <c r="G111" s="7" t="s">
        <v>780</v>
      </c>
      <c r="H111" s="7" t="s">
        <v>115</v>
      </c>
      <c r="I111" s="7" t="s">
        <v>258</v>
      </c>
      <c r="J111" s="7" t="s">
        <v>341</v>
      </c>
      <c r="K111" s="7" t="s">
        <v>1139</v>
      </c>
      <c r="L111" s="7" t="s">
        <v>841</v>
      </c>
      <c r="M111" s="7" t="s">
        <v>275</v>
      </c>
      <c r="N111" s="7" t="s">
        <v>1163</v>
      </c>
      <c r="O111" s="7" t="s">
        <v>195</v>
      </c>
      <c r="P111" s="7" t="s">
        <v>14</v>
      </c>
      <c r="Q111" s="7" t="s">
        <v>262</v>
      </c>
      <c r="R111" s="7" t="s">
        <v>2065</v>
      </c>
    </row>
    <row r="112" spans="1:18">
      <c r="A112" s="7" t="s">
        <v>2218</v>
      </c>
      <c r="B112" s="7" t="s">
        <v>2077</v>
      </c>
      <c r="C112" s="7" t="s">
        <v>2088</v>
      </c>
      <c r="D112" s="7" t="s">
        <v>280</v>
      </c>
      <c r="E112" s="7" t="s">
        <v>281</v>
      </c>
      <c r="F112" s="7" t="s">
        <v>282</v>
      </c>
      <c r="G112" s="7" t="s">
        <v>283</v>
      </c>
      <c r="H112" s="7" t="s">
        <v>115</v>
      </c>
      <c r="I112" s="7" t="s">
        <v>316</v>
      </c>
      <c r="J112" s="7" t="s">
        <v>346</v>
      </c>
      <c r="K112" s="7" t="s">
        <v>1107</v>
      </c>
      <c r="L112" s="7" t="s">
        <v>1000</v>
      </c>
      <c r="M112" s="7" t="s">
        <v>335</v>
      </c>
      <c r="N112" s="7" t="s">
        <v>686</v>
      </c>
      <c r="O112" s="7" t="s">
        <v>195</v>
      </c>
      <c r="P112" s="7" t="s">
        <v>14</v>
      </c>
      <c r="Q112" s="7" t="s">
        <v>326</v>
      </c>
      <c r="R112" s="7" t="s">
        <v>2065</v>
      </c>
    </row>
    <row r="113" spans="1:18">
      <c r="A113" s="7" t="s">
        <v>2219</v>
      </c>
      <c r="B113" s="7" t="s">
        <v>2114</v>
      </c>
      <c r="C113" s="7" t="s">
        <v>1868</v>
      </c>
      <c r="D113" s="7" t="s">
        <v>2220</v>
      </c>
      <c r="E113" s="7" t="s">
        <v>255</v>
      </c>
      <c r="F113" s="7" t="s">
        <v>409</v>
      </c>
      <c r="G113" s="7" t="s">
        <v>410</v>
      </c>
      <c r="H113" s="7" t="s">
        <v>115</v>
      </c>
      <c r="I113" s="7" t="s">
        <v>316</v>
      </c>
      <c r="J113" s="7" t="s">
        <v>529</v>
      </c>
      <c r="K113" s="7" t="s">
        <v>971</v>
      </c>
      <c r="L113" s="7" t="s">
        <v>1149</v>
      </c>
      <c r="M113" s="7" t="s">
        <v>303</v>
      </c>
      <c r="N113" s="7" t="s">
        <v>412</v>
      </c>
      <c r="O113" s="7" t="s">
        <v>169</v>
      </c>
      <c r="P113" s="7" t="s">
        <v>17</v>
      </c>
      <c r="Q113" s="7" t="s">
        <v>318</v>
      </c>
      <c r="R113" s="7" t="s">
        <v>2065</v>
      </c>
    </row>
    <row r="114" spans="1:18">
      <c r="A114" s="7" t="s">
        <v>2221</v>
      </c>
      <c r="B114" s="7" t="s">
        <v>2071</v>
      </c>
      <c r="C114" s="7" t="s">
        <v>1587</v>
      </c>
      <c r="D114" s="7"/>
      <c r="E114" s="7" t="s">
        <v>281</v>
      </c>
      <c r="F114" s="7" t="s">
        <v>409</v>
      </c>
      <c r="G114" s="7" t="s">
        <v>535</v>
      </c>
      <c r="H114" s="7" t="s">
        <v>115</v>
      </c>
      <c r="I114" s="7" t="s">
        <v>271</v>
      </c>
      <c r="J114" s="7" t="s">
        <v>346</v>
      </c>
      <c r="K114" s="7" t="s">
        <v>2222</v>
      </c>
      <c r="L114" s="7" t="s">
        <v>1047</v>
      </c>
      <c r="M114" s="7" t="s">
        <v>303</v>
      </c>
      <c r="N114" s="7" t="s">
        <v>412</v>
      </c>
      <c r="O114" s="7" t="s">
        <v>169</v>
      </c>
      <c r="P114" s="7" t="s">
        <v>11</v>
      </c>
      <c r="Q114" s="7" t="s">
        <v>318</v>
      </c>
      <c r="R114" s="7" t="s">
        <v>2065</v>
      </c>
    </row>
    <row r="115" spans="1:18">
      <c r="A115" s="7" t="s">
        <v>2223</v>
      </c>
      <c r="B115" s="7" t="s">
        <v>2093</v>
      </c>
      <c r="C115" s="7" t="s">
        <v>1914</v>
      </c>
      <c r="D115" s="7" t="s">
        <v>450</v>
      </c>
      <c r="E115" s="7" t="s">
        <v>268</v>
      </c>
      <c r="F115" s="7" t="s">
        <v>297</v>
      </c>
      <c r="G115" s="7" t="s">
        <v>583</v>
      </c>
      <c r="H115" s="7" t="s">
        <v>115</v>
      </c>
      <c r="I115" s="7" t="s">
        <v>316</v>
      </c>
      <c r="J115" s="7" t="s">
        <v>529</v>
      </c>
      <c r="K115" s="7" t="s">
        <v>2224</v>
      </c>
      <c r="L115" s="7" t="s">
        <v>1747</v>
      </c>
      <c r="M115" s="7" t="s">
        <v>303</v>
      </c>
      <c r="N115" s="7" t="s">
        <v>304</v>
      </c>
      <c r="O115" s="7" t="s">
        <v>195</v>
      </c>
      <c r="P115" s="7" t="s">
        <v>8</v>
      </c>
      <c r="Q115" s="7" t="s">
        <v>318</v>
      </c>
      <c r="R115" s="7" t="s">
        <v>2065</v>
      </c>
    </row>
    <row r="116" spans="1:18">
      <c r="A116" s="7" t="s">
        <v>2225</v>
      </c>
      <c r="B116" s="7" t="s">
        <v>2098</v>
      </c>
      <c r="C116" s="7" t="s">
        <v>1593</v>
      </c>
      <c r="D116" s="7" t="s">
        <v>930</v>
      </c>
      <c r="E116" s="7" t="s">
        <v>281</v>
      </c>
      <c r="F116" s="7" t="s">
        <v>269</v>
      </c>
      <c r="G116" s="7" t="s">
        <v>363</v>
      </c>
      <c r="H116" s="7" t="s">
        <v>115</v>
      </c>
      <c r="I116" s="7" t="s">
        <v>299</v>
      </c>
      <c r="J116" s="7" t="s">
        <v>399</v>
      </c>
      <c r="K116" s="7" t="s">
        <v>1038</v>
      </c>
      <c r="L116" s="7" t="s">
        <v>1350</v>
      </c>
      <c r="M116" s="7" t="s">
        <v>275</v>
      </c>
      <c r="N116" s="7" t="s">
        <v>276</v>
      </c>
      <c r="O116" s="7" t="s">
        <v>483</v>
      </c>
      <c r="P116" s="7" t="s">
        <v>14</v>
      </c>
      <c r="Q116" s="7" t="s">
        <v>305</v>
      </c>
      <c r="R116" s="7" t="s">
        <v>2065</v>
      </c>
    </row>
    <row r="117" spans="1:18">
      <c r="A117" s="7" t="s">
        <v>2226</v>
      </c>
      <c r="B117" s="7" t="s">
        <v>2084</v>
      </c>
      <c r="C117" s="7" t="s">
        <v>1852</v>
      </c>
      <c r="D117" s="7" t="s">
        <v>642</v>
      </c>
      <c r="E117" s="7" t="s">
        <v>339</v>
      </c>
      <c r="F117" s="7" t="s">
        <v>256</v>
      </c>
      <c r="G117" s="7" t="s">
        <v>345</v>
      </c>
      <c r="H117" s="7" t="s">
        <v>115</v>
      </c>
      <c r="I117" s="7" t="s">
        <v>316</v>
      </c>
      <c r="J117" s="7" t="s">
        <v>346</v>
      </c>
      <c r="K117" s="7" t="s">
        <v>2227</v>
      </c>
      <c r="L117" s="7" t="s">
        <v>1457</v>
      </c>
      <c r="M117" s="7" t="s">
        <v>335</v>
      </c>
      <c r="N117" s="7" t="s">
        <v>261</v>
      </c>
      <c r="O117" s="7" t="s">
        <v>195</v>
      </c>
      <c r="P117" s="7" t="s">
        <v>8</v>
      </c>
      <c r="Q117" s="7" t="s">
        <v>318</v>
      </c>
      <c r="R117" s="7" t="s">
        <v>2065</v>
      </c>
    </row>
    <row r="118" spans="1:18">
      <c r="A118" s="7" t="s">
        <v>2228</v>
      </c>
      <c r="B118" s="7" t="s">
        <v>2091</v>
      </c>
      <c r="C118" s="7" t="s">
        <v>755</v>
      </c>
      <c r="D118" s="7" t="s">
        <v>1478</v>
      </c>
      <c r="E118" s="7" t="s">
        <v>255</v>
      </c>
      <c r="F118" s="7" t="s">
        <v>409</v>
      </c>
      <c r="G118" s="7" t="s">
        <v>410</v>
      </c>
      <c r="H118" s="7" t="s">
        <v>115</v>
      </c>
      <c r="I118" s="7" t="s">
        <v>316</v>
      </c>
      <c r="J118" s="7" t="s">
        <v>272</v>
      </c>
      <c r="K118" s="7" t="s">
        <v>784</v>
      </c>
      <c r="L118" s="7" t="s">
        <v>2229</v>
      </c>
      <c r="M118" s="7" t="s">
        <v>303</v>
      </c>
      <c r="N118" s="7" t="s">
        <v>412</v>
      </c>
      <c r="O118" s="7" t="s">
        <v>195</v>
      </c>
      <c r="P118" s="7" t="s">
        <v>17</v>
      </c>
      <c r="Q118" s="7" t="s">
        <v>318</v>
      </c>
      <c r="R118" s="7" t="s">
        <v>2065</v>
      </c>
    </row>
    <row r="119" spans="1:18">
      <c r="A119" s="7" t="s">
        <v>2230</v>
      </c>
      <c r="B119" s="7" t="s">
        <v>2161</v>
      </c>
      <c r="C119" s="7" t="s">
        <v>2069</v>
      </c>
      <c r="D119" s="7" t="s">
        <v>951</v>
      </c>
      <c r="E119" s="7" t="s">
        <v>268</v>
      </c>
      <c r="F119" s="7" t="s">
        <v>282</v>
      </c>
      <c r="G119" s="7" t="s">
        <v>524</v>
      </c>
      <c r="H119" s="7" t="s">
        <v>115</v>
      </c>
      <c r="I119" s="7" t="s">
        <v>271</v>
      </c>
      <c r="J119" s="7" t="s">
        <v>358</v>
      </c>
      <c r="K119" s="7" t="s">
        <v>1412</v>
      </c>
      <c r="L119" s="7" t="s">
        <v>359</v>
      </c>
      <c r="M119" s="7" t="s">
        <v>335</v>
      </c>
      <c r="N119" s="7" t="s">
        <v>284</v>
      </c>
      <c r="O119" s="7" t="s">
        <v>195</v>
      </c>
      <c r="P119" s="7" t="s">
        <v>17</v>
      </c>
      <c r="Q119" s="7" t="s">
        <v>262</v>
      </c>
      <c r="R119" s="7" t="s">
        <v>2065</v>
      </c>
    </row>
    <row r="120" spans="1:18">
      <c r="A120" s="7" t="s">
        <v>2231</v>
      </c>
      <c r="B120" s="7" t="s">
        <v>2084</v>
      </c>
      <c r="C120" s="7" t="s">
        <v>2071</v>
      </c>
      <c r="D120" s="7" t="s">
        <v>1968</v>
      </c>
      <c r="E120" s="7" t="s">
        <v>281</v>
      </c>
      <c r="F120" s="7" t="s">
        <v>256</v>
      </c>
      <c r="G120" s="7" t="s">
        <v>429</v>
      </c>
      <c r="H120" s="7" t="s">
        <v>115</v>
      </c>
      <c r="I120" s="7" t="s">
        <v>258</v>
      </c>
      <c r="J120" s="7" t="s">
        <v>525</v>
      </c>
      <c r="K120" s="7" t="s">
        <v>1588</v>
      </c>
      <c r="L120" s="7" t="s">
        <v>530</v>
      </c>
      <c r="M120" s="7" t="s">
        <v>335</v>
      </c>
      <c r="N120" s="7" t="s">
        <v>261</v>
      </c>
      <c r="O120" s="7" t="s">
        <v>169</v>
      </c>
      <c r="P120" s="7" t="s">
        <v>8</v>
      </c>
      <c r="Q120" s="7" t="s">
        <v>326</v>
      </c>
      <c r="R120" s="7" t="s">
        <v>2065</v>
      </c>
    </row>
    <row r="121" spans="1:18">
      <c r="A121" s="7" t="s">
        <v>2232</v>
      </c>
      <c r="B121" s="7" t="s">
        <v>2098</v>
      </c>
      <c r="C121" s="7" t="s">
        <v>1888</v>
      </c>
      <c r="D121" s="7" t="s">
        <v>1060</v>
      </c>
      <c r="E121" s="7" t="s">
        <v>339</v>
      </c>
      <c r="F121" s="7" t="s">
        <v>282</v>
      </c>
      <c r="G121" s="7" t="s">
        <v>564</v>
      </c>
      <c r="H121" s="7" t="s">
        <v>115</v>
      </c>
      <c r="I121" s="7" t="s">
        <v>316</v>
      </c>
      <c r="J121" s="7" t="s">
        <v>411</v>
      </c>
      <c r="K121" s="7" t="s">
        <v>411</v>
      </c>
      <c r="L121" s="7" t="s">
        <v>1027</v>
      </c>
      <c r="M121" s="7" t="s">
        <v>303</v>
      </c>
      <c r="N121" s="7" t="s">
        <v>284</v>
      </c>
      <c r="O121" s="7" t="s">
        <v>195</v>
      </c>
      <c r="P121" s="7" t="s">
        <v>14</v>
      </c>
      <c r="Q121" s="7" t="s">
        <v>326</v>
      </c>
      <c r="R121" s="7" t="s">
        <v>2065</v>
      </c>
    </row>
    <row r="122" spans="1:18">
      <c r="A122" s="7" t="s">
        <v>2233</v>
      </c>
      <c r="B122" s="7" t="s">
        <v>2091</v>
      </c>
      <c r="C122" s="7" t="s">
        <v>1687</v>
      </c>
      <c r="D122" s="7" t="s">
        <v>454</v>
      </c>
      <c r="E122" s="7" t="s">
        <v>268</v>
      </c>
      <c r="F122" s="7" t="s">
        <v>297</v>
      </c>
      <c r="G122" s="7" t="s">
        <v>628</v>
      </c>
      <c r="H122" s="7" t="s">
        <v>127</v>
      </c>
      <c r="I122" s="7" t="s">
        <v>258</v>
      </c>
      <c r="J122" s="7" t="s">
        <v>341</v>
      </c>
      <c r="K122" s="7"/>
      <c r="L122" s="7"/>
      <c r="M122" s="7" t="s">
        <v>260</v>
      </c>
      <c r="N122" s="7" t="s">
        <v>304</v>
      </c>
      <c r="O122" s="7" t="s">
        <v>195</v>
      </c>
      <c r="P122" s="7"/>
      <c r="Q122" s="7" t="s">
        <v>285</v>
      </c>
      <c r="R122" s="7" t="s">
        <v>2065</v>
      </c>
    </row>
    <row r="123" spans="1:18">
      <c r="A123" s="7" t="s">
        <v>2234</v>
      </c>
      <c r="B123" s="7" t="s">
        <v>2235</v>
      </c>
      <c r="C123" s="7" t="s">
        <v>1849</v>
      </c>
      <c r="D123" s="7" t="s">
        <v>1978</v>
      </c>
      <c r="E123" s="7" t="s">
        <v>268</v>
      </c>
      <c r="F123" s="7" t="s">
        <v>269</v>
      </c>
      <c r="G123" s="7" t="s">
        <v>270</v>
      </c>
      <c r="H123" s="7" t="s">
        <v>122</v>
      </c>
      <c r="I123" s="7" t="s">
        <v>316</v>
      </c>
      <c r="J123" s="7" t="s">
        <v>392</v>
      </c>
      <c r="K123" s="7"/>
      <c r="L123" s="7"/>
      <c r="M123" s="7" t="s">
        <v>260</v>
      </c>
      <c r="N123" s="7" t="s">
        <v>276</v>
      </c>
      <c r="O123" s="7" t="s">
        <v>195</v>
      </c>
      <c r="P123" s="7"/>
      <c r="Q123" s="7" t="s">
        <v>262</v>
      </c>
      <c r="R123" s="7" t="s">
        <v>2065</v>
      </c>
    </row>
    <row r="124" spans="1:18">
      <c r="A124" s="7" t="s">
        <v>2236</v>
      </c>
      <c r="B124" s="7" t="s">
        <v>2071</v>
      </c>
      <c r="C124" s="7" t="s">
        <v>1834</v>
      </c>
      <c r="D124" s="7" t="s">
        <v>582</v>
      </c>
      <c r="E124" s="7" t="s">
        <v>268</v>
      </c>
      <c r="F124" s="7" t="s">
        <v>269</v>
      </c>
      <c r="G124" s="7" t="s">
        <v>270</v>
      </c>
      <c r="H124" s="7" t="s">
        <v>115</v>
      </c>
      <c r="I124" s="7" t="s">
        <v>271</v>
      </c>
      <c r="J124" s="7" t="s">
        <v>469</v>
      </c>
      <c r="K124" s="7" t="s">
        <v>616</v>
      </c>
      <c r="L124" s="7" t="s">
        <v>972</v>
      </c>
      <c r="M124" s="7" t="s">
        <v>335</v>
      </c>
      <c r="N124" s="7" t="s">
        <v>276</v>
      </c>
      <c r="O124" s="7" t="s">
        <v>195</v>
      </c>
      <c r="P124" s="7" t="s">
        <v>8</v>
      </c>
      <c r="Q124" s="7" t="s">
        <v>262</v>
      </c>
      <c r="R124" s="7" t="s">
        <v>2065</v>
      </c>
    </row>
    <row r="125" spans="1:18">
      <c r="A125" s="7" t="s">
        <v>2237</v>
      </c>
      <c r="B125" s="7" t="s">
        <v>2130</v>
      </c>
      <c r="C125" s="7" t="s">
        <v>1620</v>
      </c>
      <c r="D125" s="7" t="s">
        <v>851</v>
      </c>
      <c r="E125" s="7" t="s">
        <v>255</v>
      </c>
      <c r="F125" s="7" t="s">
        <v>297</v>
      </c>
      <c r="G125" s="7" t="s">
        <v>331</v>
      </c>
      <c r="H125" s="7" t="s">
        <v>115</v>
      </c>
      <c r="I125" s="7" t="s">
        <v>316</v>
      </c>
      <c r="J125" s="7" t="s">
        <v>404</v>
      </c>
      <c r="K125" s="7" t="s">
        <v>760</v>
      </c>
      <c r="L125" s="7" t="s">
        <v>1155</v>
      </c>
      <c r="M125" s="7" t="s">
        <v>293</v>
      </c>
      <c r="N125" s="7" t="s">
        <v>304</v>
      </c>
      <c r="O125" s="7" t="s">
        <v>169</v>
      </c>
      <c r="P125" s="7" t="s">
        <v>8</v>
      </c>
      <c r="Q125" s="7" t="s">
        <v>305</v>
      </c>
      <c r="R125" s="7" t="s">
        <v>2065</v>
      </c>
    </row>
    <row r="126" spans="1:18">
      <c r="A126" s="7" t="s">
        <v>2238</v>
      </c>
      <c r="B126" s="7" t="s">
        <v>2077</v>
      </c>
      <c r="C126" s="7" t="s">
        <v>1828</v>
      </c>
      <c r="D126" s="7" t="s">
        <v>1505</v>
      </c>
      <c r="E126" s="7" t="s">
        <v>255</v>
      </c>
      <c r="F126" s="7" t="s">
        <v>269</v>
      </c>
      <c r="G126" s="7" t="s">
        <v>391</v>
      </c>
      <c r="H126" s="7" t="s">
        <v>115</v>
      </c>
      <c r="I126" s="7" t="s">
        <v>271</v>
      </c>
      <c r="J126" s="7" t="s">
        <v>351</v>
      </c>
      <c r="K126" s="7" t="s">
        <v>1594</v>
      </c>
      <c r="L126" s="7" t="s">
        <v>1023</v>
      </c>
      <c r="M126" s="7" t="s">
        <v>303</v>
      </c>
      <c r="N126" s="7" t="s">
        <v>276</v>
      </c>
      <c r="O126" s="7" t="s">
        <v>169</v>
      </c>
      <c r="P126" s="7" t="s">
        <v>11</v>
      </c>
      <c r="Q126" s="7" t="s">
        <v>285</v>
      </c>
      <c r="R126" s="7" t="s">
        <v>2065</v>
      </c>
    </row>
    <row r="127" spans="1:18">
      <c r="A127" s="7" t="s">
        <v>2239</v>
      </c>
      <c r="B127" s="7" t="s">
        <v>2096</v>
      </c>
      <c r="C127" s="7" t="s">
        <v>1876</v>
      </c>
      <c r="D127" s="7" t="s">
        <v>441</v>
      </c>
      <c r="E127" s="7" t="s">
        <v>255</v>
      </c>
      <c r="F127" s="7" t="s">
        <v>1402</v>
      </c>
      <c r="G127" s="7" t="s">
        <v>648</v>
      </c>
      <c r="H127" s="7" t="s">
        <v>115</v>
      </c>
      <c r="I127" s="7" t="s">
        <v>271</v>
      </c>
      <c r="J127" s="7" t="s">
        <v>323</v>
      </c>
      <c r="K127" s="7" t="s">
        <v>737</v>
      </c>
      <c r="L127" s="7" t="s">
        <v>1312</v>
      </c>
      <c r="M127" s="7" t="s">
        <v>275</v>
      </c>
      <c r="N127" s="7" t="s">
        <v>412</v>
      </c>
      <c r="O127" s="7" t="s">
        <v>195</v>
      </c>
      <c r="P127" s="7" t="s">
        <v>14</v>
      </c>
      <c r="Q127" s="7" t="s">
        <v>285</v>
      </c>
      <c r="R127" s="7" t="s">
        <v>2065</v>
      </c>
    </row>
    <row r="128" spans="1:18">
      <c r="A128" s="7" t="s">
        <v>2240</v>
      </c>
      <c r="B128" s="7" t="s">
        <v>2075</v>
      </c>
      <c r="C128" s="7" t="s">
        <v>1945</v>
      </c>
      <c r="D128" s="7" t="s">
        <v>1505</v>
      </c>
      <c r="E128" s="7" t="s">
        <v>281</v>
      </c>
      <c r="F128" s="7" t="s">
        <v>256</v>
      </c>
      <c r="G128" s="7" t="s">
        <v>796</v>
      </c>
      <c r="H128" s="7" t="s">
        <v>115</v>
      </c>
      <c r="I128" s="7" t="s">
        <v>299</v>
      </c>
      <c r="J128" s="7" t="s">
        <v>392</v>
      </c>
      <c r="K128" s="7" t="s">
        <v>1269</v>
      </c>
      <c r="L128" s="7" t="s">
        <v>2241</v>
      </c>
      <c r="M128" s="7" t="s">
        <v>275</v>
      </c>
      <c r="N128" s="7" t="s">
        <v>261</v>
      </c>
      <c r="O128" s="7" t="s">
        <v>195</v>
      </c>
      <c r="P128" s="7" t="s">
        <v>11</v>
      </c>
      <c r="Q128" s="7" t="s">
        <v>318</v>
      </c>
      <c r="R128" s="7" t="s">
        <v>2065</v>
      </c>
    </row>
    <row r="129" spans="1:18">
      <c r="A129" s="7" t="s">
        <v>2242</v>
      </c>
      <c r="B129" s="7" t="s">
        <v>2161</v>
      </c>
      <c r="C129" s="7" t="s">
        <v>1586</v>
      </c>
      <c r="D129" s="7" t="s">
        <v>1931</v>
      </c>
      <c r="E129" s="7" t="s">
        <v>281</v>
      </c>
      <c r="F129" s="7" t="s">
        <v>282</v>
      </c>
      <c r="G129" s="7" t="s">
        <v>446</v>
      </c>
      <c r="H129" s="7" t="s">
        <v>451</v>
      </c>
      <c r="I129" s="7" t="s">
        <v>271</v>
      </c>
      <c r="J129" s="7" t="s">
        <v>525</v>
      </c>
      <c r="K129" s="7" t="s">
        <v>1440</v>
      </c>
      <c r="L129" s="7" t="s">
        <v>971</v>
      </c>
      <c r="M129" s="7" t="s">
        <v>303</v>
      </c>
      <c r="N129" s="7" t="s">
        <v>284</v>
      </c>
      <c r="O129" s="7" t="s">
        <v>195</v>
      </c>
      <c r="P129" s="7" t="s">
        <v>14</v>
      </c>
      <c r="Q129" s="7" t="s">
        <v>318</v>
      </c>
      <c r="R129" s="7" t="s">
        <v>2065</v>
      </c>
    </row>
    <row r="130" spans="1:18">
      <c r="A130" s="7" t="s">
        <v>2243</v>
      </c>
      <c r="B130" s="7" t="s">
        <v>2118</v>
      </c>
      <c r="C130" s="7" t="s">
        <v>1899</v>
      </c>
      <c r="D130" s="7" t="s">
        <v>704</v>
      </c>
      <c r="E130" s="7" t="s">
        <v>255</v>
      </c>
      <c r="F130" s="7" t="s">
        <v>409</v>
      </c>
      <c r="G130" s="7" t="s">
        <v>648</v>
      </c>
      <c r="H130" s="7" t="s">
        <v>466</v>
      </c>
      <c r="I130" s="7" t="s">
        <v>316</v>
      </c>
      <c r="J130" s="7" t="s">
        <v>404</v>
      </c>
      <c r="K130" s="7"/>
      <c r="L130" s="7"/>
      <c r="M130" s="7" t="s">
        <v>260</v>
      </c>
      <c r="N130" s="7" t="s">
        <v>412</v>
      </c>
      <c r="O130" s="7" t="s">
        <v>195</v>
      </c>
      <c r="P130" s="7"/>
      <c r="Q130" s="7" t="s">
        <v>285</v>
      </c>
      <c r="R130" s="7" t="s">
        <v>2065</v>
      </c>
    </row>
    <row r="131" spans="1:18">
      <c r="A131" s="7" t="s">
        <v>2244</v>
      </c>
      <c r="B131" s="7" t="s">
        <v>2150</v>
      </c>
      <c r="C131" s="7" t="s">
        <v>1906</v>
      </c>
      <c r="D131" s="7" t="s">
        <v>296</v>
      </c>
      <c r="E131" s="7" t="s">
        <v>268</v>
      </c>
      <c r="F131" s="7" t="s">
        <v>409</v>
      </c>
      <c r="G131" s="7" t="s">
        <v>552</v>
      </c>
      <c r="H131" s="7" t="s">
        <v>115</v>
      </c>
      <c r="I131" s="7" t="s">
        <v>258</v>
      </c>
      <c r="J131" s="7" t="s">
        <v>346</v>
      </c>
      <c r="K131" s="7" t="s">
        <v>979</v>
      </c>
      <c r="L131" s="7" t="s">
        <v>1204</v>
      </c>
      <c r="M131" s="7" t="s">
        <v>275</v>
      </c>
      <c r="N131" s="7" t="s">
        <v>412</v>
      </c>
      <c r="O131" s="7" t="s">
        <v>195</v>
      </c>
      <c r="P131" s="7" t="s">
        <v>14</v>
      </c>
      <c r="Q131" s="7" t="s">
        <v>262</v>
      </c>
      <c r="R131" s="7" t="s">
        <v>2065</v>
      </c>
    </row>
    <row r="132" spans="1:18">
      <c r="A132" s="7" t="s">
        <v>2245</v>
      </c>
      <c r="B132" s="7" t="s">
        <v>2138</v>
      </c>
      <c r="C132" s="7" t="s">
        <v>1886</v>
      </c>
      <c r="D132" s="7" t="s">
        <v>995</v>
      </c>
      <c r="E132" s="7" t="s">
        <v>255</v>
      </c>
      <c r="F132" s="7" t="s">
        <v>297</v>
      </c>
      <c r="G132" s="7" t="s">
        <v>331</v>
      </c>
      <c r="H132" s="7" t="s">
        <v>115</v>
      </c>
      <c r="I132" s="7" t="s">
        <v>271</v>
      </c>
      <c r="J132" s="7" t="s">
        <v>447</v>
      </c>
      <c r="K132" s="7" t="s">
        <v>1482</v>
      </c>
      <c r="L132" s="7" t="s">
        <v>1307</v>
      </c>
      <c r="M132" s="7" t="s">
        <v>293</v>
      </c>
      <c r="N132" s="7" t="s">
        <v>304</v>
      </c>
      <c r="O132" s="7" t="s">
        <v>195</v>
      </c>
      <c r="P132" s="7" t="s">
        <v>260</v>
      </c>
      <c r="Q132" s="7" t="s">
        <v>262</v>
      </c>
      <c r="R132" s="7" t="s">
        <v>2065</v>
      </c>
    </row>
    <row r="133" spans="1:18">
      <c r="A133" s="7" t="s">
        <v>2246</v>
      </c>
      <c r="B133" s="7" t="s">
        <v>2086</v>
      </c>
      <c r="C133" s="7" t="s">
        <v>1841</v>
      </c>
      <c r="D133" s="7" t="s">
        <v>2106</v>
      </c>
      <c r="E133" s="7" t="s">
        <v>281</v>
      </c>
      <c r="F133" s="7" t="s">
        <v>256</v>
      </c>
      <c r="G133" s="7" t="s">
        <v>796</v>
      </c>
      <c r="H133" s="7" t="s">
        <v>127</v>
      </c>
      <c r="I133" s="7" t="s">
        <v>271</v>
      </c>
      <c r="J133" s="7" t="s">
        <v>259</v>
      </c>
      <c r="K133" s="7"/>
      <c r="L133" s="7"/>
      <c r="M133" s="7" t="s">
        <v>260</v>
      </c>
      <c r="N133" s="7" t="s">
        <v>261</v>
      </c>
      <c r="O133" s="7" t="s">
        <v>195</v>
      </c>
      <c r="P133" s="7"/>
      <c r="Q133" s="7" t="s">
        <v>326</v>
      </c>
      <c r="R133" s="7" t="s">
        <v>2065</v>
      </c>
    </row>
    <row r="134" spans="1:18">
      <c r="A134" s="7" t="s">
        <v>2247</v>
      </c>
      <c r="B134" s="7" t="s">
        <v>2077</v>
      </c>
      <c r="C134" s="7" t="s">
        <v>2120</v>
      </c>
      <c r="D134" s="7" t="s">
        <v>495</v>
      </c>
      <c r="E134" s="7" t="s">
        <v>339</v>
      </c>
      <c r="F134" s="7" t="s">
        <v>297</v>
      </c>
      <c r="G134" s="7" t="s">
        <v>780</v>
      </c>
      <c r="H134" s="7" t="s">
        <v>115</v>
      </c>
      <c r="I134" s="7" t="s">
        <v>258</v>
      </c>
      <c r="J134" s="7" t="s">
        <v>300</v>
      </c>
      <c r="K134" s="7" t="s">
        <v>537</v>
      </c>
      <c r="L134" s="7" t="s">
        <v>1315</v>
      </c>
      <c r="M134" s="7" t="s">
        <v>335</v>
      </c>
      <c r="N134" s="7" t="s">
        <v>304</v>
      </c>
      <c r="O134" s="7" t="s">
        <v>195</v>
      </c>
      <c r="P134" s="7" t="s">
        <v>17</v>
      </c>
      <c r="Q134" s="7" t="s">
        <v>262</v>
      </c>
      <c r="R134" s="7" t="s">
        <v>2065</v>
      </c>
    </row>
    <row r="135" spans="1:18">
      <c r="A135" s="7" t="s">
        <v>2248</v>
      </c>
      <c r="B135" s="7" t="s">
        <v>2073</v>
      </c>
      <c r="C135" s="7" t="s">
        <v>1576</v>
      </c>
      <c r="D135" s="7" t="s">
        <v>1031</v>
      </c>
      <c r="E135" s="7" t="s">
        <v>255</v>
      </c>
      <c r="F135" s="7" t="s">
        <v>297</v>
      </c>
      <c r="G135" s="7" t="s">
        <v>331</v>
      </c>
      <c r="H135" s="7" t="s">
        <v>122</v>
      </c>
      <c r="I135" s="7" t="s">
        <v>299</v>
      </c>
      <c r="J135" s="7" t="s">
        <v>341</v>
      </c>
      <c r="K135" s="7"/>
      <c r="L135" s="7"/>
      <c r="M135" s="7" t="s">
        <v>260</v>
      </c>
      <c r="N135" s="7" t="s">
        <v>304</v>
      </c>
      <c r="O135" s="7" t="s">
        <v>195</v>
      </c>
      <c r="P135" s="7"/>
      <c r="Q135" s="7" t="s">
        <v>305</v>
      </c>
      <c r="R135" s="7" t="s">
        <v>2065</v>
      </c>
    </row>
    <row r="136" spans="1:18">
      <c r="A136" s="7" t="s">
        <v>2249</v>
      </c>
      <c r="B136" s="7" t="s">
        <v>2096</v>
      </c>
      <c r="C136" s="7" t="s">
        <v>1885</v>
      </c>
      <c r="D136" s="7" t="s">
        <v>813</v>
      </c>
      <c r="E136" s="7" t="s">
        <v>268</v>
      </c>
      <c r="F136" s="7" t="s">
        <v>282</v>
      </c>
      <c r="G136" s="7" t="s">
        <v>505</v>
      </c>
      <c r="H136" s="7" t="s">
        <v>115</v>
      </c>
      <c r="I136" s="7" t="s">
        <v>258</v>
      </c>
      <c r="J136" s="7" t="s">
        <v>259</v>
      </c>
      <c r="K136" s="7" t="s">
        <v>382</v>
      </c>
      <c r="L136" s="7" t="s">
        <v>1053</v>
      </c>
      <c r="M136" s="7" t="s">
        <v>303</v>
      </c>
      <c r="N136" s="7" t="s">
        <v>284</v>
      </c>
      <c r="O136" s="7" t="s">
        <v>169</v>
      </c>
      <c r="P136" s="7" t="s">
        <v>14</v>
      </c>
      <c r="Q136" s="7" t="s">
        <v>262</v>
      </c>
      <c r="R136" s="7" t="s">
        <v>2065</v>
      </c>
    </row>
    <row r="137" spans="1:18">
      <c r="A137" s="7" t="s">
        <v>2250</v>
      </c>
      <c r="B137" s="7" t="s">
        <v>2080</v>
      </c>
      <c r="C137" s="7" t="s">
        <v>1888</v>
      </c>
      <c r="D137" s="7" t="s">
        <v>527</v>
      </c>
      <c r="E137" s="7" t="s">
        <v>339</v>
      </c>
      <c r="F137" s="7" t="s">
        <v>269</v>
      </c>
      <c r="G137" s="7" t="s">
        <v>340</v>
      </c>
      <c r="H137" s="7" t="s">
        <v>115</v>
      </c>
      <c r="I137" s="7" t="s">
        <v>316</v>
      </c>
      <c r="J137" s="7" t="s">
        <v>351</v>
      </c>
      <c r="K137" s="7" t="s">
        <v>570</v>
      </c>
      <c r="L137" s="7" t="s">
        <v>732</v>
      </c>
      <c r="M137" s="7" t="s">
        <v>303</v>
      </c>
      <c r="N137" s="7" t="s">
        <v>276</v>
      </c>
      <c r="O137" s="7" t="s">
        <v>195</v>
      </c>
      <c r="P137" s="7" t="s">
        <v>11</v>
      </c>
      <c r="Q137" s="7" t="s">
        <v>262</v>
      </c>
      <c r="R137" s="7" t="s">
        <v>2065</v>
      </c>
    </row>
    <row r="138" spans="1:18">
      <c r="A138" s="7" t="s">
        <v>2251</v>
      </c>
      <c r="B138" s="7" t="s">
        <v>2181</v>
      </c>
      <c r="C138" s="7" t="s">
        <v>2178</v>
      </c>
      <c r="D138" s="7" t="s">
        <v>1418</v>
      </c>
      <c r="E138" s="7" t="s">
        <v>255</v>
      </c>
      <c r="F138" s="7" t="s">
        <v>409</v>
      </c>
      <c r="G138" s="7" t="s">
        <v>648</v>
      </c>
      <c r="H138" s="7" t="s">
        <v>115</v>
      </c>
      <c r="I138" s="7" t="s">
        <v>299</v>
      </c>
      <c r="J138" s="7" t="s">
        <v>332</v>
      </c>
      <c r="K138" s="7" t="s">
        <v>1218</v>
      </c>
      <c r="L138" s="7" t="s">
        <v>2252</v>
      </c>
      <c r="M138" s="7" t="s">
        <v>335</v>
      </c>
      <c r="N138" s="7" t="s">
        <v>412</v>
      </c>
      <c r="O138" s="7" t="s">
        <v>195</v>
      </c>
      <c r="P138" s="7" t="s">
        <v>17</v>
      </c>
      <c r="Q138" s="7" t="s">
        <v>305</v>
      </c>
      <c r="R138" s="7" t="s">
        <v>2065</v>
      </c>
    </row>
    <row r="139" spans="1:18">
      <c r="A139" s="7" t="s">
        <v>2253</v>
      </c>
      <c r="B139" s="7" t="s">
        <v>2091</v>
      </c>
      <c r="C139" s="7" t="s">
        <v>1591</v>
      </c>
      <c r="D139" s="7" t="s">
        <v>1262</v>
      </c>
      <c r="E139" s="7" t="s">
        <v>339</v>
      </c>
      <c r="F139" s="7" t="s">
        <v>282</v>
      </c>
      <c r="G139" s="7" t="s">
        <v>564</v>
      </c>
      <c r="H139" s="7" t="s">
        <v>115</v>
      </c>
      <c r="I139" s="7" t="s">
        <v>316</v>
      </c>
      <c r="J139" s="7" t="s">
        <v>392</v>
      </c>
      <c r="K139" s="7" t="s">
        <v>679</v>
      </c>
      <c r="L139" s="7" t="s">
        <v>415</v>
      </c>
      <c r="M139" s="7" t="s">
        <v>604</v>
      </c>
      <c r="N139" s="7" t="s">
        <v>284</v>
      </c>
      <c r="O139" s="7" t="s">
        <v>195</v>
      </c>
      <c r="P139" s="7" t="s">
        <v>17</v>
      </c>
      <c r="Q139" s="7" t="s">
        <v>318</v>
      </c>
      <c r="R139" s="7" t="s">
        <v>2065</v>
      </c>
    </row>
    <row r="140" spans="1:18">
      <c r="A140" s="7" t="s">
        <v>2254</v>
      </c>
      <c r="B140" s="7" t="s">
        <v>2079</v>
      </c>
      <c r="C140" s="7" t="s">
        <v>2178</v>
      </c>
      <c r="D140" s="7" t="s">
        <v>715</v>
      </c>
      <c r="E140" s="7" t="s">
        <v>255</v>
      </c>
      <c r="F140" s="7" t="s">
        <v>297</v>
      </c>
      <c r="G140" s="7" t="s">
        <v>331</v>
      </c>
      <c r="H140" s="7" t="s">
        <v>115</v>
      </c>
      <c r="I140" s="7" t="s">
        <v>258</v>
      </c>
      <c r="J140" s="7" t="s">
        <v>392</v>
      </c>
      <c r="K140" s="7" t="s">
        <v>1395</v>
      </c>
      <c r="L140" s="7" t="s">
        <v>833</v>
      </c>
      <c r="M140" s="7" t="s">
        <v>303</v>
      </c>
      <c r="N140" s="7" t="s">
        <v>304</v>
      </c>
      <c r="O140" s="7" t="s">
        <v>195</v>
      </c>
      <c r="P140" s="7" t="s">
        <v>17</v>
      </c>
      <c r="Q140" s="7" t="s">
        <v>326</v>
      </c>
      <c r="R140" s="7" t="s">
        <v>2065</v>
      </c>
    </row>
    <row r="141" spans="1:18">
      <c r="A141" s="7" t="s">
        <v>2255</v>
      </c>
      <c r="B141" s="7" t="s">
        <v>2130</v>
      </c>
      <c r="C141" s="7" t="s">
        <v>1921</v>
      </c>
      <c r="D141" s="7" t="s">
        <v>685</v>
      </c>
      <c r="E141" s="7" t="s">
        <v>339</v>
      </c>
      <c r="F141" s="7" t="s">
        <v>256</v>
      </c>
      <c r="G141" s="7" t="s">
        <v>403</v>
      </c>
      <c r="H141" s="7" t="s">
        <v>115</v>
      </c>
      <c r="I141" s="7" t="s">
        <v>258</v>
      </c>
      <c r="J141" s="7" t="s">
        <v>346</v>
      </c>
      <c r="K141" s="7" t="s">
        <v>979</v>
      </c>
      <c r="L141" s="7" t="s">
        <v>2256</v>
      </c>
      <c r="M141" s="7" t="s">
        <v>303</v>
      </c>
      <c r="N141" s="7" t="s">
        <v>261</v>
      </c>
      <c r="O141" s="7" t="s">
        <v>195</v>
      </c>
      <c r="P141" s="7" t="s">
        <v>11</v>
      </c>
      <c r="Q141" s="7" t="s">
        <v>262</v>
      </c>
      <c r="R141" s="7" t="s">
        <v>2065</v>
      </c>
    </row>
    <row r="142" spans="1:18">
      <c r="A142" s="7" t="s">
        <v>2257</v>
      </c>
      <c r="B142" s="7" t="s">
        <v>2077</v>
      </c>
      <c r="C142" s="7" t="s">
        <v>2178</v>
      </c>
      <c r="D142" s="7" t="s">
        <v>1541</v>
      </c>
      <c r="E142" s="7" t="s">
        <v>255</v>
      </c>
      <c r="F142" s="7" t="s">
        <v>269</v>
      </c>
      <c r="G142" s="7" t="s">
        <v>542</v>
      </c>
      <c r="H142" s="7" t="s">
        <v>115</v>
      </c>
      <c r="I142" s="7" t="s">
        <v>299</v>
      </c>
      <c r="J142" s="7" t="s">
        <v>447</v>
      </c>
      <c r="K142" s="7" t="s">
        <v>773</v>
      </c>
      <c r="L142" s="7" t="s">
        <v>1869</v>
      </c>
      <c r="M142" s="7" t="s">
        <v>835</v>
      </c>
      <c r="N142" s="7" t="s">
        <v>276</v>
      </c>
      <c r="O142" s="7" t="s">
        <v>195</v>
      </c>
      <c r="P142" s="7" t="s">
        <v>17</v>
      </c>
      <c r="Q142" s="7" t="s">
        <v>285</v>
      </c>
      <c r="R142" s="7" t="s">
        <v>2065</v>
      </c>
    </row>
    <row r="143" spans="1:18">
      <c r="A143" s="7" t="s">
        <v>2258</v>
      </c>
      <c r="B143" s="7" t="s">
        <v>2114</v>
      </c>
      <c r="C143" s="7" t="s">
        <v>1837</v>
      </c>
      <c r="D143" s="7" t="s">
        <v>1103</v>
      </c>
      <c r="E143" s="7" t="s">
        <v>268</v>
      </c>
      <c r="F143" s="7" t="s">
        <v>269</v>
      </c>
      <c r="G143" s="7" t="s">
        <v>270</v>
      </c>
      <c r="H143" s="7" t="s">
        <v>115</v>
      </c>
      <c r="I143" s="7" t="s">
        <v>258</v>
      </c>
      <c r="J143" s="7" t="s">
        <v>358</v>
      </c>
      <c r="K143" s="7" t="s">
        <v>1232</v>
      </c>
      <c r="L143" s="7" t="s">
        <v>360</v>
      </c>
      <c r="M143" s="7" t="s">
        <v>293</v>
      </c>
      <c r="N143" s="7" t="s">
        <v>276</v>
      </c>
      <c r="O143" s="7" t="s">
        <v>195</v>
      </c>
      <c r="P143" s="7" t="s">
        <v>14</v>
      </c>
      <c r="Q143" s="7" t="s">
        <v>285</v>
      </c>
      <c r="R143" s="7" t="s">
        <v>2065</v>
      </c>
    </row>
    <row r="144" spans="1:18">
      <c r="A144" s="7"/>
      <c r="B144" s="7" t="s">
        <v>2075</v>
      </c>
      <c r="C144" s="7" t="s">
        <v>1839</v>
      </c>
      <c r="D144" s="7" t="s">
        <v>1361</v>
      </c>
      <c r="E144" s="7" t="s">
        <v>339</v>
      </c>
      <c r="F144" s="7" t="s">
        <v>282</v>
      </c>
      <c r="G144" s="7" t="s">
        <v>564</v>
      </c>
      <c r="H144" s="7" t="s">
        <v>115</v>
      </c>
      <c r="I144" s="7" t="s">
        <v>316</v>
      </c>
      <c r="J144" s="7" t="s">
        <v>346</v>
      </c>
      <c r="K144" s="7" t="s">
        <v>1197</v>
      </c>
      <c r="L144" s="7" t="s">
        <v>2215</v>
      </c>
      <c r="M144" s="7" t="s">
        <v>293</v>
      </c>
      <c r="N144" s="7" t="s">
        <v>284</v>
      </c>
      <c r="O144" s="7" t="s">
        <v>195</v>
      </c>
      <c r="P144" s="7" t="s">
        <v>11</v>
      </c>
      <c r="Q144" s="7" t="s">
        <v>262</v>
      </c>
      <c r="R144" s="7" t="s">
        <v>2065</v>
      </c>
    </row>
    <row r="145" spans="1:18">
      <c r="A145" s="7" t="s">
        <v>2259</v>
      </c>
      <c r="B145" s="7" t="s">
        <v>2178</v>
      </c>
      <c r="C145" s="7" t="s">
        <v>1841</v>
      </c>
      <c r="D145" s="7" t="s">
        <v>685</v>
      </c>
      <c r="E145" s="7" t="s">
        <v>255</v>
      </c>
      <c r="F145" s="7" t="s">
        <v>409</v>
      </c>
      <c r="G145" s="7" t="s">
        <v>410</v>
      </c>
      <c r="H145" s="7" t="s">
        <v>122</v>
      </c>
      <c r="I145" s="7" t="s">
        <v>258</v>
      </c>
      <c r="J145" s="7" t="s">
        <v>529</v>
      </c>
      <c r="K145" s="7"/>
      <c r="L145" s="7"/>
      <c r="M145" s="7" t="s">
        <v>260</v>
      </c>
      <c r="N145" s="7" t="s">
        <v>412</v>
      </c>
      <c r="O145" s="7" t="s">
        <v>195</v>
      </c>
      <c r="P145" s="7"/>
      <c r="Q145" s="7" t="s">
        <v>262</v>
      </c>
      <c r="R145" s="7" t="s">
        <v>2065</v>
      </c>
    </row>
    <row r="146" spans="1:18">
      <c r="A146" s="7" t="s">
        <v>2260</v>
      </c>
      <c r="B146" s="7" t="s">
        <v>2096</v>
      </c>
      <c r="C146" s="7" t="s">
        <v>2080</v>
      </c>
      <c r="D146" s="7" t="s">
        <v>615</v>
      </c>
      <c r="E146" s="7" t="s">
        <v>281</v>
      </c>
      <c r="F146" s="7" t="s">
        <v>269</v>
      </c>
      <c r="G146" s="7" t="s">
        <v>322</v>
      </c>
      <c r="H146" s="7" t="s">
        <v>115</v>
      </c>
      <c r="I146" s="7" t="s">
        <v>1025</v>
      </c>
      <c r="J146" s="7" t="s">
        <v>411</v>
      </c>
      <c r="K146" s="7" t="s">
        <v>1946</v>
      </c>
      <c r="L146" s="7" t="s">
        <v>1353</v>
      </c>
      <c r="M146" s="7" t="s">
        <v>293</v>
      </c>
      <c r="N146" s="7" t="s">
        <v>276</v>
      </c>
      <c r="O146" s="7" t="s">
        <v>169</v>
      </c>
      <c r="P146" s="7" t="s">
        <v>17</v>
      </c>
      <c r="Q146" s="7" t="s">
        <v>326</v>
      </c>
      <c r="R146" s="7" t="s">
        <v>2065</v>
      </c>
    </row>
    <row r="147" spans="1:18">
      <c r="A147" s="7" t="s">
        <v>2261</v>
      </c>
      <c r="B147" s="7" t="s">
        <v>2103</v>
      </c>
      <c r="C147" s="7" t="s">
        <v>2114</v>
      </c>
      <c r="D147" s="7" t="s">
        <v>541</v>
      </c>
      <c r="E147" s="7" t="s">
        <v>268</v>
      </c>
      <c r="F147" s="7" t="s">
        <v>409</v>
      </c>
      <c r="G147" s="7" t="s">
        <v>552</v>
      </c>
      <c r="H147" s="7" t="s">
        <v>115</v>
      </c>
      <c r="I147" s="7" t="s">
        <v>299</v>
      </c>
      <c r="J147" s="7" t="s">
        <v>323</v>
      </c>
      <c r="K147" s="7" t="s">
        <v>626</v>
      </c>
      <c r="L147" s="7" t="s">
        <v>917</v>
      </c>
      <c r="M147" s="7" t="s">
        <v>335</v>
      </c>
      <c r="N147" s="7" t="s">
        <v>412</v>
      </c>
      <c r="O147" s="7" t="s">
        <v>195</v>
      </c>
      <c r="P147" s="7" t="s">
        <v>17</v>
      </c>
      <c r="Q147" s="7" t="s">
        <v>262</v>
      </c>
      <c r="R147" s="7" t="s">
        <v>2065</v>
      </c>
    </row>
    <row r="148" spans="1:18">
      <c r="A148" s="7" t="s">
        <v>2262</v>
      </c>
      <c r="B148" s="7" t="s">
        <v>2181</v>
      </c>
      <c r="C148" s="7" t="s">
        <v>2091</v>
      </c>
      <c r="D148" s="7" t="s">
        <v>2165</v>
      </c>
      <c r="E148" s="7" t="s">
        <v>268</v>
      </c>
      <c r="F148" s="7" t="s">
        <v>269</v>
      </c>
      <c r="G148" s="7" t="s">
        <v>270</v>
      </c>
      <c r="H148" s="7" t="s">
        <v>115</v>
      </c>
      <c r="I148" s="7" t="s">
        <v>299</v>
      </c>
      <c r="J148" s="7" t="s">
        <v>272</v>
      </c>
      <c r="K148" s="7" t="s">
        <v>849</v>
      </c>
      <c r="L148" s="7" t="s">
        <v>719</v>
      </c>
      <c r="M148" s="7" t="s">
        <v>303</v>
      </c>
      <c r="N148" s="7" t="s">
        <v>276</v>
      </c>
      <c r="O148" s="7" t="s">
        <v>195</v>
      </c>
      <c r="P148" s="7" t="s">
        <v>17</v>
      </c>
      <c r="Q148" s="7" t="s">
        <v>326</v>
      </c>
      <c r="R148" s="7" t="s">
        <v>2065</v>
      </c>
    </row>
    <row r="149" spans="1:18">
      <c r="A149" s="7" t="s">
        <v>2263</v>
      </c>
      <c r="B149" s="7" t="s">
        <v>2073</v>
      </c>
      <c r="C149" s="7" t="s">
        <v>1859</v>
      </c>
      <c r="D149" s="7" t="s">
        <v>1816</v>
      </c>
      <c r="E149" s="7" t="s">
        <v>339</v>
      </c>
      <c r="F149" s="7" t="s">
        <v>282</v>
      </c>
      <c r="G149" s="7" t="s">
        <v>461</v>
      </c>
      <c r="H149" s="7" t="s">
        <v>115</v>
      </c>
      <c r="I149" s="7" t="s">
        <v>299</v>
      </c>
      <c r="J149" s="7" t="s">
        <v>529</v>
      </c>
      <c r="K149" s="7" t="s">
        <v>1149</v>
      </c>
      <c r="L149" s="7" t="s">
        <v>1672</v>
      </c>
      <c r="M149" s="7" t="s">
        <v>335</v>
      </c>
      <c r="N149" s="7" t="s">
        <v>284</v>
      </c>
      <c r="O149" s="7" t="s">
        <v>169</v>
      </c>
      <c r="P149" s="7" t="s">
        <v>11</v>
      </c>
      <c r="Q149" s="7" t="s">
        <v>318</v>
      </c>
      <c r="R149" s="7" t="s">
        <v>2065</v>
      </c>
    </row>
    <row r="150" spans="1:18">
      <c r="A150" s="7" t="s">
        <v>2264</v>
      </c>
      <c r="B150" s="7" t="s">
        <v>2071</v>
      </c>
      <c r="C150" s="7" t="s">
        <v>1823</v>
      </c>
      <c r="D150" s="7" t="s">
        <v>1110</v>
      </c>
      <c r="E150" s="7" t="s">
        <v>268</v>
      </c>
      <c r="F150" s="7" t="s">
        <v>409</v>
      </c>
      <c r="G150" s="7" t="s">
        <v>587</v>
      </c>
      <c r="H150" s="7" t="s">
        <v>115</v>
      </c>
      <c r="I150" s="7" t="s">
        <v>271</v>
      </c>
      <c r="J150" s="7" t="s">
        <v>447</v>
      </c>
      <c r="K150" s="7" t="s">
        <v>1095</v>
      </c>
      <c r="L150" s="7" t="s">
        <v>1421</v>
      </c>
      <c r="M150" s="7" t="s">
        <v>303</v>
      </c>
      <c r="N150" s="7" t="s">
        <v>412</v>
      </c>
      <c r="O150" s="7" t="s">
        <v>169</v>
      </c>
      <c r="P150" s="7" t="s">
        <v>14</v>
      </c>
      <c r="Q150" s="7" t="s">
        <v>326</v>
      </c>
      <c r="R150" s="7" t="s">
        <v>2065</v>
      </c>
    </row>
    <row r="151" spans="1:18">
      <c r="A151" s="7" t="s">
        <v>2265</v>
      </c>
      <c r="B151" s="7" t="s">
        <v>2098</v>
      </c>
      <c r="C151" s="7" t="s">
        <v>1858</v>
      </c>
      <c r="D151" s="7" t="s">
        <v>254</v>
      </c>
      <c r="E151" s="7" t="s">
        <v>339</v>
      </c>
      <c r="F151" s="7" t="s">
        <v>269</v>
      </c>
      <c r="G151" s="7" t="s">
        <v>340</v>
      </c>
      <c r="H151" s="7" t="s">
        <v>127</v>
      </c>
      <c r="I151" s="7" t="s">
        <v>258</v>
      </c>
      <c r="J151" s="7" t="s">
        <v>469</v>
      </c>
      <c r="K151" s="7"/>
      <c r="L151" s="7"/>
      <c r="M151" s="7" t="s">
        <v>260</v>
      </c>
      <c r="N151" s="7" t="s">
        <v>276</v>
      </c>
      <c r="O151" s="7" t="s">
        <v>195</v>
      </c>
      <c r="P151" s="7"/>
      <c r="Q151" s="7" t="s">
        <v>318</v>
      </c>
      <c r="R151" s="7" t="s">
        <v>2065</v>
      </c>
    </row>
    <row r="152" spans="1:18">
      <c r="A152" s="7" t="s">
        <v>2266</v>
      </c>
      <c r="B152" s="7" t="s">
        <v>2132</v>
      </c>
      <c r="C152" s="7" t="s">
        <v>1576</v>
      </c>
      <c r="D152" s="7" t="s">
        <v>546</v>
      </c>
      <c r="E152" s="7" t="s">
        <v>268</v>
      </c>
      <c r="F152" s="7" t="s">
        <v>282</v>
      </c>
      <c r="G152" s="7" t="s">
        <v>505</v>
      </c>
      <c r="H152" s="7" t="s">
        <v>127</v>
      </c>
      <c r="I152" s="7" t="s">
        <v>258</v>
      </c>
      <c r="J152" s="7" t="s">
        <v>351</v>
      </c>
      <c r="K152" s="7"/>
      <c r="L152" s="7"/>
      <c r="M152" s="7" t="s">
        <v>260</v>
      </c>
      <c r="N152" s="7" t="s">
        <v>284</v>
      </c>
      <c r="O152" s="7" t="s">
        <v>195</v>
      </c>
      <c r="P152" s="7"/>
      <c r="Q152" s="7" t="s">
        <v>262</v>
      </c>
      <c r="R152" s="7" t="s">
        <v>2065</v>
      </c>
    </row>
    <row r="153" spans="1:18">
      <c r="A153" s="7" t="s">
        <v>2267</v>
      </c>
      <c r="B153" s="7" t="s">
        <v>2181</v>
      </c>
      <c r="C153" s="7" t="s">
        <v>2091</v>
      </c>
      <c r="D153" s="7" t="s">
        <v>1525</v>
      </c>
      <c r="E153" s="7" t="s">
        <v>339</v>
      </c>
      <c r="F153" s="7" t="s">
        <v>282</v>
      </c>
      <c r="G153" s="7" t="s">
        <v>461</v>
      </c>
      <c r="H153" s="7" t="s">
        <v>122</v>
      </c>
      <c r="I153" s="7" t="s">
        <v>258</v>
      </c>
      <c r="J153" s="7" t="s">
        <v>332</v>
      </c>
      <c r="K153" s="7"/>
      <c r="L153" s="7"/>
      <c r="M153" s="7" t="s">
        <v>260</v>
      </c>
      <c r="N153" s="7" t="s">
        <v>284</v>
      </c>
      <c r="O153" s="7" t="s">
        <v>1248</v>
      </c>
      <c r="P153" s="7"/>
      <c r="Q153" s="7" t="s">
        <v>305</v>
      </c>
      <c r="R153" s="7" t="s">
        <v>2065</v>
      </c>
    </row>
    <row r="154" spans="1:18">
      <c r="A154" s="7" t="s">
        <v>2268</v>
      </c>
      <c r="B154" s="7" t="s">
        <v>2064</v>
      </c>
      <c r="C154" s="7" t="s">
        <v>1627</v>
      </c>
      <c r="D154" s="7" t="s">
        <v>2165</v>
      </c>
      <c r="E154" s="7" t="s">
        <v>281</v>
      </c>
      <c r="F154" s="7" t="s">
        <v>282</v>
      </c>
      <c r="G154" s="7" t="s">
        <v>446</v>
      </c>
      <c r="H154" s="7" t="s">
        <v>115</v>
      </c>
      <c r="I154" s="7" t="s">
        <v>258</v>
      </c>
      <c r="J154" s="7" t="s">
        <v>447</v>
      </c>
      <c r="K154" s="7" t="s">
        <v>1459</v>
      </c>
      <c r="L154" s="7" t="s">
        <v>814</v>
      </c>
      <c r="M154" s="7" t="s">
        <v>335</v>
      </c>
      <c r="N154" s="7"/>
      <c r="O154" s="7" t="s">
        <v>195</v>
      </c>
      <c r="P154" s="7" t="s">
        <v>17</v>
      </c>
      <c r="Q154" s="7" t="s">
        <v>318</v>
      </c>
      <c r="R154" s="7" t="s">
        <v>2065</v>
      </c>
    </row>
    <row r="155" spans="1:18">
      <c r="A155" s="7" t="s">
        <v>2269</v>
      </c>
      <c r="B155" s="7" t="s">
        <v>2077</v>
      </c>
      <c r="C155" s="7" t="s">
        <v>1888</v>
      </c>
      <c r="D155" s="7" t="s">
        <v>677</v>
      </c>
      <c r="E155" s="7" t="s">
        <v>255</v>
      </c>
      <c r="F155" s="7" t="s">
        <v>256</v>
      </c>
      <c r="G155" s="7" t="s">
        <v>398</v>
      </c>
      <c r="H155" s="7" t="s">
        <v>122</v>
      </c>
      <c r="I155" s="7" t="s">
        <v>271</v>
      </c>
      <c r="J155" s="7" t="s">
        <v>399</v>
      </c>
      <c r="K155" s="7"/>
      <c r="L155" s="7"/>
      <c r="M155" s="7" t="s">
        <v>260</v>
      </c>
      <c r="N155" s="7" t="s">
        <v>261</v>
      </c>
      <c r="O155" s="7" t="s">
        <v>195</v>
      </c>
      <c r="P155" s="7"/>
      <c r="Q155" s="7" t="s">
        <v>326</v>
      </c>
      <c r="R155" s="7" t="s">
        <v>2065</v>
      </c>
    </row>
    <row r="156" spans="1:18">
      <c r="A156" s="7" t="s">
        <v>2270</v>
      </c>
      <c r="B156" s="7" t="s">
        <v>2079</v>
      </c>
      <c r="C156" s="7" t="s">
        <v>1832</v>
      </c>
      <c r="D156" s="7" t="s">
        <v>2044</v>
      </c>
      <c r="E156" s="7" t="s">
        <v>255</v>
      </c>
      <c r="F156" s="7" t="s">
        <v>256</v>
      </c>
      <c r="G156" s="7" t="s">
        <v>398</v>
      </c>
      <c r="H156" s="7" t="s">
        <v>115</v>
      </c>
      <c r="I156" s="7" t="s">
        <v>299</v>
      </c>
      <c r="J156" s="7" t="s">
        <v>272</v>
      </c>
      <c r="K156" s="7" t="s">
        <v>777</v>
      </c>
      <c r="L156" s="7" t="s">
        <v>1269</v>
      </c>
      <c r="M156" s="7" t="s">
        <v>303</v>
      </c>
      <c r="N156" s="7" t="s">
        <v>261</v>
      </c>
      <c r="O156" s="7" t="s">
        <v>195</v>
      </c>
      <c r="P156" s="7" t="s">
        <v>8</v>
      </c>
      <c r="Q156" s="7" t="s">
        <v>326</v>
      </c>
      <c r="R156" s="7" t="s">
        <v>2065</v>
      </c>
    </row>
    <row r="157" spans="1:18">
      <c r="A157" s="7" t="s">
        <v>2271</v>
      </c>
      <c r="B157" s="7" t="s">
        <v>2098</v>
      </c>
      <c r="C157" s="7" t="s">
        <v>2071</v>
      </c>
      <c r="D157" s="7" t="s">
        <v>1209</v>
      </c>
      <c r="E157" s="7" t="s">
        <v>268</v>
      </c>
      <c r="F157" s="7" t="s">
        <v>256</v>
      </c>
      <c r="G157" s="7" t="s">
        <v>419</v>
      </c>
      <c r="H157" s="7" t="s">
        <v>115</v>
      </c>
      <c r="I157" s="7" t="s">
        <v>316</v>
      </c>
      <c r="J157" s="7" t="s">
        <v>404</v>
      </c>
      <c r="K157" s="7" t="s">
        <v>650</v>
      </c>
      <c r="L157" s="7" t="s">
        <v>2116</v>
      </c>
      <c r="M157" s="7" t="s">
        <v>303</v>
      </c>
      <c r="N157" s="7" t="s">
        <v>261</v>
      </c>
      <c r="O157" s="7" t="s">
        <v>195</v>
      </c>
      <c r="P157" s="7" t="s">
        <v>14</v>
      </c>
      <c r="Q157" s="7" t="s">
        <v>318</v>
      </c>
      <c r="R157" s="7" t="s">
        <v>2065</v>
      </c>
    </row>
    <row r="158" spans="1:18">
      <c r="A158" s="7" t="s">
        <v>2272</v>
      </c>
      <c r="B158" s="7" t="s">
        <v>2077</v>
      </c>
      <c r="C158" s="7" t="s">
        <v>2098</v>
      </c>
      <c r="D158" s="7" t="s">
        <v>1077</v>
      </c>
      <c r="E158" s="7" t="s">
        <v>268</v>
      </c>
      <c r="F158" s="7" t="s">
        <v>269</v>
      </c>
      <c r="G158" s="7" t="s">
        <v>270</v>
      </c>
      <c r="H158" s="7" t="s">
        <v>127</v>
      </c>
      <c r="I158" s="7" t="s">
        <v>258</v>
      </c>
      <c r="J158" s="7" t="s">
        <v>469</v>
      </c>
      <c r="K158" s="7"/>
      <c r="L158" s="7"/>
      <c r="M158" s="7" t="s">
        <v>260</v>
      </c>
      <c r="N158" s="7" t="s">
        <v>276</v>
      </c>
      <c r="O158" s="7" t="s">
        <v>195</v>
      </c>
      <c r="P158" s="7"/>
      <c r="Q158" s="7" t="s">
        <v>326</v>
      </c>
      <c r="R158" s="7" t="s">
        <v>2065</v>
      </c>
    </row>
    <row r="159" spans="1:18">
      <c r="A159" s="7" t="s">
        <v>2273</v>
      </c>
      <c r="B159" s="7" t="s">
        <v>2150</v>
      </c>
      <c r="C159" s="7" t="s">
        <v>1852</v>
      </c>
      <c r="D159" s="7" t="s">
        <v>1508</v>
      </c>
      <c r="E159" s="7" t="s">
        <v>268</v>
      </c>
      <c r="F159" s="7" t="s">
        <v>297</v>
      </c>
      <c r="G159" s="7" t="s">
        <v>628</v>
      </c>
      <c r="H159" s="7" t="s">
        <v>115</v>
      </c>
      <c r="I159" s="7" t="s">
        <v>258</v>
      </c>
      <c r="J159" s="7" t="s">
        <v>351</v>
      </c>
      <c r="K159" s="7" t="s">
        <v>1486</v>
      </c>
      <c r="L159" s="7" t="s">
        <v>1019</v>
      </c>
      <c r="M159" s="7" t="s">
        <v>303</v>
      </c>
      <c r="N159" s="7" t="s">
        <v>304</v>
      </c>
      <c r="O159" s="7" t="s">
        <v>195</v>
      </c>
      <c r="P159" s="7" t="s">
        <v>8</v>
      </c>
      <c r="Q159" s="7" t="s">
        <v>305</v>
      </c>
      <c r="R159" s="7" t="s">
        <v>2065</v>
      </c>
    </row>
    <row r="160" spans="1:18">
      <c r="A160" s="7" t="s">
        <v>2274</v>
      </c>
      <c r="B160" s="7" t="s">
        <v>2079</v>
      </c>
      <c r="C160" s="7" t="s">
        <v>1837</v>
      </c>
      <c r="D160" s="7" t="s">
        <v>1239</v>
      </c>
      <c r="E160" s="7" t="s">
        <v>339</v>
      </c>
      <c r="F160" s="7" t="s">
        <v>269</v>
      </c>
      <c r="G160" s="7" t="s">
        <v>528</v>
      </c>
      <c r="H160" s="7" t="s">
        <v>696</v>
      </c>
      <c r="I160" s="7" t="s">
        <v>271</v>
      </c>
      <c r="J160" s="7" t="s">
        <v>259</v>
      </c>
      <c r="K160" s="7"/>
      <c r="L160" s="7"/>
      <c r="M160" s="7" t="s">
        <v>260</v>
      </c>
      <c r="N160" s="7" t="s">
        <v>276</v>
      </c>
      <c r="O160" s="7" t="s">
        <v>195</v>
      </c>
      <c r="P160" s="7"/>
      <c r="Q160" s="7" t="s">
        <v>326</v>
      </c>
      <c r="R160" s="7" t="s">
        <v>2065</v>
      </c>
    </row>
    <row r="161" spans="1:18">
      <c r="A161" s="7" t="s">
        <v>2275</v>
      </c>
      <c r="B161" s="7" t="s">
        <v>2086</v>
      </c>
      <c r="C161" s="7" t="s">
        <v>1591</v>
      </c>
      <c r="D161" s="7" t="s">
        <v>468</v>
      </c>
      <c r="E161" s="7" t="s">
        <v>255</v>
      </c>
      <c r="F161" s="7" t="s">
        <v>269</v>
      </c>
      <c r="G161" s="7" t="s">
        <v>391</v>
      </c>
      <c r="H161" s="7" t="s">
        <v>115</v>
      </c>
      <c r="I161" s="7" t="s">
        <v>299</v>
      </c>
      <c r="J161" s="7" t="s">
        <v>399</v>
      </c>
      <c r="K161" s="7" t="s">
        <v>635</v>
      </c>
      <c r="L161" s="7" t="s">
        <v>1114</v>
      </c>
      <c r="M161" s="7" t="s">
        <v>275</v>
      </c>
      <c r="N161" s="7" t="s">
        <v>276</v>
      </c>
      <c r="O161" s="7" t="s">
        <v>195</v>
      </c>
      <c r="P161" s="7" t="s">
        <v>17</v>
      </c>
      <c r="Q161" s="7" t="s">
        <v>326</v>
      </c>
      <c r="R161" s="7" t="s">
        <v>2065</v>
      </c>
    </row>
    <row r="162" spans="1:18">
      <c r="A162" s="7" t="s">
        <v>2276</v>
      </c>
      <c r="B162" s="7" t="s">
        <v>2159</v>
      </c>
      <c r="C162" s="7" t="s">
        <v>2098</v>
      </c>
      <c r="D162" s="7" t="s">
        <v>1022</v>
      </c>
      <c r="E162" s="7" t="s">
        <v>339</v>
      </c>
      <c r="F162" s="7" t="s">
        <v>297</v>
      </c>
      <c r="G162" s="7" t="s">
        <v>780</v>
      </c>
      <c r="H162" s="7" t="s">
        <v>122</v>
      </c>
      <c r="I162" s="7" t="s">
        <v>316</v>
      </c>
      <c r="J162" s="7" t="s">
        <v>447</v>
      </c>
      <c r="K162" s="7"/>
      <c r="L162" s="7"/>
      <c r="M162" s="7" t="s">
        <v>260</v>
      </c>
      <c r="N162" s="7" t="s">
        <v>304</v>
      </c>
      <c r="O162" s="7" t="s">
        <v>169</v>
      </c>
      <c r="P162" s="7"/>
      <c r="Q162" s="7" t="s">
        <v>262</v>
      </c>
      <c r="R162" s="7" t="s">
        <v>2065</v>
      </c>
    </row>
    <row r="163" spans="1:18">
      <c r="A163" s="7" t="s">
        <v>2277</v>
      </c>
      <c r="B163" s="7" t="s">
        <v>2067</v>
      </c>
      <c r="C163" s="7" t="s">
        <v>1591</v>
      </c>
      <c r="D163" s="7" t="s">
        <v>563</v>
      </c>
      <c r="E163" s="7" t="s">
        <v>268</v>
      </c>
      <c r="F163" s="7"/>
      <c r="G163" s="7" t="s">
        <v>505</v>
      </c>
      <c r="H163" s="7" t="s">
        <v>127</v>
      </c>
      <c r="I163" s="7" t="s">
        <v>316</v>
      </c>
      <c r="J163" s="7" t="s">
        <v>341</v>
      </c>
      <c r="K163" s="7"/>
      <c r="L163" s="7"/>
      <c r="M163" s="7" t="s">
        <v>260</v>
      </c>
      <c r="N163" s="7" t="s">
        <v>284</v>
      </c>
      <c r="O163" s="7" t="s">
        <v>195</v>
      </c>
      <c r="P163" s="7"/>
      <c r="Q163" s="7" t="s">
        <v>305</v>
      </c>
      <c r="R163" s="7" t="s">
        <v>2065</v>
      </c>
    </row>
    <row r="164" spans="1:18">
      <c r="A164" s="7" t="s">
        <v>2278</v>
      </c>
      <c r="B164" s="7" t="s">
        <v>2114</v>
      </c>
      <c r="C164" s="7" t="s">
        <v>2161</v>
      </c>
      <c r="D164" s="7" t="s">
        <v>839</v>
      </c>
      <c r="E164" s="7" t="s">
        <v>339</v>
      </c>
      <c r="F164" s="7" t="s">
        <v>297</v>
      </c>
      <c r="G164" s="7" t="s">
        <v>780</v>
      </c>
      <c r="H164" s="7" t="s">
        <v>115</v>
      </c>
      <c r="I164" s="7" t="s">
        <v>258</v>
      </c>
      <c r="J164" s="7" t="s">
        <v>392</v>
      </c>
      <c r="K164" s="7" t="s">
        <v>1954</v>
      </c>
      <c r="L164" s="7" t="s">
        <v>1954</v>
      </c>
      <c r="M164" s="7" t="s">
        <v>303</v>
      </c>
      <c r="N164" s="7" t="s">
        <v>1163</v>
      </c>
      <c r="O164" s="7" t="s">
        <v>195</v>
      </c>
      <c r="P164" s="7" t="s">
        <v>8</v>
      </c>
      <c r="Q164" s="7" t="s">
        <v>305</v>
      </c>
      <c r="R164" s="7" t="s">
        <v>2065</v>
      </c>
    </row>
    <row r="165" spans="1:18">
      <c r="A165" s="7" t="s">
        <v>2279</v>
      </c>
      <c r="B165" s="7" t="s">
        <v>2071</v>
      </c>
      <c r="C165" s="7" t="s">
        <v>1609</v>
      </c>
      <c r="D165" s="7" t="s">
        <v>397</v>
      </c>
      <c r="E165" s="7" t="s">
        <v>339</v>
      </c>
      <c r="F165" s="7" t="s">
        <v>297</v>
      </c>
      <c r="G165" s="7" t="s">
        <v>569</v>
      </c>
      <c r="H165" s="7" t="s">
        <v>127</v>
      </c>
      <c r="I165" s="7" t="s">
        <v>271</v>
      </c>
      <c r="J165" s="7" t="s">
        <v>404</v>
      </c>
      <c r="K165" s="7"/>
      <c r="L165" s="7"/>
      <c r="M165" s="7" t="s">
        <v>260</v>
      </c>
      <c r="N165" s="7" t="s">
        <v>304</v>
      </c>
      <c r="O165" s="7" t="s">
        <v>169</v>
      </c>
      <c r="P165" s="7"/>
      <c r="Q165" s="7" t="s">
        <v>326</v>
      </c>
      <c r="R165" s="7" t="s">
        <v>2065</v>
      </c>
    </row>
    <row r="166" spans="1:18">
      <c r="A166" s="7" t="s">
        <v>2074</v>
      </c>
      <c r="B166" s="7" t="s">
        <v>2075</v>
      </c>
      <c r="C166" s="7" t="s">
        <v>1888</v>
      </c>
      <c r="D166" s="7" t="s">
        <v>853</v>
      </c>
      <c r="E166" s="7" t="s">
        <v>281</v>
      </c>
      <c r="F166" s="7" t="s">
        <v>269</v>
      </c>
      <c r="G166" s="7" t="s">
        <v>322</v>
      </c>
      <c r="H166" s="7" t="s">
        <v>115</v>
      </c>
      <c r="I166" s="7" t="s">
        <v>316</v>
      </c>
      <c r="J166" s="7" t="s">
        <v>411</v>
      </c>
      <c r="K166" s="7" t="s">
        <v>808</v>
      </c>
      <c r="L166" s="7" t="s">
        <v>1767</v>
      </c>
      <c r="M166" s="7" t="s">
        <v>303</v>
      </c>
      <c r="N166" s="7" t="s">
        <v>276</v>
      </c>
      <c r="O166" s="7" t="s">
        <v>195</v>
      </c>
      <c r="P166" s="7" t="s">
        <v>17</v>
      </c>
      <c r="Q166" s="7" t="s">
        <v>285</v>
      </c>
      <c r="R166" s="7" t="s">
        <v>2065</v>
      </c>
    </row>
    <row r="167" spans="1:18">
      <c r="A167" s="7" t="s">
        <v>2153</v>
      </c>
      <c r="B167" s="7" t="s">
        <v>2091</v>
      </c>
      <c r="C167" s="7" t="s">
        <v>1576</v>
      </c>
      <c r="D167" s="7" t="s">
        <v>402</v>
      </c>
      <c r="E167" s="7" t="s">
        <v>339</v>
      </c>
      <c r="F167" s="7" t="s">
        <v>282</v>
      </c>
      <c r="G167" s="7" t="s">
        <v>461</v>
      </c>
      <c r="H167" s="7" t="s">
        <v>115</v>
      </c>
      <c r="I167" s="7" t="s">
        <v>299</v>
      </c>
      <c r="J167" s="7" t="s">
        <v>392</v>
      </c>
      <c r="K167" s="7" t="s">
        <v>1809</v>
      </c>
      <c r="L167" s="7" t="s">
        <v>1173</v>
      </c>
      <c r="M167" s="7" t="s">
        <v>275</v>
      </c>
      <c r="N167" s="7" t="s">
        <v>284</v>
      </c>
      <c r="O167" s="7" t="s">
        <v>195</v>
      </c>
      <c r="P167" s="7" t="s">
        <v>11</v>
      </c>
      <c r="Q167" s="7" t="s">
        <v>285</v>
      </c>
      <c r="R167" s="7" t="s">
        <v>2065</v>
      </c>
    </row>
    <row r="168" spans="1:18">
      <c r="A168" s="7" t="s">
        <v>2217</v>
      </c>
      <c r="B168" s="7" t="s">
        <v>2079</v>
      </c>
      <c r="C168" s="7" t="s">
        <v>2130</v>
      </c>
      <c r="D168" s="7" t="s">
        <v>1755</v>
      </c>
      <c r="E168" s="7" t="s">
        <v>339</v>
      </c>
      <c r="F168" s="7" t="s">
        <v>297</v>
      </c>
      <c r="G168" s="7" t="s">
        <v>780</v>
      </c>
      <c r="H168" s="7" t="s">
        <v>115</v>
      </c>
      <c r="I168" s="7" t="s">
        <v>258</v>
      </c>
      <c r="J168" s="7" t="s">
        <v>341</v>
      </c>
      <c r="K168" s="7" t="s">
        <v>1139</v>
      </c>
      <c r="L168" s="7" t="s">
        <v>841</v>
      </c>
      <c r="M168" s="7" t="s">
        <v>275</v>
      </c>
      <c r="N168" s="7" t="s">
        <v>1163</v>
      </c>
      <c r="O168" s="7" t="s">
        <v>195</v>
      </c>
      <c r="P168" s="7" t="s">
        <v>14</v>
      </c>
      <c r="Q168" s="7" t="s">
        <v>262</v>
      </c>
      <c r="R168" s="7" t="s">
        <v>2065</v>
      </c>
    </row>
  </sheetData>
  <mergeCells count="2">
    <mergeCell ref="A1:R2"/>
    <mergeCell ref="A3:R3"/>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9"/>
  <sheetViews>
    <sheetView showGridLines="0" workbookViewId="0">
      <selection activeCell="B6" sqref="B6"/>
    </sheetView>
  </sheetViews>
  <sheetFormatPr defaultRowHeight="14"/>
  <cols>
    <col min="1" max="1" width="16" customWidth="1"/>
    <col min="2" max="2" width="44" customWidth="1"/>
    <col min="3" max="3" width="18" customWidth="1"/>
    <col min="4" max="4" width="28" customWidth="1"/>
    <col min="5" max="5" width="18" customWidth="1"/>
    <col min="6" max="6" width="28" customWidth="1"/>
  </cols>
  <sheetData>
    <row r="1" spans="1:6">
      <c r="A1" s="49" t="s">
        <v>2280</v>
      </c>
      <c r="B1" s="49"/>
      <c r="C1" s="49"/>
      <c r="D1" s="49"/>
      <c r="E1" s="49"/>
      <c r="F1" s="49"/>
    </row>
    <row r="2" spans="1:6">
      <c r="A2" s="49"/>
      <c r="B2" s="49"/>
      <c r="C2" s="49"/>
      <c r="D2" s="49"/>
      <c r="E2" s="49"/>
      <c r="F2" s="49"/>
    </row>
    <row r="3" spans="1:6">
      <c r="A3" s="50" t="s">
        <v>2281</v>
      </c>
      <c r="B3" s="50"/>
      <c r="C3" s="50"/>
      <c r="D3" s="50"/>
      <c r="E3" s="50"/>
      <c r="F3" s="50"/>
    </row>
    <row r="4" spans="1:6" ht="14.5">
      <c r="A4" s="2"/>
      <c r="B4" s="2"/>
      <c r="C4" s="2"/>
      <c r="D4" s="2"/>
      <c r="E4" s="2"/>
      <c r="F4" s="2"/>
    </row>
    <row r="5" spans="1:6" ht="14.5">
      <c r="A5" s="1" t="s">
        <v>181</v>
      </c>
      <c r="B5" s="1" t="s">
        <v>231</v>
      </c>
      <c r="C5" s="1" t="s">
        <v>234</v>
      </c>
      <c r="D5" s="1" t="s">
        <v>2282</v>
      </c>
      <c r="E5" s="1" t="s">
        <v>2283</v>
      </c>
      <c r="F5" s="1" t="s">
        <v>2284</v>
      </c>
    </row>
    <row r="6" spans="1:6" ht="14.5">
      <c r="A6" s="2" t="s">
        <v>268</v>
      </c>
      <c r="B6" s="2" t="s">
        <v>2285</v>
      </c>
      <c r="C6" s="2" t="s">
        <v>2286</v>
      </c>
      <c r="D6" s="2" t="s">
        <v>2287</v>
      </c>
      <c r="E6" s="2" t="s">
        <v>2288</v>
      </c>
      <c r="F6" s="2" t="s">
        <v>2289</v>
      </c>
    </row>
    <row r="7" spans="1:6" ht="14.5">
      <c r="A7" s="2" t="s">
        <v>281</v>
      </c>
      <c r="B7" s="2" t="s">
        <v>2290</v>
      </c>
      <c r="C7" s="2" t="s">
        <v>2291</v>
      </c>
      <c r="D7" s="2" t="s">
        <v>2292</v>
      </c>
      <c r="E7" s="2" t="s">
        <v>2288</v>
      </c>
      <c r="F7" s="2" t="s">
        <v>2293</v>
      </c>
    </row>
    <row r="8" spans="1:6" ht="14.5">
      <c r="A8" s="2" t="s">
        <v>339</v>
      </c>
      <c r="B8" s="2" t="s">
        <v>2294</v>
      </c>
      <c r="C8" s="2" t="s">
        <v>2295</v>
      </c>
      <c r="D8" s="2" t="s">
        <v>2296</v>
      </c>
      <c r="E8" s="2" t="s">
        <v>2297</v>
      </c>
      <c r="F8" s="2" t="s">
        <v>2298</v>
      </c>
    </row>
    <row r="9" spans="1:6" ht="14.5">
      <c r="A9" s="2" t="s">
        <v>255</v>
      </c>
      <c r="B9" s="2" t="s">
        <v>2299</v>
      </c>
      <c r="C9" s="2" t="s">
        <v>2295</v>
      </c>
      <c r="D9" s="2" t="s">
        <v>2300</v>
      </c>
      <c r="E9" s="2" t="s">
        <v>2288</v>
      </c>
      <c r="F9" s="2" t="s">
        <v>2301</v>
      </c>
    </row>
  </sheetData>
  <mergeCells count="2">
    <mergeCell ref="A1:F2"/>
    <mergeCell ref="A3:F3"/>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F10"/>
  <sheetViews>
    <sheetView showGridLines="0" workbookViewId="0">
      <selection activeCell="E24" sqref="E24"/>
    </sheetView>
  </sheetViews>
  <sheetFormatPr defaultRowHeight="14"/>
  <cols>
    <col min="1" max="1" width="16" customWidth="1"/>
    <col min="2" max="2" width="30" customWidth="1"/>
    <col min="3" max="4" width="22" customWidth="1"/>
    <col min="5" max="5" width="28" customWidth="1"/>
    <col min="6" max="6" width="30" customWidth="1"/>
  </cols>
  <sheetData>
    <row r="1" spans="1:6">
      <c r="A1" s="49" t="s">
        <v>2302</v>
      </c>
      <c r="B1" s="49"/>
      <c r="C1" s="49"/>
      <c r="D1" s="49"/>
      <c r="E1" s="49"/>
      <c r="F1" s="49"/>
    </row>
    <row r="2" spans="1:6">
      <c r="A2" s="49"/>
      <c r="B2" s="49"/>
      <c r="C2" s="49"/>
      <c r="D2" s="49"/>
      <c r="E2" s="49"/>
      <c r="F2" s="49"/>
    </row>
    <row r="3" spans="1:6">
      <c r="A3" s="50" t="s">
        <v>2281</v>
      </c>
      <c r="B3" s="50"/>
      <c r="C3" s="50"/>
      <c r="D3" s="50"/>
      <c r="E3" s="50"/>
      <c r="F3" s="50"/>
    </row>
    <row r="4" spans="1:6" ht="14.5">
      <c r="A4" s="2"/>
      <c r="B4" s="2"/>
      <c r="C4" s="2"/>
      <c r="D4" s="2"/>
      <c r="E4" s="2"/>
      <c r="F4" s="2"/>
    </row>
    <row r="5" spans="1:6" ht="14.5">
      <c r="A5" s="1" t="s">
        <v>184</v>
      </c>
      <c r="B5" s="1" t="s">
        <v>2303</v>
      </c>
      <c r="C5" s="1" t="s">
        <v>238</v>
      </c>
      <c r="D5" s="1" t="s">
        <v>241</v>
      </c>
      <c r="E5" s="1" t="s">
        <v>2304</v>
      </c>
      <c r="F5" s="1" t="s">
        <v>2305</v>
      </c>
    </row>
    <row r="6" spans="1:6" ht="14.5">
      <c r="A6" s="2" t="s">
        <v>297</v>
      </c>
      <c r="B6" s="2" t="s">
        <v>2306</v>
      </c>
      <c r="C6" s="8">
        <v>7</v>
      </c>
      <c r="D6" s="9">
        <v>65</v>
      </c>
      <c r="E6" s="2" t="s">
        <v>2307</v>
      </c>
      <c r="F6" s="2" t="s">
        <v>2308</v>
      </c>
    </row>
    <row r="7" spans="1:6" ht="14.5">
      <c r="A7" s="2" t="s">
        <v>282</v>
      </c>
      <c r="B7" s="2" t="s">
        <v>2309</v>
      </c>
      <c r="C7" s="8">
        <v>14</v>
      </c>
      <c r="D7" s="9">
        <v>120</v>
      </c>
      <c r="E7" s="2" t="s">
        <v>2310</v>
      </c>
      <c r="F7" s="2" t="s">
        <v>2311</v>
      </c>
    </row>
    <row r="8" spans="1:6" ht="14.5">
      <c r="A8" s="2" t="s">
        <v>256</v>
      </c>
      <c r="B8" s="2" t="s">
        <v>2312</v>
      </c>
      <c r="C8" s="8">
        <v>21</v>
      </c>
      <c r="D8" s="9">
        <v>95</v>
      </c>
      <c r="E8" s="2" t="s">
        <v>2313</v>
      </c>
      <c r="F8" s="2" t="s">
        <v>2314</v>
      </c>
    </row>
    <row r="9" spans="1:6" ht="14.5">
      <c r="A9" s="2" t="s">
        <v>269</v>
      </c>
      <c r="B9" s="2" t="s">
        <v>2315</v>
      </c>
      <c r="C9" s="8">
        <v>10</v>
      </c>
      <c r="D9" s="9">
        <v>80</v>
      </c>
      <c r="E9" s="2" t="s">
        <v>2316</v>
      </c>
      <c r="F9" s="2" t="s">
        <v>2317</v>
      </c>
    </row>
    <row r="10" spans="1:6" ht="14.5">
      <c r="A10" s="2" t="s">
        <v>409</v>
      </c>
      <c r="B10" s="2" t="s">
        <v>2318</v>
      </c>
      <c r="C10" s="8">
        <v>28</v>
      </c>
      <c r="D10" s="9">
        <v>150</v>
      </c>
      <c r="E10" s="2" t="s">
        <v>2319</v>
      </c>
      <c r="F10" s="2" t="s">
        <v>2320</v>
      </c>
    </row>
  </sheetData>
  <mergeCells count="2">
    <mergeCell ref="A1:F2"/>
    <mergeCell ref="A3:F3"/>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F45"/>
  <sheetViews>
    <sheetView showGridLines="0" topLeftCell="A4" workbookViewId="0">
      <selection sqref="A1:F2"/>
    </sheetView>
  </sheetViews>
  <sheetFormatPr defaultRowHeight="14"/>
  <cols>
    <col min="1" max="1" width="16" customWidth="1"/>
    <col min="2" max="2" width="28" customWidth="1"/>
    <col min="3" max="4" width="16" customWidth="1"/>
    <col min="5" max="5" width="30" customWidth="1"/>
    <col min="6" max="6" width="20" customWidth="1"/>
  </cols>
  <sheetData>
    <row r="1" spans="1:6">
      <c r="A1" s="49" t="s">
        <v>2321</v>
      </c>
      <c r="B1" s="49"/>
      <c r="C1" s="49"/>
      <c r="D1" s="49"/>
      <c r="E1" s="49"/>
      <c r="F1" s="49"/>
    </row>
    <row r="2" spans="1:6">
      <c r="A2" s="49"/>
      <c r="B2" s="49"/>
      <c r="C2" s="49"/>
      <c r="D2" s="49"/>
      <c r="E2" s="49"/>
      <c r="F2" s="49"/>
    </row>
    <row r="3" spans="1:6">
      <c r="A3" s="50" t="s">
        <v>2281</v>
      </c>
      <c r="B3" s="50"/>
      <c r="C3" s="50"/>
      <c r="D3" s="50"/>
      <c r="E3" s="50"/>
      <c r="F3" s="50"/>
    </row>
    <row r="4" spans="1:6" ht="14.5">
      <c r="A4" s="2"/>
      <c r="B4" s="2"/>
      <c r="C4" s="2"/>
      <c r="D4" s="2"/>
      <c r="E4" s="2"/>
      <c r="F4" s="2"/>
    </row>
    <row r="5" spans="1:6" ht="14.5">
      <c r="A5" s="1" t="s">
        <v>187</v>
      </c>
      <c r="B5" s="1" t="s">
        <v>2322</v>
      </c>
      <c r="C5" s="1" t="s">
        <v>181</v>
      </c>
      <c r="D5" s="1" t="s">
        <v>184</v>
      </c>
      <c r="E5" s="1" t="s">
        <v>2323</v>
      </c>
      <c r="F5" s="1" t="s">
        <v>2324</v>
      </c>
    </row>
    <row r="6" spans="1:6" ht="14.5">
      <c r="A6" s="2" t="s">
        <v>583</v>
      </c>
      <c r="B6" s="2" t="s">
        <v>2325</v>
      </c>
      <c r="C6" s="2" t="s">
        <v>268</v>
      </c>
      <c r="D6" s="2" t="s">
        <v>297</v>
      </c>
      <c r="E6" s="2" t="s">
        <v>2308</v>
      </c>
      <c r="F6" s="2" t="s">
        <v>2326</v>
      </c>
    </row>
    <row r="7" spans="1:6" ht="14.5">
      <c r="A7" s="2" t="s">
        <v>628</v>
      </c>
      <c r="B7" s="2" t="s">
        <v>2327</v>
      </c>
      <c r="C7" s="2" t="s">
        <v>268</v>
      </c>
      <c r="D7" s="2" t="s">
        <v>297</v>
      </c>
      <c r="E7" s="2" t="s">
        <v>2308</v>
      </c>
      <c r="F7" s="2" t="s">
        <v>2326</v>
      </c>
    </row>
    <row r="8" spans="1:6" ht="14.5">
      <c r="A8" s="2" t="s">
        <v>505</v>
      </c>
      <c r="B8" s="2" t="s">
        <v>2328</v>
      </c>
      <c r="C8" s="2" t="s">
        <v>268</v>
      </c>
      <c r="D8" s="2" t="s">
        <v>282</v>
      </c>
      <c r="E8" s="2" t="s">
        <v>2311</v>
      </c>
      <c r="F8" s="2" t="s">
        <v>2326</v>
      </c>
    </row>
    <row r="9" spans="1:6" ht="14.5">
      <c r="A9" s="2" t="s">
        <v>524</v>
      </c>
      <c r="B9" s="2" t="s">
        <v>2329</v>
      </c>
      <c r="C9" s="2" t="s">
        <v>268</v>
      </c>
      <c r="D9" s="2" t="s">
        <v>282</v>
      </c>
      <c r="E9" s="2" t="s">
        <v>2311</v>
      </c>
      <c r="F9" s="2" t="s">
        <v>2330</v>
      </c>
    </row>
    <row r="10" spans="1:6" ht="14.5">
      <c r="A10" s="2" t="s">
        <v>419</v>
      </c>
      <c r="B10" s="2" t="s">
        <v>2331</v>
      </c>
      <c r="C10" s="2" t="s">
        <v>268</v>
      </c>
      <c r="D10" s="2" t="s">
        <v>256</v>
      </c>
      <c r="E10" s="2" t="s">
        <v>2314</v>
      </c>
      <c r="F10" s="2" t="s">
        <v>2326</v>
      </c>
    </row>
    <row r="11" spans="1:6" ht="14.5">
      <c r="A11" s="2" t="s">
        <v>886</v>
      </c>
      <c r="B11" s="2" t="s">
        <v>2332</v>
      </c>
      <c r="C11" s="2" t="s">
        <v>268</v>
      </c>
      <c r="D11" s="2" t="s">
        <v>256</v>
      </c>
      <c r="E11" s="2" t="s">
        <v>2314</v>
      </c>
      <c r="F11" s="2" t="s">
        <v>2330</v>
      </c>
    </row>
    <row r="12" spans="1:6" ht="14.5">
      <c r="A12" s="2" t="s">
        <v>435</v>
      </c>
      <c r="B12" s="2" t="s">
        <v>2333</v>
      </c>
      <c r="C12" s="2" t="s">
        <v>268</v>
      </c>
      <c r="D12" s="2" t="s">
        <v>269</v>
      </c>
      <c r="E12" s="2" t="s">
        <v>2317</v>
      </c>
      <c r="F12" s="2" t="s">
        <v>2326</v>
      </c>
    </row>
    <row r="13" spans="1:6" ht="14.5">
      <c r="A13" s="2" t="s">
        <v>270</v>
      </c>
      <c r="B13" s="2" t="s">
        <v>2334</v>
      </c>
      <c r="C13" s="2" t="s">
        <v>268</v>
      </c>
      <c r="D13" s="2" t="s">
        <v>269</v>
      </c>
      <c r="E13" s="2" t="s">
        <v>2317</v>
      </c>
      <c r="F13" s="2" t="s">
        <v>2330</v>
      </c>
    </row>
    <row r="14" spans="1:6" ht="14.5">
      <c r="A14" s="2" t="s">
        <v>552</v>
      </c>
      <c r="B14" s="2" t="s">
        <v>2335</v>
      </c>
      <c r="C14" s="2" t="s">
        <v>268</v>
      </c>
      <c r="D14" s="2" t="s">
        <v>409</v>
      </c>
      <c r="E14" s="2" t="s">
        <v>2320</v>
      </c>
      <c r="F14" s="2" t="s">
        <v>2326</v>
      </c>
    </row>
    <row r="15" spans="1:6" ht="14.5">
      <c r="A15" s="2" t="s">
        <v>587</v>
      </c>
      <c r="B15" s="2" t="s">
        <v>2336</v>
      </c>
      <c r="C15" s="2" t="s">
        <v>268</v>
      </c>
      <c r="D15" s="2" t="s">
        <v>409</v>
      </c>
      <c r="E15" s="2" t="s">
        <v>2320</v>
      </c>
      <c r="F15" s="2" t="s">
        <v>2330</v>
      </c>
    </row>
    <row r="16" spans="1:6" ht="14.5">
      <c r="A16" s="2" t="s">
        <v>298</v>
      </c>
      <c r="B16" s="2" t="s">
        <v>2337</v>
      </c>
      <c r="C16" s="2" t="s">
        <v>281</v>
      </c>
      <c r="D16" s="2" t="s">
        <v>297</v>
      </c>
      <c r="E16" s="2" t="s">
        <v>2308</v>
      </c>
      <c r="F16" s="2" t="s">
        <v>2326</v>
      </c>
    </row>
    <row r="17" spans="1:6" ht="14.5">
      <c r="A17" s="2" t="s">
        <v>368</v>
      </c>
      <c r="B17" s="2" t="s">
        <v>2338</v>
      </c>
      <c r="C17" s="2" t="s">
        <v>281</v>
      </c>
      <c r="D17" s="2" t="s">
        <v>297</v>
      </c>
      <c r="E17" s="2" t="s">
        <v>2308</v>
      </c>
      <c r="F17" s="2" t="s">
        <v>2326</v>
      </c>
    </row>
    <row r="18" spans="1:6" ht="14.5">
      <c r="A18" s="2" t="s">
        <v>446</v>
      </c>
      <c r="B18" s="2" t="s">
        <v>2328</v>
      </c>
      <c r="C18" s="2" t="s">
        <v>281</v>
      </c>
      <c r="D18" s="2" t="s">
        <v>282</v>
      </c>
      <c r="E18" s="2" t="s">
        <v>2311</v>
      </c>
      <c r="F18" s="2" t="s">
        <v>2326</v>
      </c>
    </row>
    <row r="19" spans="1:6" ht="14.5">
      <c r="A19" s="2" t="s">
        <v>283</v>
      </c>
      <c r="B19" s="2" t="s">
        <v>2339</v>
      </c>
      <c r="C19" s="2" t="s">
        <v>281</v>
      </c>
      <c r="D19" s="2" t="s">
        <v>282</v>
      </c>
      <c r="E19" s="2" t="s">
        <v>2311</v>
      </c>
      <c r="F19" s="2" t="s">
        <v>2326</v>
      </c>
    </row>
    <row r="20" spans="1:6" ht="14.5">
      <c r="A20" s="2" t="s">
        <v>796</v>
      </c>
      <c r="B20" s="2" t="s">
        <v>2340</v>
      </c>
      <c r="C20" s="2" t="s">
        <v>281</v>
      </c>
      <c r="D20" s="2" t="s">
        <v>256</v>
      </c>
      <c r="E20" s="2" t="s">
        <v>2314</v>
      </c>
      <c r="F20" s="2" t="s">
        <v>2326</v>
      </c>
    </row>
    <row r="21" spans="1:6" ht="14.5">
      <c r="A21" s="2" t="s">
        <v>429</v>
      </c>
      <c r="B21" s="2" t="s">
        <v>2341</v>
      </c>
      <c r="C21" s="2" t="s">
        <v>281</v>
      </c>
      <c r="D21" s="2" t="s">
        <v>256</v>
      </c>
      <c r="E21" s="2" t="s">
        <v>2314</v>
      </c>
      <c r="F21" s="2" t="s">
        <v>2330</v>
      </c>
    </row>
    <row r="22" spans="1:6" ht="14.5">
      <c r="A22" s="2" t="s">
        <v>363</v>
      </c>
      <c r="B22" s="2" t="s">
        <v>2342</v>
      </c>
      <c r="C22" s="2" t="s">
        <v>281</v>
      </c>
      <c r="D22" s="2" t="s">
        <v>269</v>
      </c>
      <c r="E22" s="2" t="s">
        <v>2317</v>
      </c>
      <c r="F22" s="2" t="s">
        <v>2326</v>
      </c>
    </row>
    <row r="23" spans="1:6" ht="14.5">
      <c r="A23" s="2" t="s">
        <v>322</v>
      </c>
      <c r="B23" s="2" t="s">
        <v>2343</v>
      </c>
      <c r="C23" s="2" t="s">
        <v>281</v>
      </c>
      <c r="D23" s="2" t="s">
        <v>269</v>
      </c>
      <c r="E23" s="2" t="s">
        <v>2317</v>
      </c>
      <c r="F23" s="2" t="s">
        <v>2326</v>
      </c>
    </row>
    <row r="24" spans="1:6" ht="14.5">
      <c r="A24" s="2" t="s">
        <v>535</v>
      </c>
      <c r="B24" s="2" t="s">
        <v>2344</v>
      </c>
      <c r="C24" s="2" t="s">
        <v>281</v>
      </c>
      <c r="D24" s="2" t="s">
        <v>409</v>
      </c>
      <c r="E24" s="2" t="s">
        <v>2320</v>
      </c>
      <c r="F24" s="2" t="s">
        <v>2326</v>
      </c>
    </row>
    <row r="25" spans="1:6" ht="14.5">
      <c r="A25" s="2" t="s">
        <v>496</v>
      </c>
      <c r="B25" s="2" t="s">
        <v>2345</v>
      </c>
      <c r="C25" s="2" t="s">
        <v>281</v>
      </c>
      <c r="D25" s="2" t="s">
        <v>409</v>
      </c>
      <c r="E25" s="2" t="s">
        <v>2320</v>
      </c>
      <c r="F25" s="2" t="s">
        <v>2330</v>
      </c>
    </row>
    <row r="26" spans="1:6" ht="14.5">
      <c r="A26" s="2" t="s">
        <v>780</v>
      </c>
      <c r="B26" s="2" t="s">
        <v>2346</v>
      </c>
      <c r="C26" s="2" t="s">
        <v>339</v>
      </c>
      <c r="D26" s="2" t="s">
        <v>297</v>
      </c>
      <c r="E26" s="2" t="s">
        <v>2308</v>
      </c>
      <c r="F26" s="2" t="s">
        <v>2326</v>
      </c>
    </row>
    <row r="27" spans="1:6" ht="14.5">
      <c r="A27" s="2" t="s">
        <v>569</v>
      </c>
      <c r="B27" s="2" t="s">
        <v>2347</v>
      </c>
      <c r="C27" s="2" t="s">
        <v>339</v>
      </c>
      <c r="D27" s="2" t="s">
        <v>297</v>
      </c>
      <c r="E27" s="2" t="s">
        <v>2308</v>
      </c>
      <c r="F27" s="2" t="s">
        <v>2326</v>
      </c>
    </row>
    <row r="28" spans="1:6" ht="14.5">
      <c r="A28" s="2" t="s">
        <v>564</v>
      </c>
      <c r="B28" s="2" t="s">
        <v>2348</v>
      </c>
      <c r="C28" s="2" t="s">
        <v>339</v>
      </c>
      <c r="D28" s="2" t="s">
        <v>282</v>
      </c>
      <c r="E28" s="2" t="s">
        <v>2311</v>
      </c>
      <c r="F28" s="2" t="s">
        <v>2326</v>
      </c>
    </row>
    <row r="29" spans="1:6" ht="14.5">
      <c r="A29" s="2" t="s">
        <v>461</v>
      </c>
      <c r="B29" s="2" t="s">
        <v>2349</v>
      </c>
      <c r="C29" s="2" t="s">
        <v>339</v>
      </c>
      <c r="D29" s="2" t="s">
        <v>282</v>
      </c>
      <c r="E29" s="2" t="s">
        <v>2311</v>
      </c>
      <c r="F29" s="2" t="s">
        <v>2326</v>
      </c>
    </row>
    <row r="30" spans="1:6" ht="14.5">
      <c r="A30" s="2" t="s">
        <v>345</v>
      </c>
      <c r="B30" s="2" t="s">
        <v>2350</v>
      </c>
      <c r="C30" s="2" t="s">
        <v>339</v>
      </c>
      <c r="D30" s="2" t="s">
        <v>256</v>
      </c>
      <c r="E30" s="2" t="s">
        <v>2314</v>
      </c>
      <c r="F30" s="2" t="s">
        <v>2326</v>
      </c>
    </row>
    <row r="31" spans="1:6" ht="14.5">
      <c r="A31" s="2" t="s">
        <v>403</v>
      </c>
      <c r="B31" s="2" t="s">
        <v>2351</v>
      </c>
      <c r="C31" s="2" t="s">
        <v>339</v>
      </c>
      <c r="D31" s="2" t="s">
        <v>256</v>
      </c>
      <c r="E31" s="2" t="s">
        <v>2314</v>
      </c>
      <c r="F31" s="2" t="s">
        <v>2330</v>
      </c>
    </row>
    <row r="32" spans="1:6" ht="14.5">
      <c r="A32" s="2" t="s">
        <v>528</v>
      </c>
      <c r="B32" s="2" t="s">
        <v>2352</v>
      </c>
      <c r="C32" s="2" t="s">
        <v>339</v>
      </c>
      <c r="D32" s="2" t="s">
        <v>269</v>
      </c>
      <c r="E32" s="2" t="s">
        <v>2317</v>
      </c>
      <c r="F32" s="2" t="s">
        <v>2326</v>
      </c>
    </row>
    <row r="33" spans="1:6" ht="14.5">
      <c r="A33" s="2" t="s">
        <v>340</v>
      </c>
      <c r="B33" s="2" t="s">
        <v>2353</v>
      </c>
      <c r="C33" s="2" t="s">
        <v>339</v>
      </c>
      <c r="D33" s="2" t="s">
        <v>269</v>
      </c>
      <c r="E33" s="2" t="s">
        <v>2317</v>
      </c>
      <c r="F33" s="2" t="s">
        <v>2330</v>
      </c>
    </row>
    <row r="34" spans="1:6" ht="14.5">
      <c r="A34" s="2" t="s">
        <v>476</v>
      </c>
      <c r="B34" s="2" t="s">
        <v>2354</v>
      </c>
      <c r="C34" s="2" t="s">
        <v>339</v>
      </c>
      <c r="D34" s="2" t="s">
        <v>409</v>
      </c>
      <c r="E34" s="2" t="s">
        <v>2320</v>
      </c>
      <c r="F34" s="2" t="s">
        <v>2326</v>
      </c>
    </row>
    <row r="35" spans="1:6" ht="14.5">
      <c r="A35" s="2" t="s">
        <v>501</v>
      </c>
      <c r="B35" s="2" t="s">
        <v>2355</v>
      </c>
      <c r="C35" s="2" t="s">
        <v>339</v>
      </c>
      <c r="D35" s="2" t="s">
        <v>409</v>
      </c>
      <c r="E35" s="2" t="s">
        <v>2320</v>
      </c>
      <c r="F35" s="2" t="s">
        <v>2326</v>
      </c>
    </row>
    <row r="36" spans="1:6" ht="14.5">
      <c r="A36" s="2" t="s">
        <v>639</v>
      </c>
      <c r="B36" s="2" t="s">
        <v>2341</v>
      </c>
      <c r="C36" s="2" t="s">
        <v>255</v>
      </c>
      <c r="D36" s="2" t="s">
        <v>297</v>
      </c>
      <c r="E36" s="2" t="s">
        <v>2308</v>
      </c>
      <c r="F36" s="2" t="s">
        <v>2326</v>
      </c>
    </row>
    <row r="37" spans="1:6" ht="14.5">
      <c r="A37" s="2" t="s">
        <v>331</v>
      </c>
      <c r="B37" s="2" t="s">
        <v>2356</v>
      </c>
      <c r="C37" s="2" t="s">
        <v>255</v>
      </c>
      <c r="D37" s="2" t="s">
        <v>297</v>
      </c>
      <c r="E37" s="2" t="s">
        <v>2308</v>
      </c>
      <c r="F37" s="2" t="s">
        <v>2326</v>
      </c>
    </row>
    <row r="38" spans="1:6" ht="14.5">
      <c r="A38" s="2" t="s">
        <v>424</v>
      </c>
      <c r="B38" s="2" t="s">
        <v>2357</v>
      </c>
      <c r="C38" s="2" t="s">
        <v>255</v>
      </c>
      <c r="D38" s="2" t="s">
        <v>282</v>
      </c>
      <c r="E38" s="2" t="s">
        <v>2311</v>
      </c>
      <c r="F38" s="2" t="s">
        <v>2326</v>
      </c>
    </row>
    <row r="39" spans="1:6" ht="14.5">
      <c r="A39" s="2" t="s">
        <v>290</v>
      </c>
      <c r="B39" s="2" t="s">
        <v>2358</v>
      </c>
      <c r="C39" s="2" t="s">
        <v>255</v>
      </c>
      <c r="D39" s="2" t="s">
        <v>282</v>
      </c>
      <c r="E39" s="2" t="s">
        <v>2311</v>
      </c>
      <c r="F39" s="2" t="s">
        <v>2326</v>
      </c>
    </row>
    <row r="40" spans="1:6" ht="14.5">
      <c r="A40" s="2" t="s">
        <v>398</v>
      </c>
      <c r="B40" s="2" t="s">
        <v>2359</v>
      </c>
      <c r="C40" s="2" t="s">
        <v>255</v>
      </c>
      <c r="D40" s="2" t="s">
        <v>256</v>
      </c>
      <c r="E40" s="2" t="s">
        <v>2314</v>
      </c>
      <c r="F40" s="2" t="s">
        <v>2326</v>
      </c>
    </row>
    <row r="41" spans="1:6" ht="14.5">
      <c r="A41" s="2" t="s">
        <v>257</v>
      </c>
      <c r="B41" s="2" t="s">
        <v>2360</v>
      </c>
      <c r="C41" s="2" t="s">
        <v>255</v>
      </c>
      <c r="D41" s="2" t="s">
        <v>256</v>
      </c>
      <c r="E41" s="2" t="s">
        <v>2314</v>
      </c>
      <c r="F41" s="2" t="s">
        <v>2326</v>
      </c>
    </row>
    <row r="42" spans="1:6" ht="14.5">
      <c r="A42" s="2" t="s">
        <v>391</v>
      </c>
      <c r="B42" s="2" t="s">
        <v>2361</v>
      </c>
      <c r="C42" s="2" t="s">
        <v>255</v>
      </c>
      <c r="D42" s="2" t="s">
        <v>269</v>
      </c>
      <c r="E42" s="2" t="s">
        <v>2317</v>
      </c>
      <c r="F42" s="2" t="s">
        <v>2326</v>
      </c>
    </row>
    <row r="43" spans="1:6" ht="14.5">
      <c r="A43" s="2" t="s">
        <v>542</v>
      </c>
      <c r="B43" s="2" t="s">
        <v>2340</v>
      </c>
      <c r="C43" s="2" t="s">
        <v>255</v>
      </c>
      <c r="D43" s="2" t="s">
        <v>269</v>
      </c>
      <c r="E43" s="2" t="s">
        <v>2317</v>
      </c>
      <c r="F43" s="2" t="s">
        <v>2326</v>
      </c>
    </row>
    <row r="44" spans="1:6" ht="14.5">
      <c r="A44" s="2" t="s">
        <v>410</v>
      </c>
      <c r="B44" s="2" t="s">
        <v>2362</v>
      </c>
      <c r="C44" s="2" t="s">
        <v>255</v>
      </c>
      <c r="D44" s="2" t="s">
        <v>409</v>
      </c>
      <c r="E44" s="2" t="s">
        <v>2320</v>
      </c>
      <c r="F44" s="2" t="s">
        <v>2326</v>
      </c>
    </row>
    <row r="45" spans="1:6" ht="14.5">
      <c r="A45" s="2" t="s">
        <v>648</v>
      </c>
      <c r="B45" s="2" t="s">
        <v>2363</v>
      </c>
      <c r="C45" s="2" t="s">
        <v>255</v>
      </c>
      <c r="D45" s="2" t="s">
        <v>409</v>
      </c>
      <c r="E45" s="2" t="s">
        <v>2320</v>
      </c>
      <c r="F45" s="2" t="s">
        <v>2326</v>
      </c>
    </row>
  </sheetData>
  <mergeCells count="2">
    <mergeCell ref="A1:F2"/>
    <mergeCell ref="A3:F3"/>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245"/>
  <sheetViews>
    <sheetView showGridLines="0" topLeftCell="C1" workbookViewId="0">
      <selection activeCell="K23" sqref="K23"/>
    </sheetView>
  </sheetViews>
  <sheetFormatPr defaultRowHeight="14"/>
  <cols>
    <col min="1" max="2" width="16" customWidth="1"/>
    <col min="3" max="3" width="18" customWidth="1"/>
    <col min="4" max="4" width="22" customWidth="1"/>
    <col min="5" max="5" width="24" customWidth="1"/>
    <col min="6" max="6" width="22" customWidth="1"/>
    <col min="7" max="7" width="24" customWidth="1"/>
  </cols>
  <sheetData>
    <row r="1" spans="1:7">
      <c r="A1" s="49" t="s">
        <v>2364</v>
      </c>
      <c r="B1" s="49"/>
      <c r="C1" s="49"/>
      <c r="D1" s="49"/>
      <c r="E1" s="49"/>
      <c r="F1" s="49"/>
      <c r="G1" s="49"/>
    </row>
    <row r="2" spans="1:7">
      <c r="A2" s="49"/>
      <c r="B2" s="49"/>
      <c r="C2" s="49"/>
      <c r="D2" s="49"/>
      <c r="E2" s="49"/>
      <c r="F2" s="49"/>
      <c r="G2" s="49"/>
    </row>
    <row r="3" spans="1:7">
      <c r="A3" s="50" t="s">
        <v>2281</v>
      </c>
      <c r="B3" s="50"/>
      <c r="C3" s="50"/>
      <c r="D3" s="50"/>
      <c r="E3" s="50"/>
      <c r="F3" s="50"/>
      <c r="G3" s="50"/>
    </row>
    <row r="4" spans="1:7" ht="14.5">
      <c r="A4" s="2"/>
      <c r="B4" s="2"/>
      <c r="C4" s="2"/>
      <c r="D4" s="2"/>
      <c r="E4" s="2"/>
      <c r="F4" s="2"/>
      <c r="G4" s="2"/>
    </row>
    <row r="5" spans="1:7" ht="14.5">
      <c r="A5" s="1" t="s">
        <v>178</v>
      </c>
      <c r="B5" s="1" t="s">
        <v>2365</v>
      </c>
      <c r="C5" s="1" t="s">
        <v>2366</v>
      </c>
      <c r="D5" s="1" t="s">
        <v>2367</v>
      </c>
      <c r="E5" s="1" t="s">
        <v>246</v>
      </c>
      <c r="F5" s="1" t="s">
        <v>2368</v>
      </c>
      <c r="G5" s="1" t="s">
        <v>2369</v>
      </c>
    </row>
    <row r="6" spans="1:7" ht="14.5">
      <c r="A6" s="2" t="s">
        <v>851</v>
      </c>
      <c r="B6" s="10" t="s">
        <v>2370</v>
      </c>
      <c r="C6" s="2" t="s">
        <v>2371</v>
      </c>
      <c r="D6" s="2" t="s">
        <v>2372</v>
      </c>
      <c r="E6" s="8">
        <v>5</v>
      </c>
      <c r="F6" s="2" t="s">
        <v>2373</v>
      </c>
      <c r="G6" s="2" t="s">
        <v>268</v>
      </c>
    </row>
    <row r="7" spans="1:7" ht="14.5">
      <c r="A7" s="2" t="s">
        <v>1154</v>
      </c>
      <c r="B7" s="10" t="s">
        <v>2374</v>
      </c>
      <c r="C7" s="2" t="s">
        <v>2375</v>
      </c>
      <c r="D7" s="2" t="s">
        <v>2376</v>
      </c>
      <c r="E7" s="8">
        <v>3</v>
      </c>
      <c r="F7" s="2" t="s">
        <v>2373</v>
      </c>
      <c r="G7" s="2" t="s">
        <v>281</v>
      </c>
    </row>
    <row r="8" spans="1:7" ht="14.5">
      <c r="A8" s="2" t="s">
        <v>1361</v>
      </c>
      <c r="B8" s="10" t="s">
        <v>2377</v>
      </c>
      <c r="C8" s="2" t="s">
        <v>2371</v>
      </c>
      <c r="D8" s="2" t="s">
        <v>2375</v>
      </c>
      <c r="E8" s="8">
        <v>5</v>
      </c>
      <c r="F8" s="2" t="s">
        <v>2373</v>
      </c>
      <c r="G8" s="2" t="s">
        <v>339</v>
      </c>
    </row>
    <row r="9" spans="1:7" ht="14.5">
      <c r="A9" s="2" t="s">
        <v>1144</v>
      </c>
      <c r="B9" s="10" t="s">
        <v>2378</v>
      </c>
      <c r="C9" s="2" t="s">
        <v>2371</v>
      </c>
      <c r="D9" s="2" t="s">
        <v>2379</v>
      </c>
      <c r="E9" s="8">
        <v>3</v>
      </c>
      <c r="F9" s="2" t="s">
        <v>2380</v>
      </c>
      <c r="G9" s="2" t="s">
        <v>255</v>
      </c>
    </row>
    <row r="10" spans="1:7" ht="14.5">
      <c r="A10" s="2" t="s">
        <v>843</v>
      </c>
      <c r="B10" s="10" t="s">
        <v>2381</v>
      </c>
      <c r="C10" s="2" t="s">
        <v>2382</v>
      </c>
      <c r="D10" s="2" t="s">
        <v>2383</v>
      </c>
      <c r="E10" s="8">
        <v>2</v>
      </c>
      <c r="F10" s="2" t="s">
        <v>2380</v>
      </c>
      <c r="G10" s="2" t="s">
        <v>268</v>
      </c>
    </row>
    <row r="11" spans="1:7" ht="14.5">
      <c r="A11" s="2" t="s">
        <v>1193</v>
      </c>
      <c r="B11" s="10" t="s">
        <v>2384</v>
      </c>
      <c r="C11" s="2" t="s">
        <v>2375</v>
      </c>
      <c r="D11" s="2" t="s">
        <v>2375</v>
      </c>
      <c r="E11" s="8">
        <v>4</v>
      </c>
      <c r="F11" s="2" t="s">
        <v>2385</v>
      </c>
      <c r="G11" s="2" t="s">
        <v>281</v>
      </c>
    </row>
    <row r="12" spans="1:7" ht="14.5">
      <c r="A12" s="2" t="s">
        <v>989</v>
      </c>
      <c r="B12" s="10" t="s">
        <v>2386</v>
      </c>
      <c r="C12" s="2" t="s">
        <v>2387</v>
      </c>
      <c r="D12" s="2" t="s">
        <v>2379</v>
      </c>
      <c r="E12" s="8">
        <v>1</v>
      </c>
      <c r="F12" s="2" t="s">
        <v>271</v>
      </c>
      <c r="G12" s="2" t="s">
        <v>339</v>
      </c>
    </row>
    <row r="13" spans="1:7" ht="14.5">
      <c r="A13" s="2" t="s">
        <v>1231</v>
      </c>
      <c r="B13" s="10" t="s">
        <v>2388</v>
      </c>
      <c r="C13" s="2" t="s">
        <v>2382</v>
      </c>
      <c r="D13" s="2" t="s">
        <v>2383</v>
      </c>
      <c r="E13" s="8">
        <v>2</v>
      </c>
      <c r="F13" s="2" t="s">
        <v>2380</v>
      </c>
      <c r="G13" s="2" t="s">
        <v>255</v>
      </c>
    </row>
    <row r="14" spans="1:7" ht="14.5">
      <c r="A14" s="2" t="s">
        <v>468</v>
      </c>
      <c r="B14" s="10" t="s">
        <v>2389</v>
      </c>
      <c r="C14" s="2" t="s">
        <v>2382</v>
      </c>
      <c r="D14" s="2" t="s">
        <v>2379</v>
      </c>
      <c r="E14" s="8">
        <v>4</v>
      </c>
      <c r="F14" s="2" t="s">
        <v>2385</v>
      </c>
      <c r="G14" s="2" t="s">
        <v>268</v>
      </c>
    </row>
    <row r="15" spans="1:7" ht="14.5">
      <c r="A15" s="2" t="s">
        <v>2106</v>
      </c>
      <c r="B15" s="10" t="s">
        <v>2390</v>
      </c>
      <c r="C15" s="2" t="s">
        <v>2375</v>
      </c>
      <c r="D15" s="2" t="s">
        <v>2383</v>
      </c>
      <c r="E15" s="8">
        <v>4</v>
      </c>
      <c r="F15" s="2" t="s">
        <v>2385</v>
      </c>
      <c r="G15" s="2" t="s">
        <v>281</v>
      </c>
    </row>
    <row r="16" spans="1:7" ht="14.5">
      <c r="A16" s="2" t="s">
        <v>655</v>
      </c>
      <c r="B16" s="10" t="s">
        <v>2391</v>
      </c>
      <c r="C16" s="2" t="s">
        <v>2371</v>
      </c>
      <c r="D16" s="2" t="s">
        <v>2376</v>
      </c>
      <c r="E16" s="8">
        <v>3</v>
      </c>
      <c r="F16" s="2" t="s">
        <v>271</v>
      </c>
      <c r="G16" s="2" t="s">
        <v>339</v>
      </c>
    </row>
    <row r="17" spans="1:7" ht="14.5">
      <c r="A17" s="2" t="s">
        <v>1302</v>
      </c>
      <c r="B17" s="10" t="s">
        <v>2392</v>
      </c>
      <c r="C17" s="2" t="s">
        <v>2382</v>
      </c>
      <c r="D17" s="2" t="s">
        <v>2375</v>
      </c>
      <c r="E17" s="8">
        <v>1</v>
      </c>
      <c r="F17" s="2" t="s">
        <v>271</v>
      </c>
      <c r="G17" s="2" t="s">
        <v>255</v>
      </c>
    </row>
    <row r="18" spans="1:7" ht="14.5">
      <c r="A18" s="2" t="s">
        <v>367</v>
      </c>
      <c r="B18" s="10" t="s">
        <v>2393</v>
      </c>
      <c r="C18" s="2" t="s">
        <v>2382</v>
      </c>
      <c r="D18" s="2" t="s">
        <v>2375</v>
      </c>
      <c r="E18" s="8">
        <v>2</v>
      </c>
      <c r="F18" s="2" t="s">
        <v>2373</v>
      </c>
      <c r="G18" s="2" t="s">
        <v>268</v>
      </c>
    </row>
    <row r="19" spans="1:7" ht="14.5">
      <c r="A19" s="2" t="s">
        <v>575</v>
      </c>
      <c r="B19" s="10" t="s">
        <v>2394</v>
      </c>
      <c r="C19" s="2" t="s">
        <v>2387</v>
      </c>
      <c r="D19" s="2" t="s">
        <v>2379</v>
      </c>
      <c r="E19" s="8">
        <v>2</v>
      </c>
      <c r="F19" s="2" t="s">
        <v>2373</v>
      </c>
      <c r="G19" s="2" t="s">
        <v>281</v>
      </c>
    </row>
    <row r="20" spans="1:7" ht="14.5">
      <c r="A20" s="2" t="s">
        <v>377</v>
      </c>
      <c r="B20" s="10" t="s">
        <v>2395</v>
      </c>
      <c r="C20" s="2" t="s">
        <v>2371</v>
      </c>
      <c r="D20" s="2" t="s">
        <v>2396</v>
      </c>
      <c r="E20" s="8">
        <v>1</v>
      </c>
      <c r="F20" s="2" t="s">
        <v>2385</v>
      </c>
      <c r="G20" s="2" t="s">
        <v>339</v>
      </c>
    </row>
    <row r="21" spans="1:7" ht="14.5">
      <c r="A21" s="2" t="s">
        <v>338</v>
      </c>
      <c r="B21" s="10" t="s">
        <v>2397</v>
      </c>
      <c r="C21" s="2" t="s">
        <v>2375</v>
      </c>
      <c r="D21" s="2" t="s">
        <v>2376</v>
      </c>
      <c r="E21" s="8">
        <v>1</v>
      </c>
      <c r="F21" s="2" t="s">
        <v>2380</v>
      </c>
      <c r="G21" s="2" t="s">
        <v>255</v>
      </c>
    </row>
    <row r="22" spans="1:7" ht="14.5">
      <c r="A22" s="2" t="s">
        <v>582</v>
      </c>
      <c r="B22" s="10" t="s">
        <v>2398</v>
      </c>
      <c r="C22" s="2" t="s">
        <v>2387</v>
      </c>
      <c r="D22" s="2" t="s">
        <v>2379</v>
      </c>
      <c r="E22" s="8">
        <v>3</v>
      </c>
      <c r="F22" s="2" t="s">
        <v>2373</v>
      </c>
      <c r="G22" s="2" t="s">
        <v>268</v>
      </c>
    </row>
    <row r="23" spans="1:7" ht="14.5">
      <c r="A23" s="2" t="s">
        <v>772</v>
      </c>
      <c r="B23" s="10" t="s">
        <v>2399</v>
      </c>
      <c r="C23" s="2" t="s">
        <v>2371</v>
      </c>
      <c r="D23" s="2" t="s">
        <v>2383</v>
      </c>
      <c r="E23" s="8">
        <v>5</v>
      </c>
      <c r="F23" s="2" t="s">
        <v>2385</v>
      </c>
      <c r="G23" s="2" t="s">
        <v>281</v>
      </c>
    </row>
    <row r="24" spans="1:7" ht="14.5">
      <c r="A24" s="2" t="s">
        <v>1237</v>
      </c>
      <c r="B24" s="10" t="s">
        <v>2400</v>
      </c>
      <c r="C24" s="2" t="s">
        <v>2382</v>
      </c>
      <c r="D24" s="2" t="s">
        <v>2375</v>
      </c>
      <c r="E24" s="8">
        <v>5</v>
      </c>
      <c r="F24" s="2" t="s">
        <v>271</v>
      </c>
      <c r="G24" s="2" t="s">
        <v>339</v>
      </c>
    </row>
    <row r="25" spans="1:7" ht="14.5">
      <c r="A25" s="2" t="s">
        <v>727</v>
      </c>
      <c r="B25" s="10" t="s">
        <v>2401</v>
      </c>
      <c r="C25" s="2" t="s">
        <v>2382</v>
      </c>
      <c r="D25" s="2" t="s">
        <v>2396</v>
      </c>
      <c r="E25" s="8">
        <v>4</v>
      </c>
      <c r="F25" s="2" t="s">
        <v>2373</v>
      </c>
      <c r="G25" s="2" t="s">
        <v>255</v>
      </c>
    </row>
    <row r="26" spans="1:7" ht="14.5">
      <c r="A26" s="2" t="s">
        <v>820</v>
      </c>
      <c r="B26" s="10" t="s">
        <v>2402</v>
      </c>
      <c r="C26" s="2" t="s">
        <v>2387</v>
      </c>
      <c r="D26" s="2" t="s">
        <v>2383</v>
      </c>
      <c r="E26" s="8">
        <v>1</v>
      </c>
      <c r="F26" s="2" t="s">
        <v>2385</v>
      </c>
      <c r="G26" s="2" t="s">
        <v>268</v>
      </c>
    </row>
    <row r="27" spans="1:7" ht="14.5">
      <c r="A27" s="2" t="s">
        <v>289</v>
      </c>
      <c r="B27" s="10" t="s">
        <v>2403</v>
      </c>
      <c r="C27" s="2" t="s">
        <v>2387</v>
      </c>
      <c r="D27" s="2" t="s">
        <v>2379</v>
      </c>
      <c r="E27" s="8">
        <v>4</v>
      </c>
      <c r="F27" s="2" t="s">
        <v>2380</v>
      </c>
      <c r="G27" s="2" t="s">
        <v>281</v>
      </c>
    </row>
    <row r="28" spans="1:7" ht="14.5">
      <c r="A28" s="2" t="s">
        <v>677</v>
      </c>
      <c r="B28" s="10" t="s">
        <v>2404</v>
      </c>
      <c r="C28" s="2" t="s">
        <v>2382</v>
      </c>
      <c r="D28" s="2" t="s">
        <v>2405</v>
      </c>
      <c r="E28" s="8">
        <v>5</v>
      </c>
      <c r="F28" s="2" t="s">
        <v>2380</v>
      </c>
      <c r="G28" s="2" t="s">
        <v>339</v>
      </c>
    </row>
    <row r="29" spans="1:7" ht="14.5">
      <c r="A29" s="2" t="s">
        <v>309</v>
      </c>
      <c r="B29" s="10" t="s">
        <v>2406</v>
      </c>
      <c r="C29" s="2" t="s">
        <v>2375</v>
      </c>
      <c r="D29" s="2" t="s">
        <v>2396</v>
      </c>
      <c r="E29" s="8">
        <v>1</v>
      </c>
      <c r="F29" s="2" t="s">
        <v>2385</v>
      </c>
      <c r="G29" s="2" t="s">
        <v>255</v>
      </c>
    </row>
    <row r="30" spans="1:7" ht="14.5">
      <c r="A30" s="2" t="s">
        <v>1055</v>
      </c>
      <c r="B30" s="10" t="s">
        <v>2407</v>
      </c>
      <c r="C30" s="2" t="s">
        <v>2382</v>
      </c>
      <c r="D30" s="2" t="s">
        <v>2405</v>
      </c>
      <c r="E30" s="8">
        <v>1</v>
      </c>
      <c r="F30" s="2" t="s">
        <v>2380</v>
      </c>
      <c r="G30" s="2" t="s">
        <v>268</v>
      </c>
    </row>
    <row r="31" spans="1:7" ht="14.5">
      <c r="A31" s="2" t="s">
        <v>1425</v>
      </c>
      <c r="B31" s="10" t="s">
        <v>2408</v>
      </c>
      <c r="C31" s="2" t="s">
        <v>2387</v>
      </c>
      <c r="D31" s="2" t="s">
        <v>2372</v>
      </c>
      <c r="E31" s="8">
        <v>5</v>
      </c>
      <c r="F31" s="2" t="s">
        <v>271</v>
      </c>
      <c r="G31" s="2" t="s">
        <v>281</v>
      </c>
    </row>
    <row r="32" spans="1:7" ht="14.5">
      <c r="A32" s="2" t="s">
        <v>759</v>
      </c>
      <c r="B32" s="10" t="s">
        <v>2409</v>
      </c>
      <c r="C32" s="2" t="s">
        <v>2382</v>
      </c>
      <c r="D32" s="2" t="s">
        <v>2396</v>
      </c>
      <c r="E32" s="8">
        <v>4</v>
      </c>
      <c r="F32" s="2" t="s">
        <v>2373</v>
      </c>
      <c r="G32" s="2" t="s">
        <v>339</v>
      </c>
    </row>
    <row r="33" spans="1:7" ht="14.5">
      <c r="A33" s="2" t="s">
        <v>1541</v>
      </c>
      <c r="B33" s="10" t="s">
        <v>2410</v>
      </c>
      <c r="C33" s="2" t="s">
        <v>2387</v>
      </c>
      <c r="D33" s="2" t="s">
        <v>2376</v>
      </c>
      <c r="E33" s="8">
        <v>1</v>
      </c>
      <c r="F33" s="2" t="s">
        <v>2373</v>
      </c>
      <c r="G33" s="2" t="s">
        <v>255</v>
      </c>
    </row>
    <row r="34" spans="1:7" ht="14.5">
      <c r="A34" s="2" t="s">
        <v>357</v>
      </c>
      <c r="B34" s="10" t="s">
        <v>2411</v>
      </c>
      <c r="C34" s="2" t="s">
        <v>2382</v>
      </c>
      <c r="D34" s="2" t="s">
        <v>2375</v>
      </c>
      <c r="E34" s="8">
        <v>1</v>
      </c>
      <c r="F34" s="2" t="s">
        <v>271</v>
      </c>
      <c r="G34" s="2" t="s">
        <v>268</v>
      </c>
    </row>
    <row r="35" spans="1:7" ht="14.5">
      <c r="A35" s="2" t="s">
        <v>2412</v>
      </c>
      <c r="B35" s="10" t="s">
        <v>2413</v>
      </c>
      <c r="C35" s="2" t="s">
        <v>2371</v>
      </c>
      <c r="D35" s="2" t="s">
        <v>2383</v>
      </c>
      <c r="E35" s="8">
        <v>5</v>
      </c>
      <c r="F35" s="2" t="s">
        <v>271</v>
      </c>
      <c r="G35" s="2" t="s">
        <v>281</v>
      </c>
    </row>
    <row r="36" spans="1:7" ht="14.5">
      <c r="A36" s="2" t="s">
        <v>1405</v>
      </c>
      <c r="B36" s="10" t="s">
        <v>2414</v>
      </c>
      <c r="C36" s="2" t="s">
        <v>2387</v>
      </c>
      <c r="D36" s="2" t="s">
        <v>2376</v>
      </c>
      <c r="E36" s="8">
        <v>5</v>
      </c>
      <c r="F36" s="2" t="s">
        <v>2385</v>
      </c>
      <c r="G36" s="2" t="s">
        <v>339</v>
      </c>
    </row>
    <row r="37" spans="1:7" ht="14.5">
      <c r="A37" s="2" t="s">
        <v>951</v>
      </c>
      <c r="B37" s="10" t="s">
        <v>2415</v>
      </c>
      <c r="C37" s="2" t="s">
        <v>2375</v>
      </c>
      <c r="D37" s="2" t="s">
        <v>2372</v>
      </c>
      <c r="E37" s="8">
        <v>3</v>
      </c>
      <c r="F37" s="2" t="s">
        <v>2373</v>
      </c>
      <c r="G37" s="2" t="s">
        <v>255</v>
      </c>
    </row>
    <row r="38" spans="1:7" ht="14.5">
      <c r="A38" s="2" t="s">
        <v>1907</v>
      </c>
      <c r="B38" s="10" t="s">
        <v>2416</v>
      </c>
      <c r="C38" s="2" t="s">
        <v>2382</v>
      </c>
      <c r="D38" s="2" t="s">
        <v>2396</v>
      </c>
      <c r="E38" s="8">
        <v>3</v>
      </c>
      <c r="F38" s="2" t="s">
        <v>271</v>
      </c>
      <c r="G38" s="2" t="s">
        <v>268</v>
      </c>
    </row>
    <row r="39" spans="1:7" ht="14.5">
      <c r="A39" s="2" t="s">
        <v>2220</v>
      </c>
      <c r="B39" s="10" t="s">
        <v>2417</v>
      </c>
      <c r="C39" s="2" t="s">
        <v>2382</v>
      </c>
      <c r="D39" s="2" t="s">
        <v>2376</v>
      </c>
      <c r="E39" s="8">
        <v>2</v>
      </c>
      <c r="F39" s="2" t="s">
        <v>2380</v>
      </c>
      <c r="G39" s="2" t="s">
        <v>281</v>
      </c>
    </row>
    <row r="40" spans="1:7" ht="14.5">
      <c r="A40" s="2" t="s">
        <v>673</v>
      </c>
      <c r="B40" s="10" t="s">
        <v>2418</v>
      </c>
      <c r="C40" s="2" t="s">
        <v>2371</v>
      </c>
      <c r="D40" s="2" t="s">
        <v>2375</v>
      </c>
      <c r="E40" s="8">
        <v>3</v>
      </c>
      <c r="F40" s="2" t="s">
        <v>2380</v>
      </c>
      <c r="G40" s="2" t="s">
        <v>339</v>
      </c>
    </row>
    <row r="41" spans="1:7" ht="14.5">
      <c r="A41" s="2" t="s">
        <v>460</v>
      </c>
      <c r="B41" s="10" t="s">
        <v>2419</v>
      </c>
      <c r="C41" s="2" t="s">
        <v>2371</v>
      </c>
      <c r="D41" s="2" t="s">
        <v>2376</v>
      </c>
      <c r="E41" s="8">
        <v>3</v>
      </c>
      <c r="F41" s="2" t="s">
        <v>2373</v>
      </c>
      <c r="G41" s="2" t="s">
        <v>255</v>
      </c>
    </row>
    <row r="42" spans="1:7" ht="14.5">
      <c r="A42" s="2" t="s">
        <v>1393</v>
      </c>
      <c r="B42" s="10" t="s">
        <v>2420</v>
      </c>
      <c r="C42" s="2" t="s">
        <v>2387</v>
      </c>
      <c r="D42" s="2" t="s">
        <v>2376</v>
      </c>
      <c r="E42" s="8">
        <v>5</v>
      </c>
      <c r="F42" s="2" t="s">
        <v>2373</v>
      </c>
      <c r="G42" s="2" t="s">
        <v>268</v>
      </c>
    </row>
    <row r="43" spans="1:7" ht="14.5">
      <c r="A43" s="2" t="s">
        <v>715</v>
      </c>
      <c r="B43" s="10" t="s">
        <v>2421</v>
      </c>
      <c r="C43" s="2" t="s">
        <v>2387</v>
      </c>
      <c r="D43" s="2" t="s">
        <v>2375</v>
      </c>
      <c r="E43" s="8">
        <v>3</v>
      </c>
      <c r="F43" s="2" t="s">
        <v>2385</v>
      </c>
      <c r="G43" s="2" t="s">
        <v>281</v>
      </c>
    </row>
    <row r="44" spans="1:7" ht="14.5">
      <c r="A44" s="2" t="s">
        <v>694</v>
      </c>
      <c r="B44" s="10" t="s">
        <v>2422</v>
      </c>
      <c r="C44" s="2" t="s">
        <v>2387</v>
      </c>
      <c r="D44" s="2" t="s">
        <v>2376</v>
      </c>
      <c r="E44" s="8">
        <v>2</v>
      </c>
      <c r="F44" s="2" t="s">
        <v>2380</v>
      </c>
      <c r="G44" s="2" t="s">
        <v>339</v>
      </c>
    </row>
    <row r="45" spans="1:7" ht="14.5">
      <c r="A45" s="2" t="s">
        <v>1416</v>
      </c>
      <c r="B45" s="10" t="s">
        <v>2423</v>
      </c>
      <c r="C45" s="2" t="s">
        <v>2387</v>
      </c>
      <c r="D45" s="2" t="s">
        <v>2396</v>
      </c>
      <c r="E45" s="8">
        <v>1</v>
      </c>
      <c r="F45" s="2" t="s">
        <v>2385</v>
      </c>
      <c r="G45" s="2" t="s">
        <v>255</v>
      </c>
    </row>
    <row r="46" spans="1:7" ht="14.5">
      <c r="A46" s="2" t="s">
        <v>1222</v>
      </c>
      <c r="B46" s="10" t="s">
        <v>2424</v>
      </c>
      <c r="C46" s="2" t="s">
        <v>2382</v>
      </c>
      <c r="D46" s="2" t="s">
        <v>2396</v>
      </c>
      <c r="E46" s="8">
        <v>3</v>
      </c>
      <c r="F46" s="2" t="s">
        <v>2373</v>
      </c>
      <c r="G46" s="2" t="s">
        <v>268</v>
      </c>
    </row>
    <row r="47" spans="1:7" ht="14.5">
      <c r="A47" s="2" t="s">
        <v>1162</v>
      </c>
      <c r="B47" s="10" t="s">
        <v>2425</v>
      </c>
      <c r="C47" s="2" t="s">
        <v>2371</v>
      </c>
      <c r="D47" s="2" t="s">
        <v>2383</v>
      </c>
      <c r="E47" s="8">
        <v>2</v>
      </c>
      <c r="F47" s="2" t="s">
        <v>2373</v>
      </c>
      <c r="G47" s="2" t="s">
        <v>281</v>
      </c>
    </row>
    <row r="48" spans="1:7" ht="14.5">
      <c r="A48" s="2" t="s">
        <v>423</v>
      </c>
      <c r="B48" s="10" t="s">
        <v>2426</v>
      </c>
      <c r="C48" s="2" t="s">
        <v>2371</v>
      </c>
      <c r="D48" s="2" t="s">
        <v>2372</v>
      </c>
      <c r="E48" s="8">
        <v>3</v>
      </c>
      <c r="F48" s="2" t="s">
        <v>2385</v>
      </c>
      <c r="G48" s="2" t="s">
        <v>339</v>
      </c>
    </row>
    <row r="49" spans="1:7" ht="14.5">
      <c r="A49" s="2" t="s">
        <v>1251</v>
      </c>
      <c r="B49" s="10" t="s">
        <v>2427</v>
      </c>
      <c r="C49" s="2" t="s">
        <v>2387</v>
      </c>
      <c r="D49" s="2" t="s">
        <v>2379</v>
      </c>
      <c r="E49" s="8">
        <v>1</v>
      </c>
      <c r="F49" s="2" t="s">
        <v>2380</v>
      </c>
      <c r="G49" s="2" t="s">
        <v>255</v>
      </c>
    </row>
    <row r="50" spans="1:7" ht="14.5">
      <c r="A50" s="2" t="s">
        <v>1299</v>
      </c>
      <c r="B50" s="10" t="s">
        <v>2400</v>
      </c>
      <c r="C50" s="2" t="s">
        <v>2387</v>
      </c>
      <c r="D50" s="2" t="s">
        <v>2379</v>
      </c>
      <c r="E50" s="8">
        <v>5</v>
      </c>
      <c r="F50" s="2" t="s">
        <v>271</v>
      </c>
      <c r="G50" s="2" t="s">
        <v>268</v>
      </c>
    </row>
    <row r="51" spans="1:7" ht="14.5">
      <c r="A51" s="2" t="s">
        <v>1383</v>
      </c>
      <c r="B51" s="10" t="s">
        <v>2428</v>
      </c>
      <c r="C51" s="2" t="s">
        <v>2371</v>
      </c>
      <c r="D51" s="2" t="s">
        <v>2383</v>
      </c>
      <c r="E51" s="8">
        <v>1</v>
      </c>
      <c r="F51" s="2" t="s">
        <v>2385</v>
      </c>
      <c r="G51" s="2" t="s">
        <v>281</v>
      </c>
    </row>
    <row r="52" spans="1:7" ht="14.5">
      <c r="A52" s="2" t="s">
        <v>779</v>
      </c>
      <c r="B52" s="10" t="s">
        <v>2429</v>
      </c>
      <c r="C52" s="2" t="s">
        <v>2375</v>
      </c>
      <c r="D52" s="2" t="s">
        <v>2379</v>
      </c>
      <c r="E52" s="8">
        <v>3</v>
      </c>
      <c r="F52" s="2" t="s">
        <v>271</v>
      </c>
      <c r="G52" s="2" t="s">
        <v>339</v>
      </c>
    </row>
    <row r="53" spans="1:7" ht="14.5">
      <c r="A53" s="2" t="s">
        <v>1262</v>
      </c>
      <c r="B53" s="10" t="s">
        <v>2430</v>
      </c>
      <c r="C53" s="2" t="s">
        <v>2382</v>
      </c>
      <c r="D53" s="2" t="s">
        <v>2383</v>
      </c>
      <c r="E53" s="8">
        <v>5</v>
      </c>
      <c r="F53" s="2" t="s">
        <v>2373</v>
      </c>
      <c r="G53" s="2" t="s">
        <v>255</v>
      </c>
    </row>
    <row r="54" spans="1:7" ht="14.5">
      <c r="A54" s="2" t="s">
        <v>390</v>
      </c>
      <c r="B54" s="10" t="s">
        <v>2431</v>
      </c>
      <c r="C54" s="2" t="s">
        <v>2387</v>
      </c>
      <c r="D54" s="2" t="s">
        <v>2379</v>
      </c>
      <c r="E54" s="8">
        <v>2</v>
      </c>
      <c r="F54" s="2" t="s">
        <v>271</v>
      </c>
      <c r="G54" s="2" t="s">
        <v>268</v>
      </c>
    </row>
    <row r="55" spans="1:7" ht="14.5">
      <c r="A55" s="2" t="s">
        <v>523</v>
      </c>
      <c r="B55" s="10" t="s">
        <v>2432</v>
      </c>
      <c r="C55" s="2" t="s">
        <v>2387</v>
      </c>
      <c r="D55" s="2" t="s">
        <v>2383</v>
      </c>
      <c r="E55" s="8">
        <v>4</v>
      </c>
      <c r="F55" s="2" t="s">
        <v>271</v>
      </c>
      <c r="G55" s="2" t="s">
        <v>281</v>
      </c>
    </row>
    <row r="56" spans="1:7" ht="14.5">
      <c r="A56" s="2" t="s">
        <v>1181</v>
      </c>
      <c r="B56" s="10" t="s">
        <v>2433</v>
      </c>
      <c r="C56" s="2" t="s">
        <v>2382</v>
      </c>
      <c r="D56" s="2" t="s">
        <v>2376</v>
      </c>
      <c r="E56" s="8">
        <v>5</v>
      </c>
      <c r="F56" s="2" t="s">
        <v>2385</v>
      </c>
      <c r="G56" s="2" t="s">
        <v>339</v>
      </c>
    </row>
    <row r="57" spans="1:7" ht="14.5">
      <c r="A57" s="2" t="s">
        <v>563</v>
      </c>
      <c r="B57" s="10" t="s">
        <v>2434</v>
      </c>
      <c r="C57" s="2" t="s">
        <v>2382</v>
      </c>
      <c r="D57" s="2" t="s">
        <v>2396</v>
      </c>
      <c r="E57" s="8">
        <v>1</v>
      </c>
      <c r="F57" s="2" t="s">
        <v>2373</v>
      </c>
      <c r="G57" s="2" t="s">
        <v>255</v>
      </c>
    </row>
    <row r="58" spans="1:7" ht="14.5">
      <c r="A58" s="2" t="s">
        <v>1189</v>
      </c>
      <c r="B58" s="10" t="s">
        <v>2435</v>
      </c>
      <c r="C58" s="2" t="s">
        <v>2375</v>
      </c>
      <c r="D58" s="2" t="s">
        <v>2405</v>
      </c>
      <c r="E58" s="8">
        <v>4</v>
      </c>
      <c r="F58" s="2" t="s">
        <v>271</v>
      </c>
      <c r="G58" s="2" t="s">
        <v>268</v>
      </c>
    </row>
    <row r="59" spans="1:7" ht="14.5">
      <c r="A59" s="2" t="s">
        <v>1378</v>
      </c>
      <c r="B59" s="10" t="s">
        <v>2436</v>
      </c>
      <c r="C59" s="2" t="s">
        <v>2387</v>
      </c>
      <c r="D59" s="2" t="s">
        <v>2375</v>
      </c>
      <c r="E59" s="8">
        <v>1</v>
      </c>
      <c r="F59" s="2" t="s">
        <v>2373</v>
      </c>
      <c r="G59" s="2" t="s">
        <v>281</v>
      </c>
    </row>
    <row r="60" spans="1:7" ht="14.5">
      <c r="A60" s="2" t="s">
        <v>624</v>
      </c>
      <c r="B60" s="10" t="s">
        <v>2437</v>
      </c>
      <c r="C60" s="2" t="s">
        <v>2382</v>
      </c>
      <c r="D60" s="2" t="s">
        <v>2396</v>
      </c>
      <c r="E60" s="8">
        <v>2</v>
      </c>
      <c r="F60" s="2" t="s">
        <v>2373</v>
      </c>
      <c r="G60" s="2" t="s">
        <v>339</v>
      </c>
    </row>
    <row r="61" spans="1:7" ht="14.5">
      <c r="A61" s="2" t="s">
        <v>895</v>
      </c>
      <c r="B61" s="10" t="s">
        <v>2438</v>
      </c>
      <c r="C61" s="2" t="s">
        <v>2375</v>
      </c>
      <c r="D61" s="2" t="s">
        <v>2375</v>
      </c>
      <c r="E61" s="8">
        <v>5</v>
      </c>
      <c r="F61" s="2" t="s">
        <v>2380</v>
      </c>
      <c r="G61" s="2" t="s">
        <v>255</v>
      </c>
    </row>
    <row r="62" spans="1:7" ht="14.5">
      <c r="A62" s="2" t="s">
        <v>414</v>
      </c>
      <c r="B62" s="10" t="s">
        <v>2439</v>
      </c>
      <c r="C62" s="2" t="s">
        <v>2371</v>
      </c>
      <c r="D62" s="2" t="s">
        <v>2383</v>
      </c>
      <c r="E62" s="8">
        <v>1</v>
      </c>
      <c r="F62" s="2" t="s">
        <v>2373</v>
      </c>
      <c r="G62" s="2" t="s">
        <v>268</v>
      </c>
    </row>
    <row r="63" spans="1:7" ht="14.5">
      <c r="A63" s="2" t="s">
        <v>1179</v>
      </c>
      <c r="B63" s="10" t="s">
        <v>2440</v>
      </c>
      <c r="C63" s="2" t="s">
        <v>2375</v>
      </c>
      <c r="D63" s="2" t="s">
        <v>2372</v>
      </c>
      <c r="E63" s="8">
        <v>3</v>
      </c>
      <c r="F63" s="2" t="s">
        <v>2380</v>
      </c>
      <c r="G63" s="2" t="s">
        <v>281</v>
      </c>
    </row>
    <row r="64" spans="1:7" ht="14.5">
      <c r="A64" s="2" t="s">
        <v>2165</v>
      </c>
      <c r="B64" s="10" t="s">
        <v>2441</v>
      </c>
      <c r="C64" s="2" t="s">
        <v>2375</v>
      </c>
      <c r="D64" s="2" t="s">
        <v>2372</v>
      </c>
      <c r="E64" s="8">
        <v>1</v>
      </c>
      <c r="F64" s="2" t="s">
        <v>2385</v>
      </c>
      <c r="G64" s="2" t="s">
        <v>339</v>
      </c>
    </row>
    <row r="65" spans="1:7" ht="14.5">
      <c r="A65" s="2" t="s">
        <v>1071</v>
      </c>
      <c r="B65" s="10" t="s">
        <v>2442</v>
      </c>
      <c r="C65" s="2" t="s">
        <v>2382</v>
      </c>
      <c r="D65" s="2" t="s">
        <v>2379</v>
      </c>
      <c r="E65" s="8">
        <v>3</v>
      </c>
      <c r="F65" s="2" t="s">
        <v>2373</v>
      </c>
      <c r="G65" s="2" t="s">
        <v>255</v>
      </c>
    </row>
    <row r="66" spans="1:7" ht="14.5">
      <c r="A66" s="2" t="s">
        <v>921</v>
      </c>
      <c r="B66" s="10" t="s">
        <v>2443</v>
      </c>
      <c r="C66" s="2" t="s">
        <v>2371</v>
      </c>
      <c r="D66" s="2" t="s">
        <v>2405</v>
      </c>
      <c r="E66" s="8">
        <v>2</v>
      </c>
      <c r="F66" s="2" t="s">
        <v>2380</v>
      </c>
      <c r="G66" s="2" t="s">
        <v>268</v>
      </c>
    </row>
    <row r="67" spans="1:7" ht="14.5">
      <c r="A67" s="2" t="s">
        <v>475</v>
      </c>
      <c r="B67" s="10" t="s">
        <v>2444</v>
      </c>
      <c r="C67" s="2" t="s">
        <v>2375</v>
      </c>
      <c r="D67" s="2" t="s">
        <v>2379</v>
      </c>
      <c r="E67" s="8">
        <v>2</v>
      </c>
      <c r="F67" s="2" t="s">
        <v>271</v>
      </c>
      <c r="G67" s="2" t="s">
        <v>281</v>
      </c>
    </row>
    <row r="68" spans="1:7" ht="14.5">
      <c r="A68" s="2" t="s">
        <v>1022</v>
      </c>
      <c r="B68" s="10" t="s">
        <v>2445</v>
      </c>
      <c r="C68" s="2" t="s">
        <v>2375</v>
      </c>
      <c r="D68" s="2" t="s">
        <v>2383</v>
      </c>
      <c r="E68" s="8">
        <v>5</v>
      </c>
      <c r="F68" s="2" t="s">
        <v>2373</v>
      </c>
      <c r="G68" s="2" t="s">
        <v>339</v>
      </c>
    </row>
    <row r="69" spans="1:7" ht="14.5">
      <c r="A69" s="2" t="s">
        <v>711</v>
      </c>
      <c r="B69" s="10" t="s">
        <v>2446</v>
      </c>
      <c r="C69" s="2" t="s">
        <v>2382</v>
      </c>
      <c r="D69" s="2" t="s">
        <v>2405</v>
      </c>
      <c r="E69" s="8">
        <v>1</v>
      </c>
      <c r="F69" s="2" t="s">
        <v>2380</v>
      </c>
      <c r="G69" s="2" t="s">
        <v>255</v>
      </c>
    </row>
    <row r="70" spans="1:7" ht="14.5">
      <c r="A70" s="2" t="s">
        <v>486</v>
      </c>
      <c r="B70" s="10" t="s">
        <v>2447</v>
      </c>
      <c r="C70" s="2" t="s">
        <v>2387</v>
      </c>
      <c r="D70" s="2" t="s">
        <v>2405</v>
      </c>
      <c r="E70" s="8">
        <v>1</v>
      </c>
      <c r="F70" s="2" t="s">
        <v>2373</v>
      </c>
      <c r="G70" s="2" t="s">
        <v>268</v>
      </c>
    </row>
    <row r="71" spans="1:7" ht="14.5">
      <c r="A71" s="2" t="s">
        <v>958</v>
      </c>
      <c r="B71" s="10" t="s">
        <v>2448</v>
      </c>
      <c r="C71" s="2" t="s">
        <v>2382</v>
      </c>
      <c r="D71" s="2" t="s">
        <v>2383</v>
      </c>
      <c r="E71" s="8">
        <v>1</v>
      </c>
      <c r="F71" s="2" t="s">
        <v>2385</v>
      </c>
      <c r="G71" s="2" t="s">
        <v>281</v>
      </c>
    </row>
    <row r="72" spans="1:7" ht="14.5">
      <c r="A72" s="2" t="s">
        <v>682</v>
      </c>
      <c r="B72" s="10" t="s">
        <v>2449</v>
      </c>
      <c r="C72" s="2" t="s">
        <v>2375</v>
      </c>
      <c r="D72" s="2" t="s">
        <v>2405</v>
      </c>
      <c r="E72" s="8">
        <v>1</v>
      </c>
      <c r="F72" s="2" t="s">
        <v>2385</v>
      </c>
      <c r="G72" s="2" t="s">
        <v>339</v>
      </c>
    </row>
    <row r="73" spans="1:7" ht="14.5">
      <c r="A73" s="2" t="s">
        <v>1206</v>
      </c>
      <c r="B73" s="10" t="s">
        <v>2450</v>
      </c>
      <c r="C73" s="2" t="s">
        <v>2371</v>
      </c>
      <c r="D73" s="2" t="s">
        <v>2383</v>
      </c>
      <c r="E73" s="8">
        <v>5</v>
      </c>
      <c r="F73" s="2" t="s">
        <v>2373</v>
      </c>
      <c r="G73" s="2" t="s">
        <v>255</v>
      </c>
    </row>
    <row r="74" spans="1:7" ht="14.5">
      <c r="A74" s="2" t="s">
        <v>706</v>
      </c>
      <c r="B74" s="10" t="s">
        <v>2451</v>
      </c>
      <c r="C74" s="2" t="s">
        <v>2375</v>
      </c>
      <c r="D74" s="2" t="s">
        <v>2372</v>
      </c>
      <c r="E74" s="8">
        <v>4</v>
      </c>
      <c r="F74" s="2" t="s">
        <v>2385</v>
      </c>
      <c r="G74" s="2" t="s">
        <v>268</v>
      </c>
    </row>
    <row r="75" spans="1:7" ht="14.5">
      <c r="A75" s="2" t="s">
        <v>1227</v>
      </c>
      <c r="B75" s="10" t="s">
        <v>2452</v>
      </c>
      <c r="C75" s="2" t="s">
        <v>2375</v>
      </c>
      <c r="D75" s="2" t="s">
        <v>2375</v>
      </c>
      <c r="E75" s="8">
        <v>1</v>
      </c>
      <c r="F75" s="2" t="s">
        <v>271</v>
      </c>
      <c r="G75" s="2" t="s">
        <v>281</v>
      </c>
    </row>
    <row r="76" spans="1:7" ht="14.5">
      <c r="A76" s="2" t="s">
        <v>254</v>
      </c>
      <c r="B76" s="10" t="s">
        <v>2453</v>
      </c>
      <c r="C76" s="2" t="s">
        <v>2382</v>
      </c>
      <c r="D76" s="2" t="s">
        <v>2379</v>
      </c>
      <c r="E76" s="8">
        <v>4</v>
      </c>
      <c r="F76" s="2" t="s">
        <v>2385</v>
      </c>
      <c r="G76" s="2" t="s">
        <v>339</v>
      </c>
    </row>
    <row r="77" spans="1:7" ht="14.5">
      <c r="A77" s="2" t="s">
        <v>1130</v>
      </c>
      <c r="B77" s="10" t="s">
        <v>2454</v>
      </c>
      <c r="C77" s="2" t="s">
        <v>2371</v>
      </c>
      <c r="D77" s="2" t="s">
        <v>2405</v>
      </c>
      <c r="E77" s="8">
        <v>5</v>
      </c>
      <c r="F77" s="2" t="s">
        <v>2373</v>
      </c>
      <c r="G77" s="2" t="s">
        <v>255</v>
      </c>
    </row>
    <row r="78" spans="1:7" ht="14.5">
      <c r="A78" s="2" t="s">
        <v>1126</v>
      </c>
      <c r="B78" s="10" t="s">
        <v>2455</v>
      </c>
      <c r="C78" s="2" t="s">
        <v>2371</v>
      </c>
      <c r="D78" s="2" t="s">
        <v>2372</v>
      </c>
      <c r="E78" s="8">
        <v>1</v>
      </c>
      <c r="F78" s="2" t="s">
        <v>2373</v>
      </c>
      <c r="G78" s="2" t="s">
        <v>268</v>
      </c>
    </row>
    <row r="79" spans="1:7" ht="14.5">
      <c r="A79" s="2" t="s">
        <v>1478</v>
      </c>
      <c r="B79" s="10" t="s">
        <v>2456</v>
      </c>
      <c r="C79" s="2" t="s">
        <v>2371</v>
      </c>
      <c r="D79" s="2" t="s">
        <v>2372</v>
      </c>
      <c r="E79" s="8">
        <v>4</v>
      </c>
      <c r="F79" s="2" t="s">
        <v>2380</v>
      </c>
      <c r="G79" s="2" t="s">
        <v>281</v>
      </c>
    </row>
    <row r="80" spans="1:7" ht="14.5">
      <c r="A80" s="2" t="s">
        <v>1872</v>
      </c>
      <c r="B80" s="10" t="s">
        <v>2457</v>
      </c>
      <c r="C80" s="2" t="s">
        <v>2371</v>
      </c>
      <c r="D80" s="2" t="s">
        <v>2375</v>
      </c>
      <c r="E80" s="8">
        <v>2</v>
      </c>
      <c r="F80" s="2" t="s">
        <v>2385</v>
      </c>
      <c r="G80" s="2" t="s">
        <v>339</v>
      </c>
    </row>
    <row r="81" spans="1:7" ht="14.5">
      <c r="A81" s="2" t="s">
        <v>418</v>
      </c>
      <c r="B81" s="10" t="s">
        <v>2458</v>
      </c>
      <c r="C81" s="2" t="s">
        <v>2375</v>
      </c>
      <c r="D81" s="2" t="s">
        <v>2375</v>
      </c>
      <c r="E81" s="8">
        <v>1</v>
      </c>
      <c r="F81" s="2" t="s">
        <v>2380</v>
      </c>
      <c r="G81" s="2" t="s">
        <v>255</v>
      </c>
    </row>
    <row r="82" spans="1:7" ht="14.5">
      <c r="A82" s="2" t="s">
        <v>1427</v>
      </c>
      <c r="B82" s="10" t="s">
        <v>2459</v>
      </c>
      <c r="C82" s="2" t="s">
        <v>2375</v>
      </c>
      <c r="D82" s="2" t="s">
        <v>2376</v>
      </c>
      <c r="E82" s="8">
        <v>3</v>
      </c>
      <c r="F82" s="2" t="s">
        <v>2380</v>
      </c>
      <c r="G82" s="2" t="s">
        <v>268</v>
      </c>
    </row>
    <row r="83" spans="1:7" ht="14.5">
      <c r="A83" s="2" t="s">
        <v>1138</v>
      </c>
      <c r="B83" s="10" t="s">
        <v>2460</v>
      </c>
      <c r="C83" s="2" t="s">
        <v>2382</v>
      </c>
      <c r="D83" s="2" t="s">
        <v>2375</v>
      </c>
      <c r="E83" s="8">
        <v>5</v>
      </c>
      <c r="F83" s="2" t="s">
        <v>2380</v>
      </c>
      <c r="G83" s="2" t="s">
        <v>281</v>
      </c>
    </row>
    <row r="84" spans="1:7" ht="14.5">
      <c r="A84" s="2" t="s">
        <v>765</v>
      </c>
      <c r="B84" s="10" t="s">
        <v>2461</v>
      </c>
      <c r="C84" s="2" t="s">
        <v>2371</v>
      </c>
      <c r="D84" s="2" t="s">
        <v>2405</v>
      </c>
      <c r="E84" s="8">
        <v>2</v>
      </c>
      <c r="F84" s="2" t="s">
        <v>271</v>
      </c>
      <c r="G84" s="2" t="s">
        <v>339</v>
      </c>
    </row>
    <row r="85" spans="1:7" ht="14.5">
      <c r="A85" s="2" t="s">
        <v>372</v>
      </c>
      <c r="B85" s="10" t="s">
        <v>2462</v>
      </c>
      <c r="C85" s="2" t="s">
        <v>2387</v>
      </c>
      <c r="D85" s="2" t="s">
        <v>2379</v>
      </c>
      <c r="E85" s="8">
        <v>5</v>
      </c>
      <c r="F85" s="2" t="s">
        <v>2380</v>
      </c>
      <c r="G85" s="2" t="s">
        <v>255</v>
      </c>
    </row>
    <row r="86" spans="1:7" ht="14.5">
      <c r="A86" s="2" t="s">
        <v>1909</v>
      </c>
      <c r="B86" s="10" t="s">
        <v>2463</v>
      </c>
      <c r="C86" s="2" t="s">
        <v>2375</v>
      </c>
      <c r="D86" s="2" t="s">
        <v>2396</v>
      </c>
      <c r="E86" s="8">
        <v>4</v>
      </c>
      <c r="F86" s="2" t="s">
        <v>2385</v>
      </c>
      <c r="G86" s="2" t="s">
        <v>268</v>
      </c>
    </row>
    <row r="87" spans="1:7" ht="14.5">
      <c r="A87" s="2" t="s">
        <v>930</v>
      </c>
      <c r="B87" s="10" t="s">
        <v>2464</v>
      </c>
      <c r="C87" s="2" t="s">
        <v>2371</v>
      </c>
      <c r="D87" s="2" t="s">
        <v>2396</v>
      </c>
      <c r="E87" s="8">
        <v>4</v>
      </c>
      <c r="F87" s="2" t="s">
        <v>271</v>
      </c>
      <c r="G87" s="2" t="s">
        <v>281</v>
      </c>
    </row>
    <row r="88" spans="1:7" ht="14.5">
      <c r="A88" s="2" t="s">
        <v>1123</v>
      </c>
      <c r="B88" s="10" t="s">
        <v>2465</v>
      </c>
      <c r="C88" s="2" t="s">
        <v>2387</v>
      </c>
      <c r="D88" s="2" t="s">
        <v>2379</v>
      </c>
      <c r="E88" s="8">
        <v>4</v>
      </c>
      <c r="F88" s="2" t="s">
        <v>2380</v>
      </c>
      <c r="G88" s="2" t="s">
        <v>339</v>
      </c>
    </row>
    <row r="89" spans="1:7" ht="14.5">
      <c r="A89" s="2" t="s">
        <v>386</v>
      </c>
      <c r="B89" s="10" t="s">
        <v>2466</v>
      </c>
      <c r="C89" s="2" t="s">
        <v>2382</v>
      </c>
      <c r="D89" s="2" t="s">
        <v>2383</v>
      </c>
      <c r="E89" s="8">
        <v>1</v>
      </c>
      <c r="F89" s="2" t="s">
        <v>2380</v>
      </c>
      <c r="G89" s="2" t="s">
        <v>255</v>
      </c>
    </row>
    <row r="90" spans="1:7" ht="14.5">
      <c r="A90" s="2" t="s">
        <v>1968</v>
      </c>
      <c r="B90" s="10" t="s">
        <v>2467</v>
      </c>
      <c r="C90" s="2" t="s">
        <v>2375</v>
      </c>
      <c r="D90" s="2" t="s">
        <v>2383</v>
      </c>
      <c r="E90" s="8">
        <v>2</v>
      </c>
      <c r="F90" s="2" t="s">
        <v>271</v>
      </c>
      <c r="G90" s="2" t="s">
        <v>268</v>
      </c>
    </row>
    <row r="91" spans="1:7" ht="14.5">
      <c r="A91" s="2" t="s">
        <v>434</v>
      </c>
      <c r="B91" s="10" t="s">
        <v>2468</v>
      </c>
      <c r="C91" s="2" t="s">
        <v>2387</v>
      </c>
      <c r="D91" s="2" t="s">
        <v>2376</v>
      </c>
      <c r="E91" s="8">
        <v>3</v>
      </c>
      <c r="F91" s="2" t="s">
        <v>2373</v>
      </c>
      <c r="G91" s="2" t="s">
        <v>281</v>
      </c>
    </row>
    <row r="92" spans="1:7" ht="14.5">
      <c r="A92" s="2" t="s">
        <v>1077</v>
      </c>
      <c r="B92" s="10" t="s">
        <v>2469</v>
      </c>
      <c r="C92" s="2" t="s">
        <v>2382</v>
      </c>
      <c r="D92" s="2" t="s">
        <v>2372</v>
      </c>
      <c r="E92" s="8">
        <v>5</v>
      </c>
      <c r="F92" s="2" t="s">
        <v>2385</v>
      </c>
      <c r="G92" s="2" t="s">
        <v>339</v>
      </c>
    </row>
    <row r="93" spans="1:7" ht="14.5">
      <c r="A93" s="2" t="s">
        <v>741</v>
      </c>
      <c r="B93" s="10" t="s">
        <v>2470</v>
      </c>
      <c r="C93" s="2" t="s">
        <v>2371</v>
      </c>
      <c r="D93" s="2" t="s">
        <v>2375</v>
      </c>
      <c r="E93" s="8">
        <v>4</v>
      </c>
      <c r="F93" s="2" t="s">
        <v>271</v>
      </c>
      <c r="G93" s="2" t="s">
        <v>255</v>
      </c>
    </row>
    <row r="94" spans="1:7" ht="14.5">
      <c r="A94" s="2" t="s">
        <v>1475</v>
      </c>
      <c r="B94" s="10" t="s">
        <v>2471</v>
      </c>
      <c r="C94" s="2" t="s">
        <v>2375</v>
      </c>
      <c r="D94" s="2" t="s">
        <v>2405</v>
      </c>
      <c r="E94" s="8">
        <v>3</v>
      </c>
      <c r="F94" s="2" t="s">
        <v>2380</v>
      </c>
      <c r="G94" s="2" t="s">
        <v>268</v>
      </c>
    </row>
    <row r="95" spans="1:7" ht="14.5">
      <c r="A95" s="2" t="s">
        <v>495</v>
      </c>
      <c r="B95" s="10" t="s">
        <v>2472</v>
      </c>
      <c r="C95" s="2" t="s">
        <v>2387</v>
      </c>
      <c r="D95" s="2" t="s">
        <v>2396</v>
      </c>
      <c r="E95" s="8">
        <v>5</v>
      </c>
      <c r="F95" s="2" t="s">
        <v>2380</v>
      </c>
      <c r="G95" s="2" t="s">
        <v>281</v>
      </c>
    </row>
    <row r="96" spans="1:7" ht="14.5">
      <c r="A96" s="2" t="s">
        <v>408</v>
      </c>
      <c r="B96" s="10" t="s">
        <v>2473</v>
      </c>
      <c r="C96" s="2" t="s">
        <v>2382</v>
      </c>
      <c r="D96" s="2" t="s">
        <v>2396</v>
      </c>
      <c r="E96" s="8">
        <v>1</v>
      </c>
      <c r="F96" s="2" t="s">
        <v>271</v>
      </c>
      <c r="G96" s="2" t="s">
        <v>339</v>
      </c>
    </row>
    <row r="97" spans="1:7" ht="14.5">
      <c r="A97" s="2" t="s">
        <v>2474</v>
      </c>
      <c r="B97" s="10" t="s">
        <v>2475</v>
      </c>
      <c r="C97" s="2" t="s">
        <v>2375</v>
      </c>
      <c r="D97" s="2" t="s">
        <v>2376</v>
      </c>
      <c r="E97" s="8">
        <v>3</v>
      </c>
      <c r="F97" s="2" t="s">
        <v>2380</v>
      </c>
      <c r="G97" s="2" t="s">
        <v>255</v>
      </c>
    </row>
    <row r="98" spans="1:7" ht="14.5">
      <c r="A98" s="2" t="s">
        <v>465</v>
      </c>
      <c r="B98" s="10" t="s">
        <v>2476</v>
      </c>
      <c r="C98" s="2" t="s">
        <v>2382</v>
      </c>
      <c r="D98" s="2" t="s">
        <v>2375</v>
      </c>
      <c r="E98" s="8">
        <v>2</v>
      </c>
      <c r="F98" s="2" t="s">
        <v>271</v>
      </c>
      <c r="G98" s="2" t="s">
        <v>268</v>
      </c>
    </row>
    <row r="99" spans="1:7" ht="14.5">
      <c r="A99" s="2" t="s">
        <v>837</v>
      </c>
      <c r="B99" s="10" t="s">
        <v>2477</v>
      </c>
      <c r="C99" s="2" t="s">
        <v>2371</v>
      </c>
      <c r="D99" s="2" t="s">
        <v>2375</v>
      </c>
      <c r="E99" s="8">
        <v>3</v>
      </c>
      <c r="F99" s="2" t="s">
        <v>2380</v>
      </c>
      <c r="G99" s="2" t="s">
        <v>281</v>
      </c>
    </row>
    <row r="100" spans="1:7" ht="14.5">
      <c r="A100" s="2" t="s">
        <v>642</v>
      </c>
      <c r="B100" s="10" t="s">
        <v>2478</v>
      </c>
      <c r="C100" s="2" t="s">
        <v>2382</v>
      </c>
      <c r="D100" s="2" t="s">
        <v>2396</v>
      </c>
      <c r="E100" s="8">
        <v>5</v>
      </c>
      <c r="F100" s="2" t="s">
        <v>2373</v>
      </c>
      <c r="G100" s="2" t="s">
        <v>339</v>
      </c>
    </row>
    <row r="101" spans="1:7" ht="14.5">
      <c r="A101" s="2" t="s">
        <v>909</v>
      </c>
      <c r="B101" s="10" t="s">
        <v>2479</v>
      </c>
      <c r="C101" s="2" t="s">
        <v>2371</v>
      </c>
      <c r="D101" s="2" t="s">
        <v>2383</v>
      </c>
      <c r="E101" s="8">
        <v>5</v>
      </c>
      <c r="F101" s="2" t="s">
        <v>2385</v>
      </c>
      <c r="G101" s="2" t="s">
        <v>255</v>
      </c>
    </row>
    <row r="102" spans="1:7" ht="14.5">
      <c r="A102" s="2" t="s">
        <v>1525</v>
      </c>
      <c r="B102" s="10" t="s">
        <v>2480</v>
      </c>
      <c r="C102" s="2" t="s">
        <v>2382</v>
      </c>
      <c r="D102" s="2" t="s">
        <v>2376</v>
      </c>
      <c r="E102" s="8">
        <v>3</v>
      </c>
      <c r="F102" s="2" t="s">
        <v>2373</v>
      </c>
      <c r="G102" s="2" t="s">
        <v>268</v>
      </c>
    </row>
    <row r="103" spans="1:7" ht="14.5">
      <c r="A103" s="2" t="s">
        <v>1804</v>
      </c>
      <c r="B103" s="10" t="s">
        <v>2481</v>
      </c>
      <c r="C103" s="2" t="s">
        <v>2371</v>
      </c>
      <c r="D103" s="2" t="s">
        <v>2375</v>
      </c>
      <c r="E103" s="8">
        <v>2</v>
      </c>
      <c r="F103" s="2" t="s">
        <v>2385</v>
      </c>
      <c r="G103" s="2" t="s">
        <v>281</v>
      </c>
    </row>
    <row r="104" spans="1:7" ht="14.5">
      <c r="A104" s="2" t="s">
        <v>546</v>
      </c>
      <c r="B104" s="10" t="s">
        <v>2482</v>
      </c>
      <c r="C104" s="2" t="s">
        <v>2387</v>
      </c>
      <c r="D104" s="2" t="s">
        <v>2376</v>
      </c>
      <c r="E104" s="8">
        <v>1</v>
      </c>
      <c r="F104" s="2" t="s">
        <v>2385</v>
      </c>
      <c r="G104" s="2" t="s">
        <v>339</v>
      </c>
    </row>
    <row r="105" spans="1:7" ht="14.5">
      <c r="A105" s="2" t="s">
        <v>946</v>
      </c>
      <c r="B105" s="10" t="s">
        <v>2483</v>
      </c>
      <c r="C105" s="2" t="s">
        <v>2387</v>
      </c>
      <c r="D105" s="2" t="s">
        <v>2375</v>
      </c>
      <c r="E105" s="8">
        <v>5</v>
      </c>
      <c r="F105" s="2" t="s">
        <v>2380</v>
      </c>
      <c r="G105" s="2" t="s">
        <v>255</v>
      </c>
    </row>
    <row r="106" spans="1:7" ht="14.5">
      <c r="A106" s="2" t="s">
        <v>800</v>
      </c>
      <c r="B106" s="10" t="s">
        <v>2484</v>
      </c>
      <c r="C106" s="2" t="s">
        <v>2387</v>
      </c>
      <c r="D106" s="2" t="s">
        <v>2379</v>
      </c>
      <c r="E106" s="8">
        <v>5</v>
      </c>
      <c r="F106" s="2" t="s">
        <v>271</v>
      </c>
      <c r="G106" s="2" t="s">
        <v>268</v>
      </c>
    </row>
    <row r="107" spans="1:7" ht="14.5">
      <c r="A107" s="2" t="s">
        <v>1031</v>
      </c>
      <c r="B107" s="10" t="s">
        <v>2485</v>
      </c>
      <c r="C107" s="2" t="s">
        <v>2387</v>
      </c>
      <c r="D107" s="2" t="s">
        <v>2383</v>
      </c>
      <c r="E107" s="8">
        <v>2</v>
      </c>
      <c r="F107" s="2" t="s">
        <v>2385</v>
      </c>
      <c r="G107" s="2" t="s">
        <v>281</v>
      </c>
    </row>
    <row r="108" spans="1:7" ht="14.5">
      <c r="A108" s="2" t="s">
        <v>1215</v>
      </c>
      <c r="B108" s="10" t="s">
        <v>2486</v>
      </c>
      <c r="C108" s="2" t="s">
        <v>2375</v>
      </c>
      <c r="D108" s="2" t="s">
        <v>2379</v>
      </c>
      <c r="E108" s="8">
        <v>1</v>
      </c>
      <c r="F108" s="2" t="s">
        <v>2373</v>
      </c>
      <c r="G108" s="2" t="s">
        <v>339</v>
      </c>
    </row>
    <row r="109" spans="1:7" ht="14.5">
      <c r="A109" s="2" t="s">
        <v>518</v>
      </c>
      <c r="B109" s="10" t="s">
        <v>2487</v>
      </c>
      <c r="C109" s="2" t="s">
        <v>2382</v>
      </c>
      <c r="D109" s="2" t="s">
        <v>2375</v>
      </c>
      <c r="E109" s="8">
        <v>2</v>
      </c>
      <c r="F109" s="2" t="s">
        <v>2380</v>
      </c>
      <c r="G109" s="2" t="s">
        <v>255</v>
      </c>
    </row>
    <row r="110" spans="1:7" ht="14.5">
      <c r="A110" s="2" t="s">
        <v>853</v>
      </c>
      <c r="B110" s="10" t="s">
        <v>2488</v>
      </c>
      <c r="C110" s="2" t="s">
        <v>2371</v>
      </c>
      <c r="D110" s="2" t="s">
        <v>2372</v>
      </c>
      <c r="E110" s="8">
        <v>5</v>
      </c>
      <c r="F110" s="2" t="s">
        <v>2373</v>
      </c>
      <c r="G110" s="2" t="s">
        <v>268</v>
      </c>
    </row>
    <row r="111" spans="1:7" ht="14.5">
      <c r="A111" s="2" t="s">
        <v>1925</v>
      </c>
      <c r="B111" s="10" t="s">
        <v>2489</v>
      </c>
      <c r="C111" s="2" t="s">
        <v>2382</v>
      </c>
      <c r="D111" s="2" t="s">
        <v>2383</v>
      </c>
      <c r="E111" s="8">
        <v>5</v>
      </c>
      <c r="F111" s="2" t="s">
        <v>271</v>
      </c>
      <c r="G111" s="2" t="s">
        <v>281</v>
      </c>
    </row>
    <row r="112" spans="1:7" ht="14.5">
      <c r="A112" s="2" t="s">
        <v>2044</v>
      </c>
      <c r="B112" s="10" t="s">
        <v>2490</v>
      </c>
      <c r="C112" s="2" t="s">
        <v>2375</v>
      </c>
      <c r="D112" s="2" t="s">
        <v>2396</v>
      </c>
      <c r="E112" s="8">
        <v>2</v>
      </c>
      <c r="F112" s="2" t="s">
        <v>271</v>
      </c>
      <c r="G112" s="2" t="s">
        <v>339</v>
      </c>
    </row>
    <row r="113" spans="1:7" ht="14.5">
      <c r="A113" s="2" t="s">
        <v>1036</v>
      </c>
      <c r="B113" s="10" t="s">
        <v>2491</v>
      </c>
      <c r="C113" s="2" t="s">
        <v>2387</v>
      </c>
      <c r="D113" s="2" t="s">
        <v>2375</v>
      </c>
      <c r="E113" s="8">
        <v>3</v>
      </c>
      <c r="F113" s="2" t="s">
        <v>2385</v>
      </c>
      <c r="G113" s="2" t="s">
        <v>255</v>
      </c>
    </row>
    <row r="114" spans="1:7" ht="14.5">
      <c r="A114" s="2" t="s">
        <v>402</v>
      </c>
      <c r="B114" s="10" t="s">
        <v>2492</v>
      </c>
      <c r="C114" s="2" t="s">
        <v>2375</v>
      </c>
      <c r="D114" s="2" t="s">
        <v>2383</v>
      </c>
      <c r="E114" s="8">
        <v>5</v>
      </c>
      <c r="F114" s="2" t="s">
        <v>2385</v>
      </c>
      <c r="G114" s="2" t="s">
        <v>268</v>
      </c>
    </row>
    <row r="115" spans="1:7" ht="14.5">
      <c r="A115" s="2" t="s">
        <v>839</v>
      </c>
      <c r="B115" s="10" t="s">
        <v>2493</v>
      </c>
      <c r="C115" s="2" t="s">
        <v>2371</v>
      </c>
      <c r="D115" s="2" t="s">
        <v>2405</v>
      </c>
      <c r="E115" s="8">
        <v>4</v>
      </c>
      <c r="F115" s="2" t="s">
        <v>2385</v>
      </c>
      <c r="G115" s="2" t="s">
        <v>281</v>
      </c>
    </row>
    <row r="116" spans="1:7" ht="14.5">
      <c r="A116" s="2" t="s">
        <v>1505</v>
      </c>
      <c r="B116" s="10" t="s">
        <v>2494</v>
      </c>
      <c r="C116" s="2" t="s">
        <v>2375</v>
      </c>
      <c r="D116" s="2" t="s">
        <v>2372</v>
      </c>
      <c r="E116" s="8">
        <v>4</v>
      </c>
      <c r="F116" s="2" t="s">
        <v>2385</v>
      </c>
      <c r="G116" s="2" t="s">
        <v>339</v>
      </c>
    </row>
    <row r="117" spans="1:7" ht="14.5">
      <c r="A117" s="2" t="s">
        <v>995</v>
      </c>
      <c r="B117" s="10" t="s">
        <v>2495</v>
      </c>
      <c r="C117" s="2" t="s">
        <v>2387</v>
      </c>
      <c r="D117" s="2" t="s">
        <v>2383</v>
      </c>
      <c r="E117" s="8">
        <v>1</v>
      </c>
      <c r="F117" s="2" t="s">
        <v>2380</v>
      </c>
      <c r="G117" s="2" t="s">
        <v>255</v>
      </c>
    </row>
    <row r="118" spans="1:7" ht="14.5">
      <c r="A118" s="2" t="s">
        <v>514</v>
      </c>
      <c r="B118" s="10" t="s">
        <v>2496</v>
      </c>
      <c r="C118" s="2" t="s">
        <v>2382</v>
      </c>
      <c r="D118" s="2" t="s">
        <v>2375</v>
      </c>
      <c r="E118" s="8">
        <v>2</v>
      </c>
      <c r="F118" s="2" t="s">
        <v>2373</v>
      </c>
      <c r="G118" s="2" t="s">
        <v>268</v>
      </c>
    </row>
    <row r="119" spans="1:7" ht="14.5">
      <c r="A119" s="2" t="s">
        <v>1931</v>
      </c>
      <c r="B119" s="10" t="s">
        <v>2497</v>
      </c>
      <c r="C119" s="2" t="s">
        <v>2375</v>
      </c>
      <c r="D119" s="2" t="s">
        <v>2372</v>
      </c>
      <c r="E119" s="8">
        <v>1</v>
      </c>
      <c r="F119" s="2" t="s">
        <v>2373</v>
      </c>
      <c r="G119" s="2" t="s">
        <v>281</v>
      </c>
    </row>
    <row r="120" spans="1:7" ht="14.5">
      <c r="A120" s="2" t="s">
        <v>1537</v>
      </c>
      <c r="B120" s="10" t="s">
        <v>2498</v>
      </c>
      <c r="C120" s="2" t="s">
        <v>2387</v>
      </c>
      <c r="D120" s="2" t="s">
        <v>2383</v>
      </c>
      <c r="E120" s="8">
        <v>2</v>
      </c>
      <c r="F120" s="2" t="s">
        <v>2373</v>
      </c>
      <c r="G120" s="2" t="s">
        <v>339</v>
      </c>
    </row>
    <row r="121" spans="1:7" ht="14.5">
      <c r="A121" s="2" t="s">
        <v>769</v>
      </c>
      <c r="B121" s="10" t="s">
        <v>2499</v>
      </c>
      <c r="C121" s="2" t="s">
        <v>2375</v>
      </c>
      <c r="D121" s="2" t="s">
        <v>2383</v>
      </c>
      <c r="E121" s="8">
        <v>4</v>
      </c>
      <c r="F121" s="2" t="s">
        <v>2385</v>
      </c>
      <c r="G121" s="2" t="s">
        <v>255</v>
      </c>
    </row>
    <row r="122" spans="1:7" ht="14.5">
      <c r="A122" s="2" t="s">
        <v>1088</v>
      </c>
      <c r="B122" s="10" t="s">
        <v>2500</v>
      </c>
      <c r="C122" s="2" t="s">
        <v>2371</v>
      </c>
      <c r="D122" s="2" t="s">
        <v>2405</v>
      </c>
      <c r="E122" s="8">
        <v>2</v>
      </c>
      <c r="F122" s="2" t="s">
        <v>271</v>
      </c>
      <c r="G122" s="2" t="s">
        <v>268</v>
      </c>
    </row>
    <row r="123" spans="1:7" ht="14.5">
      <c r="A123" s="2" t="s">
        <v>1116</v>
      </c>
      <c r="B123" s="10" t="s">
        <v>2501</v>
      </c>
      <c r="C123" s="2" t="s">
        <v>2387</v>
      </c>
      <c r="D123" s="2" t="s">
        <v>2396</v>
      </c>
      <c r="E123" s="8">
        <v>3</v>
      </c>
      <c r="F123" s="2" t="s">
        <v>2385</v>
      </c>
      <c r="G123" s="2" t="s">
        <v>281</v>
      </c>
    </row>
    <row r="124" spans="1:7" ht="14.5">
      <c r="A124" s="2" t="s">
        <v>638</v>
      </c>
      <c r="B124" s="10" t="s">
        <v>2502</v>
      </c>
      <c r="C124" s="2" t="s">
        <v>2382</v>
      </c>
      <c r="D124" s="2" t="s">
        <v>2375</v>
      </c>
      <c r="E124" s="8">
        <v>2</v>
      </c>
      <c r="F124" s="2" t="s">
        <v>2373</v>
      </c>
      <c r="G124" s="2" t="s">
        <v>339</v>
      </c>
    </row>
    <row r="125" spans="1:7" ht="14.5">
      <c r="A125" s="2" t="s">
        <v>2167</v>
      </c>
      <c r="B125" s="10" t="s">
        <v>2503</v>
      </c>
      <c r="C125" s="2" t="s">
        <v>2375</v>
      </c>
      <c r="D125" s="2" t="s">
        <v>2379</v>
      </c>
      <c r="E125" s="8">
        <v>4</v>
      </c>
      <c r="F125" s="2" t="s">
        <v>2385</v>
      </c>
      <c r="G125" s="2" t="s">
        <v>255</v>
      </c>
    </row>
    <row r="126" spans="1:7" ht="14.5">
      <c r="A126" s="2" t="s">
        <v>610</v>
      </c>
      <c r="B126" s="10" t="s">
        <v>2504</v>
      </c>
      <c r="C126" s="2" t="s">
        <v>2375</v>
      </c>
      <c r="D126" s="2" t="s">
        <v>2372</v>
      </c>
      <c r="E126" s="8">
        <v>3</v>
      </c>
      <c r="F126" s="2" t="s">
        <v>2385</v>
      </c>
      <c r="G126" s="2" t="s">
        <v>268</v>
      </c>
    </row>
    <row r="127" spans="1:7" ht="14.5">
      <c r="A127" s="2" t="s">
        <v>659</v>
      </c>
      <c r="B127" s="10" t="s">
        <v>2505</v>
      </c>
      <c r="C127" s="2" t="s">
        <v>2387</v>
      </c>
      <c r="D127" s="2" t="s">
        <v>2396</v>
      </c>
      <c r="E127" s="8">
        <v>5</v>
      </c>
      <c r="F127" s="2" t="s">
        <v>2373</v>
      </c>
      <c r="G127" s="2" t="s">
        <v>281</v>
      </c>
    </row>
    <row r="128" spans="1:7" ht="14.5">
      <c r="A128" s="2" t="s">
        <v>1136</v>
      </c>
      <c r="B128" s="10" t="s">
        <v>2506</v>
      </c>
      <c r="C128" s="2" t="s">
        <v>2387</v>
      </c>
      <c r="D128" s="2" t="s">
        <v>2379</v>
      </c>
      <c r="E128" s="8">
        <v>1</v>
      </c>
      <c r="F128" s="2" t="s">
        <v>2373</v>
      </c>
      <c r="G128" s="2" t="s">
        <v>339</v>
      </c>
    </row>
    <row r="129" spans="1:7" ht="14.5">
      <c r="A129" s="2" t="s">
        <v>1060</v>
      </c>
      <c r="B129" s="10" t="s">
        <v>2507</v>
      </c>
      <c r="C129" s="2" t="s">
        <v>2382</v>
      </c>
      <c r="D129" s="2" t="s">
        <v>2383</v>
      </c>
      <c r="E129" s="8">
        <v>1</v>
      </c>
      <c r="F129" s="2" t="s">
        <v>2373</v>
      </c>
      <c r="G129" s="2" t="s">
        <v>255</v>
      </c>
    </row>
    <row r="130" spans="1:7" ht="14.5">
      <c r="A130" s="2" t="s">
        <v>1018</v>
      </c>
      <c r="B130" s="10" t="s">
        <v>2508</v>
      </c>
      <c r="C130" s="2" t="s">
        <v>2387</v>
      </c>
      <c r="D130" s="2" t="s">
        <v>2375</v>
      </c>
      <c r="E130" s="8">
        <v>4</v>
      </c>
      <c r="F130" s="2" t="s">
        <v>271</v>
      </c>
      <c r="G130" s="2" t="s">
        <v>268</v>
      </c>
    </row>
    <row r="131" spans="1:7" ht="14.5">
      <c r="A131" s="2" t="s">
        <v>967</v>
      </c>
      <c r="B131" s="10" t="s">
        <v>2509</v>
      </c>
      <c r="C131" s="2" t="s">
        <v>2371</v>
      </c>
      <c r="D131" s="2" t="s">
        <v>2379</v>
      </c>
      <c r="E131" s="8">
        <v>1</v>
      </c>
      <c r="F131" s="2" t="s">
        <v>2380</v>
      </c>
      <c r="G131" s="2" t="s">
        <v>281</v>
      </c>
    </row>
    <row r="132" spans="1:7" ht="14.5">
      <c r="A132" s="2" t="s">
        <v>267</v>
      </c>
      <c r="B132" s="10" t="s">
        <v>2510</v>
      </c>
      <c r="C132" s="2" t="s">
        <v>2387</v>
      </c>
      <c r="D132" s="2" t="s">
        <v>2372</v>
      </c>
      <c r="E132" s="8">
        <v>1</v>
      </c>
      <c r="F132" s="2" t="s">
        <v>2385</v>
      </c>
      <c r="G132" s="2" t="s">
        <v>339</v>
      </c>
    </row>
    <row r="133" spans="1:7" ht="14.5">
      <c r="A133" s="2" t="s">
        <v>1494</v>
      </c>
      <c r="B133" s="10" t="s">
        <v>2511</v>
      </c>
      <c r="C133" s="2" t="s">
        <v>2371</v>
      </c>
      <c r="D133" s="2" t="s">
        <v>2372</v>
      </c>
      <c r="E133" s="8">
        <v>3</v>
      </c>
      <c r="F133" s="2" t="s">
        <v>2385</v>
      </c>
      <c r="G133" s="2" t="s">
        <v>255</v>
      </c>
    </row>
    <row r="134" spans="1:7" ht="14.5">
      <c r="A134" s="2" t="s">
        <v>1014</v>
      </c>
      <c r="B134" s="10" t="s">
        <v>2512</v>
      </c>
      <c r="C134" s="2" t="s">
        <v>2382</v>
      </c>
      <c r="D134" s="2" t="s">
        <v>2372</v>
      </c>
      <c r="E134" s="8">
        <v>2</v>
      </c>
      <c r="F134" s="2" t="s">
        <v>2373</v>
      </c>
      <c r="G134" s="2" t="s">
        <v>268</v>
      </c>
    </row>
    <row r="135" spans="1:7" ht="14.5">
      <c r="A135" s="2" t="s">
        <v>1297</v>
      </c>
      <c r="B135" s="10" t="s">
        <v>2513</v>
      </c>
      <c r="C135" s="2" t="s">
        <v>2382</v>
      </c>
      <c r="D135" s="2" t="s">
        <v>2379</v>
      </c>
      <c r="E135" s="8">
        <v>3</v>
      </c>
      <c r="F135" s="2" t="s">
        <v>2380</v>
      </c>
      <c r="G135" s="2" t="s">
        <v>281</v>
      </c>
    </row>
    <row r="136" spans="1:7" ht="14.5">
      <c r="A136" s="2" t="s">
        <v>321</v>
      </c>
      <c r="B136" s="10" t="s">
        <v>2514</v>
      </c>
      <c r="C136" s="2" t="s">
        <v>2382</v>
      </c>
      <c r="D136" s="2" t="s">
        <v>2396</v>
      </c>
      <c r="E136" s="8">
        <v>3</v>
      </c>
      <c r="F136" s="2" t="s">
        <v>2380</v>
      </c>
      <c r="G136" s="2" t="s">
        <v>339</v>
      </c>
    </row>
    <row r="137" spans="1:7" ht="14.5">
      <c r="A137" s="2" t="s">
        <v>2038</v>
      </c>
      <c r="B137" s="10" t="s">
        <v>2515</v>
      </c>
      <c r="C137" s="2" t="s">
        <v>2387</v>
      </c>
      <c r="D137" s="2" t="s">
        <v>2396</v>
      </c>
      <c r="E137" s="8">
        <v>1</v>
      </c>
      <c r="F137" s="2" t="s">
        <v>271</v>
      </c>
      <c r="G137" s="2" t="s">
        <v>255</v>
      </c>
    </row>
    <row r="138" spans="1:7" ht="14.5">
      <c r="A138" s="2" t="s">
        <v>786</v>
      </c>
      <c r="B138" s="10" t="s">
        <v>2516</v>
      </c>
      <c r="C138" s="2" t="s">
        <v>2387</v>
      </c>
      <c r="D138" s="2" t="s">
        <v>2383</v>
      </c>
      <c r="E138" s="8">
        <v>2</v>
      </c>
      <c r="F138" s="2" t="s">
        <v>2385</v>
      </c>
      <c r="G138" s="2" t="s">
        <v>268</v>
      </c>
    </row>
    <row r="139" spans="1:7" ht="14.5">
      <c r="A139" s="2" t="s">
        <v>1418</v>
      </c>
      <c r="B139" s="10" t="s">
        <v>2517</v>
      </c>
      <c r="C139" s="2" t="s">
        <v>2382</v>
      </c>
      <c r="D139" s="2" t="s">
        <v>2379</v>
      </c>
      <c r="E139" s="8">
        <v>3</v>
      </c>
      <c r="F139" s="2" t="s">
        <v>271</v>
      </c>
      <c r="G139" s="2" t="s">
        <v>281</v>
      </c>
    </row>
    <row r="140" spans="1:7" ht="14.5">
      <c r="A140" s="2" t="s">
        <v>978</v>
      </c>
      <c r="B140" s="10" t="s">
        <v>2518</v>
      </c>
      <c r="C140" s="2" t="s">
        <v>2382</v>
      </c>
      <c r="D140" s="2" t="s">
        <v>2396</v>
      </c>
      <c r="E140" s="8">
        <v>1</v>
      </c>
      <c r="F140" s="2" t="s">
        <v>2373</v>
      </c>
      <c r="G140" s="2" t="s">
        <v>339</v>
      </c>
    </row>
    <row r="141" spans="1:7" ht="14.5">
      <c r="A141" s="2" t="s">
        <v>904</v>
      </c>
      <c r="B141" s="10" t="s">
        <v>2519</v>
      </c>
      <c r="C141" s="2" t="s">
        <v>2375</v>
      </c>
      <c r="D141" s="2" t="s">
        <v>2372</v>
      </c>
      <c r="E141" s="8">
        <v>1</v>
      </c>
      <c r="F141" s="2" t="s">
        <v>2373</v>
      </c>
      <c r="G141" s="2" t="s">
        <v>255</v>
      </c>
    </row>
    <row r="142" spans="1:7" ht="14.5">
      <c r="A142" s="2" t="s">
        <v>2122</v>
      </c>
      <c r="B142" s="10" t="s">
        <v>2520</v>
      </c>
      <c r="C142" s="2" t="s">
        <v>2387</v>
      </c>
      <c r="D142" s="2" t="s">
        <v>2375</v>
      </c>
      <c r="E142" s="8">
        <v>1</v>
      </c>
      <c r="F142" s="2" t="s">
        <v>2380</v>
      </c>
      <c r="G142" s="2" t="s">
        <v>268</v>
      </c>
    </row>
    <row r="143" spans="1:7" ht="14.5">
      <c r="A143" s="2" t="s">
        <v>717</v>
      </c>
      <c r="B143" s="10" t="s">
        <v>2521</v>
      </c>
      <c r="C143" s="2" t="s">
        <v>2387</v>
      </c>
      <c r="D143" s="2" t="s">
        <v>2383</v>
      </c>
      <c r="E143" s="8">
        <v>4</v>
      </c>
      <c r="F143" s="2" t="s">
        <v>2380</v>
      </c>
      <c r="G143" s="2" t="s">
        <v>281</v>
      </c>
    </row>
    <row r="144" spans="1:7" ht="14.5">
      <c r="A144" s="2" t="s">
        <v>534</v>
      </c>
      <c r="B144" s="10" t="s">
        <v>2522</v>
      </c>
      <c r="C144" s="2" t="s">
        <v>2387</v>
      </c>
      <c r="D144" s="2" t="s">
        <v>2383</v>
      </c>
      <c r="E144" s="8">
        <v>2</v>
      </c>
      <c r="F144" s="2" t="s">
        <v>2380</v>
      </c>
      <c r="G144" s="2" t="s">
        <v>339</v>
      </c>
    </row>
    <row r="145" spans="1:7" ht="14.5">
      <c r="A145" s="2" t="s">
        <v>1344</v>
      </c>
      <c r="B145" s="10" t="s">
        <v>2523</v>
      </c>
      <c r="C145" s="2" t="s">
        <v>2371</v>
      </c>
      <c r="D145" s="2" t="s">
        <v>2379</v>
      </c>
      <c r="E145" s="8">
        <v>5</v>
      </c>
      <c r="F145" s="2" t="s">
        <v>2373</v>
      </c>
      <c r="G145" s="2" t="s">
        <v>255</v>
      </c>
    </row>
    <row r="146" spans="1:7" ht="14.5">
      <c r="A146" s="2" t="s">
        <v>1008</v>
      </c>
      <c r="B146" s="10" t="s">
        <v>2524</v>
      </c>
      <c r="C146" s="2" t="s">
        <v>2382</v>
      </c>
      <c r="D146" s="2" t="s">
        <v>2372</v>
      </c>
      <c r="E146" s="8">
        <v>2</v>
      </c>
      <c r="F146" s="2" t="s">
        <v>2385</v>
      </c>
      <c r="G146" s="2" t="s">
        <v>268</v>
      </c>
    </row>
    <row r="147" spans="1:7" ht="14.5">
      <c r="A147" s="2" t="s">
        <v>857</v>
      </c>
      <c r="B147" s="10" t="s">
        <v>2525</v>
      </c>
      <c r="C147" s="2" t="s">
        <v>2375</v>
      </c>
      <c r="D147" s="2" t="s">
        <v>2405</v>
      </c>
      <c r="E147" s="8">
        <v>2</v>
      </c>
      <c r="F147" s="2" t="s">
        <v>2373</v>
      </c>
      <c r="G147" s="2" t="s">
        <v>281</v>
      </c>
    </row>
    <row r="148" spans="1:7" ht="14.5">
      <c r="A148" s="2" t="s">
        <v>1065</v>
      </c>
      <c r="B148" s="10" t="s">
        <v>2526</v>
      </c>
      <c r="C148" s="2" t="s">
        <v>2375</v>
      </c>
      <c r="D148" s="2" t="s">
        <v>2375</v>
      </c>
      <c r="E148" s="8">
        <v>1</v>
      </c>
      <c r="F148" s="2" t="s">
        <v>2385</v>
      </c>
      <c r="G148" s="2" t="s">
        <v>339</v>
      </c>
    </row>
    <row r="149" spans="1:7" ht="14.5">
      <c r="A149" s="2" t="s">
        <v>982</v>
      </c>
      <c r="B149" s="10" t="s">
        <v>2527</v>
      </c>
      <c r="C149" s="2" t="s">
        <v>2371</v>
      </c>
      <c r="D149" s="2" t="s">
        <v>2379</v>
      </c>
      <c r="E149" s="8">
        <v>1</v>
      </c>
      <c r="F149" s="2" t="s">
        <v>2385</v>
      </c>
      <c r="G149" s="2" t="s">
        <v>255</v>
      </c>
    </row>
    <row r="150" spans="1:7" ht="14.5">
      <c r="A150" s="2" t="s">
        <v>615</v>
      </c>
      <c r="B150" s="10" t="s">
        <v>2528</v>
      </c>
      <c r="C150" s="2" t="s">
        <v>2382</v>
      </c>
      <c r="D150" s="2" t="s">
        <v>2375</v>
      </c>
      <c r="E150" s="8">
        <v>2</v>
      </c>
      <c r="F150" s="2" t="s">
        <v>271</v>
      </c>
      <c r="G150" s="2" t="s">
        <v>268</v>
      </c>
    </row>
    <row r="151" spans="1:7" ht="14.5">
      <c r="A151" s="2" t="s">
        <v>1864</v>
      </c>
      <c r="B151" s="10" t="s">
        <v>2529</v>
      </c>
      <c r="C151" s="2" t="s">
        <v>2371</v>
      </c>
      <c r="D151" s="2" t="s">
        <v>2405</v>
      </c>
      <c r="E151" s="8">
        <v>1</v>
      </c>
      <c r="F151" s="2" t="s">
        <v>271</v>
      </c>
      <c r="G151" s="2" t="s">
        <v>281</v>
      </c>
    </row>
    <row r="152" spans="1:7" ht="14.5">
      <c r="A152" s="2" t="s">
        <v>1466</v>
      </c>
      <c r="B152" s="10" t="s">
        <v>2530</v>
      </c>
      <c r="C152" s="2" t="s">
        <v>2382</v>
      </c>
      <c r="D152" s="2" t="s">
        <v>2383</v>
      </c>
      <c r="E152" s="8">
        <v>4</v>
      </c>
      <c r="F152" s="2" t="s">
        <v>2385</v>
      </c>
      <c r="G152" s="2" t="s">
        <v>339</v>
      </c>
    </row>
    <row r="153" spans="1:7" ht="14.5">
      <c r="A153" s="2" t="s">
        <v>877</v>
      </c>
      <c r="B153" s="10" t="s">
        <v>2531</v>
      </c>
      <c r="C153" s="2" t="s">
        <v>2382</v>
      </c>
      <c r="D153" s="2" t="s">
        <v>2376</v>
      </c>
      <c r="E153" s="8">
        <v>5</v>
      </c>
      <c r="F153" s="2" t="s">
        <v>2373</v>
      </c>
      <c r="G153" s="2" t="s">
        <v>255</v>
      </c>
    </row>
    <row r="154" spans="1:7" ht="14.5">
      <c r="A154" s="2" t="s">
        <v>1067</v>
      </c>
      <c r="B154" s="10" t="s">
        <v>2532</v>
      </c>
      <c r="C154" s="2" t="s">
        <v>2382</v>
      </c>
      <c r="D154" s="2" t="s">
        <v>2383</v>
      </c>
      <c r="E154" s="8">
        <v>1</v>
      </c>
      <c r="F154" s="2" t="s">
        <v>271</v>
      </c>
      <c r="G154" s="2" t="s">
        <v>268</v>
      </c>
    </row>
    <row r="155" spans="1:7" ht="14.5">
      <c r="A155" s="2" t="s">
        <v>1083</v>
      </c>
      <c r="B155" s="10" t="s">
        <v>2533</v>
      </c>
      <c r="C155" s="2" t="s">
        <v>2371</v>
      </c>
      <c r="D155" s="2" t="s">
        <v>2375</v>
      </c>
      <c r="E155" s="8">
        <v>5</v>
      </c>
      <c r="F155" s="2" t="s">
        <v>2373</v>
      </c>
      <c r="G155" s="2" t="s">
        <v>281</v>
      </c>
    </row>
    <row r="156" spans="1:7" ht="14.5">
      <c r="A156" s="2" t="s">
        <v>586</v>
      </c>
      <c r="B156" s="10" t="s">
        <v>2534</v>
      </c>
      <c r="C156" s="2" t="s">
        <v>2371</v>
      </c>
      <c r="D156" s="2" t="s">
        <v>2405</v>
      </c>
      <c r="E156" s="8">
        <v>1</v>
      </c>
      <c r="F156" s="2" t="s">
        <v>2385</v>
      </c>
      <c r="G156" s="2" t="s">
        <v>339</v>
      </c>
    </row>
    <row r="157" spans="1:7" ht="14.5">
      <c r="A157" s="2" t="s">
        <v>450</v>
      </c>
      <c r="B157" s="10" t="s">
        <v>2535</v>
      </c>
      <c r="C157" s="2" t="s">
        <v>2371</v>
      </c>
      <c r="D157" s="2" t="s">
        <v>2375</v>
      </c>
      <c r="E157" s="8">
        <v>2</v>
      </c>
      <c r="F157" s="2" t="s">
        <v>2385</v>
      </c>
      <c r="G157" s="2" t="s">
        <v>255</v>
      </c>
    </row>
    <row r="158" spans="1:7" ht="14.5">
      <c r="A158" s="2" t="s">
        <v>1508</v>
      </c>
      <c r="B158" s="10" t="s">
        <v>2536</v>
      </c>
      <c r="C158" s="2" t="s">
        <v>2382</v>
      </c>
      <c r="D158" s="2" t="s">
        <v>2376</v>
      </c>
      <c r="E158" s="8">
        <v>2</v>
      </c>
      <c r="F158" s="2" t="s">
        <v>2380</v>
      </c>
      <c r="G158" s="2" t="s">
        <v>268</v>
      </c>
    </row>
    <row r="159" spans="1:7" ht="14.5">
      <c r="A159" s="2" t="s">
        <v>1760</v>
      </c>
      <c r="B159" s="10" t="s">
        <v>2537</v>
      </c>
      <c r="C159" s="2" t="s">
        <v>2387</v>
      </c>
      <c r="D159" s="2" t="s">
        <v>2375</v>
      </c>
      <c r="E159" s="8">
        <v>4</v>
      </c>
      <c r="F159" s="2" t="s">
        <v>271</v>
      </c>
      <c r="G159" s="2" t="s">
        <v>281</v>
      </c>
    </row>
    <row r="160" spans="1:7" ht="14.5">
      <c r="A160" s="2" t="s">
        <v>594</v>
      </c>
      <c r="B160" s="10" t="s">
        <v>2538</v>
      </c>
      <c r="C160" s="2" t="s">
        <v>2371</v>
      </c>
      <c r="D160" s="2" t="s">
        <v>2396</v>
      </c>
      <c r="E160" s="8">
        <v>5</v>
      </c>
      <c r="F160" s="2" t="s">
        <v>2373</v>
      </c>
      <c r="G160" s="2" t="s">
        <v>339</v>
      </c>
    </row>
    <row r="161" spans="1:7" ht="14.5">
      <c r="A161" s="2" t="s">
        <v>882</v>
      </c>
      <c r="B161" s="10" t="s">
        <v>2539</v>
      </c>
      <c r="C161" s="2" t="s">
        <v>2371</v>
      </c>
      <c r="D161" s="2" t="s">
        <v>2376</v>
      </c>
      <c r="E161" s="8">
        <v>3</v>
      </c>
      <c r="F161" s="2" t="s">
        <v>271</v>
      </c>
      <c r="G161" s="2" t="s">
        <v>255</v>
      </c>
    </row>
    <row r="162" spans="1:7" ht="14.5">
      <c r="A162" s="2" t="s">
        <v>527</v>
      </c>
      <c r="B162" s="10" t="s">
        <v>2540</v>
      </c>
      <c r="C162" s="2" t="s">
        <v>2371</v>
      </c>
      <c r="D162" s="2" t="s">
        <v>2383</v>
      </c>
      <c r="E162" s="8">
        <v>1</v>
      </c>
      <c r="F162" s="2" t="s">
        <v>2380</v>
      </c>
      <c r="G162" s="2" t="s">
        <v>268</v>
      </c>
    </row>
    <row r="163" spans="1:7" ht="14.5">
      <c r="A163" s="2" t="s">
        <v>647</v>
      </c>
      <c r="B163" s="10" t="s">
        <v>2541</v>
      </c>
      <c r="C163" s="2" t="s">
        <v>2375</v>
      </c>
      <c r="D163" s="2" t="s">
        <v>2405</v>
      </c>
      <c r="E163" s="8">
        <v>5</v>
      </c>
      <c r="F163" s="2" t="s">
        <v>2373</v>
      </c>
      <c r="G163" s="2" t="s">
        <v>281</v>
      </c>
    </row>
    <row r="164" spans="1:7" ht="14.5">
      <c r="A164" s="2" t="s">
        <v>622</v>
      </c>
      <c r="B164" s="10" t="s">
        <v>2542</v>
      </c>
      <c r="C164" s="2" t="s">
        <v>2382</v>
      </c>
      <c r="D164" s="2" t="s">
        <v>2383</v>
      </c>
      <c r="E164" s="8">
        <v>5</v>
      </c>
      <c r="F164" s="2" t="s">
        <v>2373</v>
      </c>
      <c r="G164" s="2" t="s">
        <v>339</v>
      </c>
    </row>
    <row r="165" spans="1:7" ht="14.5">
      <c r="A165" s="2" t="s">
        <v>592</v>
      </c>
      <c r="B165" s="10" t="s">
        <v>2543</v>
      </c>
      <c r="C165" s="2" t="s">
        <v>2371</v>
      </c>
      <c r="D165" s="2" t="s">
        <v>2405</v>
      </c>
      <c r="E165" s="8">
        <v>4</v>
      </c>
      <c r="F165" s="2" t="s">
        <v>271</v>
      </c>
      <c r="G165" s="2" t="s">
        <v>255</v>
      </c>
    </row>
    <row r="166" spans="1:7" ht="14.5">
      <c r="A166" s="2" t="s">
        <v>2544</v>
      </c>
      <c r="B166" s="10" t="s">
        <v>2545</v>
      </c>
      <c r="C166" s="2" t="s">
        <v>2387</v>
      </c>
      <c r="D166" s="2" t="s">
        <v>2383</v>
      </c>
      <c r="E166" s="8">
        <v>3</v>
      </c>
      <c r="F166" s="2" t="s">
        <v>271</v>
      </c>
      <c r="G166" s="2" t="s">
        <v>268</v>
      </c>
    </row>
    <row r="167" spans="1:7" ht="14.5">
      <c r="A167" s="2" t="s">
        <v>441</v>
      </c>
      <c r="B167" s="10" t="s">
        <v>2546</v>
      </c>
      <c r="C167" s="2" t="s">
        <v>2387</v>
      </c>
      <c r="D167" s="2" t="s">
        <v>2396</v>
      </c>
      <c r="E167" s="8">
        <v>5</v>
      </c>
      <c r="F167" s="2" t="s">
        <v>271</v>
      </c>
      <c r="G167" s="2" t="s">
        <v>281</v>
      </c>
    </row>
    <row r="168" spans="1:7" ht="14.5">
      <c r="A168" s="2" t="s">
        <v>1322</v>
      </c>
      <c r="B168" s="10" t="s">
        <v>2547</v>
      </c>
      <c r="C168" s="2" t="s">
        <v>2382</v>
      </c>
      <c r="D168" s="2" t="s">
        <v>2405</v>
      </c>
      <c r="E168" s="8">
        <v>2</v>
      </c>
      <c r="F168" s="2" t="s">
        <v>271</v>
      </c>
      <c r="G168" s="2" t="s">
        <v>339</v>
      </c>
    </row>
    <row r="169" spans="1:7" ht="14.5">
      <c r="A169" s="2" t="s">
        <v>1726</v>
      </c>
      <c r="B169" s="10" t="s">
        <v>2548</v>
      </c>
      <c r="C169" s="2" t="s">
        <v>2371</v>
      </c>
      <c r="D169" s="2" t="s">
        <v>2383</v>
      </c>
      <c r="E169" s="8">
        <v>4</v>
      </c>
      <c r="F169" s="2" t="s">
        <v>2385</v>
      </c>
      <c r="G169" s="2" t="s">
        <v>255</v>
      </c>
    </row>
    <row r="170" spans="1:7" ht="14.5">
      <c r="A170" s="2" t="s">
        <v>1042</v>
      </c>
      <c r="B170" s="10" t="s">
        <v>2549</v>
      </c>
      <c r="C170" s="2" t="s">
        <v>2371</v>
      </c>
      <c r="D170" s="2" t="s">
        <v>2405</v>
      </c>
      <c r="E170" s="8">
        <v>5</v>
      </c>
      <c r="F170" s="2" t="s">
        <v>2373</v>
      </c>
      <c r="G170" s="2" t="s">
        <v>268</v>
      </c>
    </row>
    <row r="171" spans="1:7" ht="14.5">
      <c r="A171" s="2" t="s">
        <v>1050</v>
      </c>
      <c r="B171" s="10" t="s">
        <v>2550</v>
      </c>
      <c r="C171" s="2" t="s">
        <v>2371</v>
      </c>
      <c r="D171" s="2" t="s">
        <v>2375</v>
      </c>
      <c r="E171" s="8">
        <v>5</v>
      </c>
      <c r="F171" s="2" t="s">
        <v>2373</v>
      </c>
      <c r="G171" s="2" t="s">
        <v>281</v>
      </c>
    </row>
    <row r="172" spans="1:7" ht="14.5">
      <c r="A172" s="2" t="s">
        <v>1097</v>
      </c>
      <c r="B172" s="10" t="s">
        <v>2551</v>
      </c>
      <c r="C172" s="2" t="s">
        <v>2387</v>
      </c>
      <c r="D172" s="2" t="s">
        <v>2383</v>
      </c>
      <c r="E172" s="8">
        <v>5</v>
      </c>
      <c r="F172" s="2" t="s">
        <v>2385</v>
      </c>
      <c r="G172" s="2" t="s">
        <v>339</v>
      </c>
    </row>
    <row r="173" spans="1:7" ht="14.5">
      <c r="A173" s="2" t="s">
        <v>1387</v>
      </c>
      <c r="B173" s="10" t="s">
        <v>2552</v>
      </c>
      <c r="C173" s="2" t="s">
        <v>2371</v>
      </c>
      <c r="D173" s="2" t="s">
        <v>2405</v>
      </c>
      <c r="E173" s="8">
        <v>3</v>
      </c>
      <c r="F173" s="2" t="s">
        <v>2385</v>
      </c>
      <c r="G173" s="2" t="s">
        <v>255</v>
      </c>
    </row>
    <row r="174" spans="1:7" ht="14.5">
      <c r="A174" s="2" t="s">
        <v>1209</v>
      </c>
      <c r="B174" s="10" t="s">
        <v>2553</v>
      </c>
      <c r="C174" s="2" t="s">
        <v>2375</v>
      </c>
      <c r="D174" s="2" t="s">
        <v>2375</v>
      </c>
      <c r="E174" s="8">
        <v>2</v>
      </c>
      <c r="F174" s="2" t="s">
        <v>2380</v>
      </c>
      <c r="G174" s="2" t="s">
        <v>268</v>
      </c>
    </row>
    <row r="175" spans="1:7" ht="14.5">
      <c r="A175" s="2" t="s">
        <v>1012</v>
      </c>
      <c r="B175" s="10" t="s">
        <v>2554</v>
      </c>
      <c r="C175" s="2" t="s">
        <v>2371</v>
      </c>
      <c r="D175" s="2" t="s">
        <v>2375</v>
      </c>
      <c r="E175" s="8">
        <v>3</v>
      </c>
      <c r="F175" s="2" t="s">
        <v>2373</v>
      </c>
      <c r="G175" s="2" t="s">
        <v>281</v>
      </c>
    </row>
    <row r="176" spans="1:7" ht="14.5">
      <c r="A176" s="2" t="s">
        <v>872</v>
      </c>
      <c r="B176" s="10" t="s">
        <v>2555</v>
      </c>
      <c r="C176" s="2" t="s">
        <v>2375</v>
      </c>
      <c r="D176" s="2" t="s">
        <v>2379</v>
      </c>
      <c r="E176" s="8">
        <v>5</v>
      </c>
      <c r="F176" s="2" t="s">
        <v>2385</v>
      </c>
      <c r="G176" s="2" t="s">
        <v>339</v>
      </c>
    </row>
    <row r="177" spans="1:7" ht="14.5">
      <c r="A177" s="2" t="s">
        <v>568</v>
      </c>
      <c r="B177" s="10" t="s">
        <v>2556</v>
      </c>
      <c r="C177" s="2" t="s">
        <v>2375</v>
      </c>
      <c r="D177" s="2" t="s">
        <v>2376</v>
      </c>
      <c r="E177" s="8">
        <v>5</v>
      </c>
      <c r="F177" s="2" t="s">
        <v>2380</v>
      </c>
      <c r="G177" s="2" t="s">
        <v>255</v>
      </c>
    </row>
    <row r="178" spans="1:7" ht="14.5">
      <c r="A178" s="2" t="s">
        <v>428</v>
      </c>
      <c r="B178" s="10" t="s">
        <v>2557</v>
      </c>
      <c r="C178" s="2" t="s">
        <v>2382</v>
      </c>
      <c r="D178" s="2" t="s">
        <v>2376</v>
      </c>
      <c r="E178" s="8">
        <v>5</v>
      </c>
      <c r="F178" s="2" t="s">
        <v>271</v>
      </c>
      <c r="G178" s="2" t="s">
        <v>268</v>
      </c>
    </row>
    <row r="179" spans="1:7" ht="14.5">
      <c r="A179" s="2" t="s">
        <v>763</v>
      </c>
      <c r="B179" s="10" t="s">
        <v>2558</v>
      </c>
      <c r="C179" s="2" t="s">
        <v>2375</v>
      </c>
      <c r="D179" s="2" t="s">
        <v>2379</v>
      </c>
      <c r="E179" s="8">
        <v>5</v>
      </c>
      <c r="F179" s="2" t="s">
        <v>2373</v>
      </c>
      <c r="G179" s="2" t="s">
        <v>281</v>
      </c>
    </row>
    <row r="180" spans="1:7" ht="14.5">
      <c r="A180" s="2" t="s">
        <v>381</v>
      </c>
      <c r="B180" s="10" t="s">
        <v>2559</v>
      </c>
      <c r="C180" s="2" t="s">
        <v>2375</v>
      </c>
      <c r="D180" s="2" t="s">
        <v>2396</v>
      </c>
      <c r="E180" s="8">
        <v>5</v>
      </c>
      <c r="F180" s="2" t="s">
        <v>2380</v>
      </c>
      <c r="G180" s="2" t="s">
        <v>339</v>
      </c>
    </row>
    <row r="181" spans="1:7" ht="14.5">
      <c r="A181" s="2" t="s">
        <v>579</v>
      </c>
      <c r="B181" s="10" t="s">
        <v>2560</v>
      </c>
      <c r="C181" s="2" t="s">
        <v>2382</v>
      </c>
      <c r="D181" s="2" t="s">
        <v>2396</v>
      </c>
      <c r="E181" s="8">
        <v>2</v>
      </c>
      <c r="F181" s="2" t="s">
        <v>2385</v>
      </c>
      <c r="G181" s="2" t="s">
        <v>255</v>
      </c>
    </row>
    <row r="182" spans="1:7" ht="14.5">
      <c r="A182" s="2" t="s">
        <v>454</v>
      </c>
      <c r="B182" s="10" t="s">
        <v>2561</v>
      </c>
      <c r="C182" s="2" t="s">
        <v>2375</v>
      </c>
      <c r="D182" s="2" t="s">
        <v>2396</v>
      </c>
      <c r="E182" s="8">
        <v>5</v>
      </c>
      <c r="F182" s="2" t="s">
        <v>2373</v>
      </c>
      <c r="G182" s="2" t="s">
        <v>268</v>
      </c>
    </row>
    <row r="183" spans="1:7" ht="14.5">
      <c r="A183" s="2" t="s">
        <v>1755</v>
      </c>
      <c r="B183" s="10" t="s">
        <v>2562</v>
      </c>
      <c r="C183" s="2" t="s">
        <v>2382</v>
      </c>
      <c r="D183" s="2" t="s">
        <v>2376</v>
      </c>
      <c r="E183" s="8">
        <v>1</v>
      </c>
      <c r="F183" s="2" t="s">
        <v>2373</v>
      </c>
      <c r="G183" s="2" t="s">
        <v>281</v>
      </c>
    </row>
    <row r="184" spans="1:7" ht="14.5">
      <c r="A184" s="2" t="s">
        <v>890</v>
      </c>
      <c r="B184" s="10" t="s">
        <v>2563</v>
      </c>
      <c r="C184" s="2" t="s">
        <v>2371</v>
      </c>
      <c r="D184" s="2" t="s">
        <v>2372</v>
      </c>
      <c r="E184" s="8">
        <v>5</v>
      </c>
      <c r="F184" s="2" t="s">
        <v>2385</v>
      </c>
      <c r="G184" s="2" t="s">
        <v>339</v>
      </c>
    </row>
    <row r="185" spans="1:7" ht="14.5">
      <c r="A185" s="2" t="s">
        <v>934</v>
      </c>
      <c r="B185" s="10" t="s">
        <v>2564</v>
      </c>
      <c r="C185" s="2" t="s">
        <v>2387</v>
      </c>
      <c r="D185" s="2" t="s">
        <v>2383</v>
      </c>
      <c r="E185" s="8">
        <v>2</v>
      </c>
      <c r="F185" s="2" t="s">
        <v>2380</v>
      </c>
      <c r="G185" s="2" t="s">
        <v>255</v>
      </c>
    </row>
    <row r="186" spans="1:7" ht="14.5">
      <c r="A186" s="2" t="s">
        <v>1846</v>
      </c>
      <c r="B186" s="10" t="s">
        <v>2565</v>
      </c>
      <c r="C186" s="2" t="s">
        <v>2375</v>
      </c>
      <c r="D186" s="2" t="s">
        <v>2396</v>
      </c>
      <c r="E186" s="8">
        <v>2</v>
      </c>
      <c r="F186" s="2" t="s">
        <v>2385</v>
      </c>
      <c r="G186" s="2" t="s">
        <v>268</v>
      </c>
    </row>
    <row r="187" spans="1:7" ht="14.5">
      <c r="A187" s="2" t="s">
        <v>551</v>
      </c>
      <c r="B187" s="10" t="s">
        <v>2566</v>
      </c>
      <c r="C187" s="2" t="s">
        <v>2371</v>
      </c>
      <c r="D187" s="2" t="s">
        <v>2396</v>
      </c>
      <c r="E187" s="8">
        <v>2</v>
      </c>
      <c r="F187" s="2" t="s">
        <v>2373</v>
      </c>
      <c r="G187" s="2" t="s">
        <v>281</v>
      </c>
    </row>
    <row r="188" spans="1:7" ht="14.5">
      <c r="A188" s="2" t="s">
        <v>845</v>
      </c>
      <c r="B188" s="10" t="s">
        <v>2567</v>
      </c>
      <c r="C188" s="2" t="s">
        <v>2382</v>
      </c>
      <c r="D188" s="2" t="s">
        <v>2383</v>
      </c>
      <c r="E188" s="8">
        <v>2</v>
      </c>
      <c r="F188" s="2" t="s">
        <v>271</v>
      </c>
      <c r="G188" s="2" t="s">
        <v>339</v>
      </c>
    </row>
    <row r="189" spans="1:7" ht="14.5">
      <c r="A189" s="2" t="s">
        <v>1157</v>
      </c>
      <c r="B189" s="10" t="s">
        <v>2568</v>
      </c>
      <c r="C189" s="2" t="s">
        <v>2375</v>
      </c>
      <c r="D189" s="2" t="s">
        <v>2383</v>
      </c>
      <c r="E189" s="8">
        <v>2</v>
      </c>
      <c r="F189" s="2" t="s">
        <v>271</v>
      </c>
      <c r="G189" s="2" t="s">
        <v>255</v>
      </c>
    </row>
    <row r="190" spans="1:7" ht="14.5">
      <c r="A190" s="2" t="s">
        <v>577</v>
      </c>
      <c r="B190" s="10" t="s">
        <v>2569</v>
      </c>
      <c r="C190" s="2" t="s">
        <v>2387</v>
      </c>
      <c r="D190" s="2" t="s">
        <v>2379</v>
      </c>
      <c r="E190" s="8">
        <v>2</v>
      </c>
      <c r="F190" s="2" t="s">
        <v>2380</v>
      </c>
      <c r="G190" s="2" t="s">
        <v>268</v>
      </c>
    </row>
    <row r="191" spans="1:7" ht="14.5">
      <c r="A191" s="2" t="s">
        <v>397</v>
      </c>
      <c r="B191" s="10" t="s">
        <v>2570</v>
      </c>
      <c r="C191" s="2" t="s">
        <v>2371</v>
      </c>
      <c r="D191" s="2" t="s">
        <v>2372</v>
      </c>
      <c r="E191" s="8">
        <v>1</v>
      </c>
      <c r="F191" s="2" t="s">
        <v>2385</v>
      </c>
      <c r="G191" s="2" t="s">
        <v>281</v>
      </c>
    </row>
    <row r="192" spans="1:7" ht="14.5">
      <c r="A192" s="2" t="s">
        <v>970</v>
      </c>
      <c r="B192" s="10" t="s">
        <v>2571</v>
      </c>
      <c r="C192" s="2" t="s">
        <v>2375</v>
      </c>
      <c r="D192" s="2" t="s">
        <v>2379</v>
      </c>
      <c r="E192" s="8">
        <v>5</v>
      </c>
      <c r="F192" s="2" t="s">
        <v>2380</v>
      </c>
      <c r="G192" s="2" t="s">
        <v>339</v>
      </c>
    </row>
    <row r="193" spans="1:7" ht="14.5">
      <c r="A193" s="2" t="s">
        <v>963</v>
      </c>
      <c r="B193" s="10" t="s">
        <v>2572</v>
      </c>
      <c r="C193" s="2" t="s">
        <v>2371</v>
      </c>
      <c r="D193" s="2" t="s">
        <v>2376</v>
      </c>
      <c r="E193" s="8">
        <v>5</v>
      </c>
      <c r="F193" s="2" t="s">
        <v>2385</v>
      </c>
      <c r="G193" s="2" t="s">
        <v>255</v>
      </c>
    </row>
    <row r="194" spans="1:7" ht="14.5">
      <c r="A194" s="2" t="s">
        <v>2573</v>
      </c>
      <c r="B194" s="10" t="s">
        <v>2574</v>
      </c>
      <c r="C194" s="2" t="s">
        <v>2387</v>
      </c>
      <c r="D194" s="2" t="s">
        <v>2372</v>
      </c>
      <c r="E194" s="8">
        <v>3</v>
      </c>
      <c r="F194" s="2" t="s">
        <v>2380</v>
      </c>
      <c r="G194" s="2" t="s">
        <v>268</v>
      </c>
    </row>
    <row r="195" spans="1:7" ht="14.5">
      <c r="A195" s="2" t="s">
        <v>500</v>
      </c>
      <c r="B195" s="10" t="s">
        <v>2575</v>
      </c>
      <c r="C195" s="2" t="s">
        <v>2375</v>
      </c>
      <c r="D195" s="2" t="s">
        <v>2375</v>
      </c>
      <c r="E195" s="8">
        <v>4</v>
      </c>
      <c r="F195" s="2" t="s">
        <v>2373</v>
      </c>
      <c r="G195" s="2" t="s">
        <v>281</v>
      </c>
    </row>
    <row r="196" spans="1:7" ht="14.5">
      <c r="A196" s="2" t="s">
        <v>1551</v>
      </c>
      <c r="B196" s="10" t="s">
        <v>2576</v>
      </c>
      <c r="C196" s="2" t="s">
        <v>2387</v>
      </c>
      <c r="D196" s="2" t="s">
        <v>2375</v>
      </c>
      <c r="E196" s="8">
        <v>3</v>
      </c>
      <c r="F196" s="2" t="s">
        <v>2385</v>
      </c>
      <c r="G196" s="2" t="s">
        <v>339</v>
      </c>
    </row>
    <row r="197" spans="1:7" ht="14.5">
      <c r="A197" s="2" t="s">
        <v>362</v>
      </c>
      <c r="B197" s="10" t="s">
        <v>2577</v>
      </c>
      <c r="C197" s="2" t="s">
        <v>2387</v>
      </c>
      <c r="D197" s="2" t="s">
        <v>2376</v>
      </c>
      <c r="E197" s="8">
        <v>1</v>
      </c>
      <c r="F197" s="2" t="s">
        <v>271</v>
      </c>
      <c r="G197" s="2" t="s">
        <v>255</v>
      </c>
    </row>
    <row r="198" spans="1:7" ht="14.5">
      <c r="A198" s="2" t="s">
        <v>1366</v>
      </c>
      <c r="B198" s="10" t="s">
        <v>2578</v>
      </c>
      <c r="C198" s="2" t="s">
        <v>2387</v>
      </c>
      <c r="D198" s="2" t="s">
        <v>2375</v>
      </c>
      <c r="E198" s="8">
        <v>4</v>
      </c>
      <c r="F198" s="2" t="s">
        <v>2385</v>
      </c>
      <c r="G198" s="2" t="s">
        <v>268</v>
      </c>
    </row>
    <row r="199" spans="1:7" ht="14.5">
      <c r="A199" s="2" t="s">
        <v>721</v>
      </c>
      <c r="B199" s="10" t="s">
        <v>2579</v>
      </c>
      <c r="C199" s="2" t="s">
        <v>2375</v>
      </c>
      <c r="D199" s="2" t="s">
        <v>2379</v>
      </c>
      <c r="E199" s="8">
        <v>2</v>
      </c>
      <c r="F199" s="2" t="s">
        <v>2385</v>
      </c>
      <c r="G199" s="2" t="s">
        <v>281</v>
      </c>
    </row>
    <row r="200" spans="1:7" ht="14.5">
      <c r="A200" s="2" t="s">
        <v>2005</v>
      </c>
      <c r="B200" s="10" t="s">
        <v>2580</v>
      </c>
      <c r="C200" s="2" t="s">
        <v>2382</v>
      </c>
      <c r="D200" s="2" t="s">
        <v>2376</v>
      </c>
      <c r="E200" s="8">
        <v>1</v>
      </c>
      <c r="F200" s="2" t="s">
        <v>2385</v>
      </c>
      <c r="G200" s="2" t="s">
        <v>339</v>
      </c>
    </row>
    <row r="201" spans="1:7" ht="14.5">
      <c r="A201" s="2" t="s">
        <v>1239</v>
      </c>
      <c r="B201" s="10" t="s">
        <v>2581</v>
      </c>
      <c r="C201" s="2" t="s">
        <v>2375</v>
      </c>
      <c r="D201" s="2" t="s">
        <v>2396</v>
      </c>
      <c r="E201" s="8">
        <v>2</v>
      </c>
      <c r="F201" s="2" t="s">
        <v>2373</v>
      </c>
      <c r="G201" s="2" t="s">
        <v>255</v>
      </c>
    </row>
    <row r="202" spans="1:7" ht="14.5">
      <c r="A202" s="2" t="s">
        <v>731</v>
      </c>
      <c r="B202" s="10" t="s">
        <v>2582</v>
      </c>
      <c r="C202" s="2" t="s">
        <v>2382</v>
      </c>
      <c r="D202" s="2" t="s">
        <v>2379</v>
      </c>
      <c r="E202" s="8">
        <v>2</v>
      </c>
      <c r="F202" s="2" t="s">
        <v>2373</v>
      </c>
      <c r="G202" s="2" t="s">
        <v>268</v>
      </c>
    </row>
    <row r="203" spans="1:7" ht="14.5">
      <c r="A203" s="2" t="s">
        <v>865</v>
      </c>
      <c r="B203" s="10" t="s">
        <v>2583</v>
      </c>
      <c r="C203" s="2" t="s">
        <v>2382</v>
      </c>
      <c r="D203" s="2" t="s">
        <v>2396</v>
      </c>
      <c r="E203" s="8">
        <v>4</v>
      </c>
      <c r="F203" s="2" t="s">
        <v>2373</v>
      </c>
      <c r="G203" s="2" t="s">
        <v>281</v>
      </c>
    </row>
    <row r="204" spans="1:7" ht="14.5">
      <c r="A204" s="2" t="s">
        <v>875</v>
      </c>
      <c r="B204" s="10" t="s">
        <v>2584</v>
      </c>
      <c r="C204" s="2" t="s">
        <v>2382</v>
      </c>
      <c r="D204" s="2" t="s">
        <v>2379</v>
      </c>
      <c r="E204" s="8">
        <v>2</v>
      </c>
      <c r="F204" s="2" t="s">
        <v>2373</v>
      </c>
      <c r="G204" s="2" t="s">
        <v>339</v>
      </c>
    </row>
    <row r="205" spans="1:7" ht="14.5">
      <c r="A205" s="2" t="s">
        <v>667</v>
      </c>
      <c r="B205" s="10" t="s">
        <v>2585</v>
      </c>
      <c r="C205" s="2" t="s">
        <v>2382</v>
      </c>
      <c r="D205" s="2" t="s">
        <v>2376</v>
      </c>
      <c r="E205" s="8">
        <v>1</v>
      </c>
      <c r="F205" s="2" t="s">
        <v>2385</v>
      </c>
      <c r="G205" s="2" t="s">
        <v>255</v>
      </c>
    </row>
    <row r="206" spans="1:7" ht="14.5">
      <c r="A206" s="2" t="s">
        <v>1816</v>
      </c>
      <c r="B206" s="10" t="s">
        <v>2586</v>
      </c>
      <c r="C206" s="2" t="s">
        <v>2371</v>
      </c>
      <c r="D206" s="2" t="s">
        <v>2383</v>
      </c>
      <c r="E206" s="8">
        <v>4</v>
      </c>
      <c r="F206" s="2" t="s">
        <v>271</v>
      </c>
      <c r="G206" s="2" t="s">
        <v>268</v>
      </c>
    </row>
    <row r="207" spans="1:7" ht="14.5">
      <c r="A207" s="2" t="s">
        <v>1280</v>
      </c>
      <c r="B207" s="10" t="s">
        <v>2587</v>
      </c>
      <c r="C207" s="2" t="s">
        <v>2387</v>
      </c>
      <c r="D207" s="2" t="s">
        <v>2383</v>
      </c>
      <c r="E207" s="8">
        <v>2</v>
      </c>
      <c r="F207" s="2" t="s">
        <v>2380</v>
      </c>
      <c r="G207" s="2" t="s">
        <v>281</v>
      </c>
    </row>
    <row r="208" spans="1:7" ht="14.5">
      <c r="A208" s="2" t="s">
        <v>330</v>
      </c>
      <c r="B208" s="10" t="s">
        <v>2588</v>
      </c>
      <c r="C208" s="2" t="s">
        <v>2371</v>
      </c>
      <c r="D208" s="2" t="s">
        <v>2383</v>
      </c>
      <c r="E208" s="8">
        <v>4</v>
      </c>
      <c r="F208" s="2" t="s">
        <v>2373</v>
      </c>
      <c r="G208" s="2" t="s">
        <v>339</v>
      </c>
    </row>
    <row r="209" spans="1:7" ht="14.5">
      <c r="A209" s="2" t="s">
        <v>1103</v>
      </c>
      <c r="B209" s="10" t="s">
        <v>2589</v>
      </c>
      <c r="C209" s="2" t="s">
        <v>2375</v>
      </c>
      <c r="D209" s="2" t="s">
        <v>2383</v>
      </c>
      <c r="E209" s="8">
        <v>2</v>
      </c>
      <c r="F209" s="2" t="s">
        <v>2373</v>
      </c>
      <c r="G209" s="2" t="s">
        <v>255</v>
      </c>
    </row>
    <row r="210" spans="1:7" ht="14.5">
      <c r="A210" s="2" t="s">
        <v>823</v>
      </c>
      <c r="B210" s="10" t="s">
        <v>2590</v>
      </c>
      <c r="C210" s="2" t="s">
        <v>2382</v>
      </c>
      <c r="D210" s="2" t="s">
        <v>2405</v>
      </c>
      <c r="E210" s="8">
        <v>3</v>
      </c>
      <c r="F210" s="2" t="s">
        <v>2385</v>
      </c>
      <c r="G210" s="2" t="s">
        <v>268</v>
      </c>
    </row>
    <row r="211" spans="1:7" ht="14.5">
      <c r="A211" s="2" t="s">
        <v>2060</v>
      </c>
      <c r="B211" s="10" t="s">
        <v>2591</v>
      </c>
      <c r="C211" s="2" t="s">
        <v>2375</v>
      </c>
      <c r="D211" s="2" t="s">
        <v>2396</v>
      </c>
      <c r="E211" s="8">
        <v>3</v>
      </c>
      <c r="F211" s="2" t="s">
        <v>271</v>
      </c>
      <c r="G211" s="2" t="s">
        <v>281</v>
      </c>
    </row>
    <row r="212" spans="1:7" ht="14.5">
      <c r="A212" s="2" t="s">
        <v>315</v>
      </c>
      <c r="B212" s="10" t="s">
        <v>2592</v>
      </c>
      <c r="C212" s="2" t="s">
        <v>2371</v>
      </c>
      <c r="D212" s="2" t="s">
        <v>2375</v>
      </c>
      <c r="E212" s="8">
        <v>2</v>
      </c>
      <c r="F212" s="2" t="s">
        <v>2373</v>
      </c>
      <c r="G212" s="2" t="s">
        <v>339</v>
      </c>
    </row>
    <row r="213" spans="1:7" ht="14.5">
      <c r="A213" s="2" t="s">
        <v>280</v>
      </c>
      <c r="B213" s="10" t="s">
        <v>2593</v>
      </c>
      <c r="C213" s="2" t="s">
        <v>2371</v>
      </c>
      <c r="D213" s="2" t="s">
        <v>2383</v>
      </c>
      <c r="E213" s="8">
        <v>3</v>
      </c>
      <c r="F213" s="2" t="s">
        <v>2373</v>
      </c>
      <c r="G213" s="2" t="s">
        <v>255</v>
      </c>
    </row>
    <row r="214" spans="1:7" ht="14.5">
      <c r="A214" s="2" t="s">
        <v>1410</v>
      </c>
      <c r="B214" s="10" t="s">
        <v>2594</v>
      </c>
      <c r="C214" s="2" t="s">
        <v>2375</v>
      </c>
      <c r="D214" s="2" t="s">
        <v>2379</v>
      </c>
      <c r="E214" s="8">
        <v>1</v>
      </c>
      <c r="F214" s="2" t="s">
        <v>2380</v>
      </c>
      <c r="G214" s="2" t="s">
        <v>268</v>
      </c>
    </row>
    <row r="215" spans="1:7" ht="14.5">
      <c r="A215" s="2" t="s">
        <v>541</v>
      </c>
      <c r="B215" s="10" t="s">
        <v>2595</v>
      </c>
      <c r="C215" s="2" t="s">
        <v>2387</v>
      </c>
      <c r="D215" s="2" t="s">
        <v>2405</v>
      </c>
      <c r="E215" s="8">
        <v>2</v>
      </c>
      <c r="F215" s="2" t="s">
        <v>271</v>
      </c>
      <c r="G215" s="2" t="s">
        <v>281</v>
      </c>
    </row>
    <row r="216" spans="1:7" ht="14.5">
      <c r="A216" s="2" t="s">
        <v>480</v>
      </c>
      <c r="B216" s="10" t="s">
        <v>2596</v>
      </c>
      <c r="C216" s="2" t="s">
        <v>2382</v>
      </c>
      <c r="D216" s="2" t="s">
        <v>2405</v>
      </c>
      <c r="E216" s="8">
        <v>4</v>
      </c>
      <c r="F216" s="2" t="s">
        <v>2385</v>
      </c>
      <c r="G216" s="2" t="s">
        <v>339</v>
      </c>
    </row>
    <row r="217" spans="1:7" ht="14.5">
      <c r="A217" s="2" t="s">
        <v>558</v>
      </c>
      <c r="B217" s="10" t="s">
        <v>2597</v>
      </c>
      <c r="C217" s="2" t="s">
        <v>2382</v>
      </c>
      <c r="D217" s="2" t="s">
        <v>2372</v>
      </c>
      <c r="E217" s="8">
        <v>5</v>
      </c>
      <c r="F217" s="2" t="s">
        <v>2385</v>
      </c>
      <c r="G217" s="2" t="s">
        <v>255</v>
      </c>
    </row>
    <row r="218" spans="1:7" ht="14.5">
      <c r="A218" s="2" t="s">
        <v>879</v>
      </c>
      <c r="B218" s="10" t="s">
        <v>2598</v>
      </c>
      <c r="C218" s="2" t="s">
        <v>2371</v>
      </c>
      <c r="D218" s="2" t="s">
        <v>2375</v>
      </c>
      <c r="E218" s="8">
        <v>1</v>
      </c>
      <c r="F218" s="2" t="s">
        <v>271</v>
      </c>
      <c r="G218" s="2" t="s">
        <v>268</v>
      </c>
    </row>
    <row r="219" spans="1:7" ht="14.5">
      <c r="A219" s="2" t="s">
        <v>445</v>
      </c>
      <c r="B219" s="10" t="s">
        <v>2599</v>
      </c>
      <c r="C219" s="2" t="s">
        <v>2387</v>
      </c>
      <c r="D219" s="2" t="s">
        <v>2372</v>
      </c>
      <c r="E219" s="8">
        <v>3</v>
      </c>
      <c r="F219" s="2" t="s">
        <v>2385</v>
      </c>
      <c r="G219" s="2" t="s">
        <v>281</v>
      </c>
    </row>
    <row r="220" spans="1:7" ht="14.5">
      <c r="A220" s="2" t="s">
        <v>691</v>
      </c>
      <c r="B220" s="10" t="s">
        <v>2600</v>
      </c>
      <c r="C220" s="2" t="s">
        <v>2371</v>
      </c>
      <c r="D220" s="2" t="s">
        <v>2375</v>
      </c>
      <c r="E220" s="8">
        <v>1</v>
      </c>
      <c r="F220" s="2" t="s">
        <v>2373</v>
      </c>
      <c r="G220" s="2" t="s">
        <v>339</v>
      </c>
    </row>
    <row r="221" spans="1:7" ht="14.5">
      <c r="A221" s="2" t="s">
        <v>1447</v>
      </c>
      <c r="B221" s="10" t="s">
        <v>2601</v>
      </c>
      <c r="C221" s="2" t="s">
        <v>2387</v>
      </c>
      <c r="D221" s="2" t="s">
        <v>2396</v>
      </c>
      <c r="E221" s="8">
        <v>1</v>
      </c>
      <c r="F221" s="2" t="s">
        <v>2385</v>
      </c>
      <c r="G221" s="2" t="s">
        <v>255</v>
      </c>
    </row>
    <row r="222" spans="1:7" ht="14.5">
      <c r="A222" s="2" t="s">
        <v>999</v>
      </c>
      <c r="B222" s="10" t="s">
        <v>2602</v>
      </c>
      <c r="C222" s="2" t="s">
        <v>2387</v>
      </c>
      <c r="D222" s="2" t="s">
        <v>2372</v>
      </c>
      <c r="E222" s="8">
        <v>3</v>
      </c>
      <c r="F222" s="2" t="s">
        <v>271</v>
      </c>
      <c r="G222" s="2" t="s">
        <v>268</v>
      </c>
    </row>
    <row r="223" spans="1:7" ht="14.5">
      <c r="A223" s="2" t="s">
        <v>1268</v>
      </c>
      <c r="B223" s="10" t="s">
        <v>2603</v>
      </c>
      <c r="C223" s="2" t="s">
        <v>2371</v>
      </c>
      <c r="D223" s="2" t="s">
        <v>2383</v>
      </c>
      <c r="E223" s="8">
        <v>1</v>
      </c>
      <c r="F223" s="2" t="s">
        <v>271</v>
      </c>
      <c r="G223" s="2" t="s">
        <v>281</v>
      </c>
    </row>
    <row r="224" spans="1:7" ht="14.5">
      <c r="A224" s="2" t="s">
        <v>1110</v>
      </c>
      <c r="B224" s="10" t="s">
        <v>2604</v>
      </c>
      <c r="C224" s="2" t="s">
        <v>2382</v>
      </c>
      <c r="D224" s="2" t="s">
        <v>2372</v>
      </c>
      <c r="E224" s="8">
        <v>1</v>
      </c>
      <c r="F224" s="2" t="s">
        <v>2373</v>
      </c>
      <c r="G224" s="2" t="s">
        <v>339</v>
      </c>
    </row>
    <row r="225" spans="1:7" ht="14.5">
      <c r="A225" s="2" t="s">
        <v>916</v>
      </c>
      <c r="B225" s="10" t="s">
        <v>2605</v>
      </c>
      <c r="C225" s="2" t="s">
        <v>2382</v>
      </c>
      <c r="D225" s="2" t="s">
        <v>2375</v>
      </c>
      <c r="E225" s="8">
        <v>3</v>
      </c>
      <c r="F225" s="2" t="s">
        <v>271</v>
      </c>
      <c r="G225" s="2" t="s">
        <v>255</v>
      </c>
    </row>
    <row r="226" spans="1:7" ht="14.5">
      <c r="A226" s="2" t="s">
        <v>2606</v>
      </c>
      <c r="B226" s="10" t="s">
        <v>2607</v>
      </c>
      <c r="C226" s="2" t="s">
        <v>2371</v>
      </c>
      <c r="D226" s="2" t="s">
        <v>2372</v>
      </c>
      <c r="E226" s="8">
        <v>1</v>
      </c>
      <c r="F226" s="2" t="s">
        <v>2380</v>
      </c>
      <c r="G226" s="2" t="s">
        <v>268</v>
      </c>
    </row>
    <row r="227" spans="1:7" ht="14.5">
      <c r="A227" s="2" t="s">
        <v>1650</v>
      </c>
      <c r="B227" s="10" t="s">
        <v>2608</v>
      </c>
      <c r="C227" s="2" t="s">
        <v>2382</v>
      </c>
      <c r="D227" s="2" t="s">
        <v>2379</v>
      </c>
      <c r="E227" s="8">
        <v>1</v>
      </c>
      <c r="F227" s="2" t="s">
        <v>271</v>
      </c>
      <c r="G227" s="2" t="s">
        <v>281</v>
      </c>
    </row>
    <row r="228" spans="1:7" ht="14.5">
      <c r="A228" s="2" t="s">
        <v>634</v>
      </c>
      <c r="B228" s="10" t="s">
        <v>2609</v>
      </c>
      <c r="C228" s="2" t="s">
        <v>2387</v>
      </c>
      <c r="D228" s="2" t="s">
        <v>2379</v>
      </c>
      <c r="E228" s="8">
        <v>5</v>
      </c>
      <c r="F228" s="2" t="s">
        <v>2373</v>
      </c>
      <c r="G228" s="2" t="s">
        <v>339</v>
      </c>
    </row>
    <row r="229" spans="1:7" ht="14.5">
      <c r="A229" s="2" t="s">
        <v>1246</v>
      </c>
      <c r="B229" s="10" t="s">
        <v>2610</v>
      </c>
      <c r="C229" s="2" t="s">
        <v>2375</v>
      </c>
      <c r="D229" s="2" t="s">
        <v>2396</v>
      </c>
      <c r="E229" s="8">
        <v>5</v>
      </c>
      <c r="F229" s="2" t="s">
        <v>2385</v>
      </c>
      <c r="G229" s="2" t="s">
        <v>255</v>
      </c>
    </row>
    <row r="230" spans="1:7" ht="14.5">
      <c r="A230" s="2" t="s">
        <v>601</v>
      </c>
      <c r="B230" s="10" t="s">
        <v>2611</v>
      </c>
      <c r="C230" s="2" t="s">
        <v>2382</v>
      </c>
      <c r="D230" s="2" t="s">
        <v>2372</v>
      </c>
      <c r="E230" s="8">
        <v>3</v>
      </c>
      <c r="F230" s="2" t="s">
        <v>2385</v>
      </c>
      <c r="G230" s="2" t="s">
        <v>268</v>
      </c>
    </row>
    <row r="231" spans="1:7" ht="14.5">
      <c r="A231" s="2" t="s">
        <v>756</v>
      </c>
      <c r="B231" s="10" t="s">
        <v>2612</v>
      </c>
      <c r="C231" s="2" t="s">
        <v>2375</v>
      </c>
      <c r="D231" s="2" t="s">
        <v>2383</v>
      </c>
      <c r="E231" s="8">
        <v>5</v>
      </c>
      <c r="F231" s="2" t="s">
        <v>2373</v>
      </c>
      <c r="G231" s="2" t="s">
        <v>281</v>
      </c>
    </row>
    <row r="232" spans="1:7" ht="14.5">
      <c r="A232" s="2" t="s">
        <v>704</v>
      </c>
      <c r="B232" s="10" t="s">
        <v>2613</v>
      </c>
      <c r="C232" s="2" t="s">
        <v>2387</v>
      </c>
      <c r="D232" s="2" t="s">
        <v>2396</v>
      </c>
      <c r="E232" s="8">
        <v>5</v>
      </c>
      <c r="F232" s="2" t="s">
        <v>2373</v>
      </c>
      <c r="G232" s="2" t="s">
        <v>339</v>
      </c>
    </row>
    <row r="233" spans="1:7" ht="14.5">
      <c r="A233" s="2" t="s">
        <v>508</v>
      </c>
      <c r="B233" s="10" t="s">
        <v>2614</v>
      </c>
      <c r="C233" s="2" t="s">
        <v>2382</v>
      </c>
      <c r="D233" s="2" t="s">
        <v>2405</v>
      </c>
      <c r="E233" s="8">
        <v>4</v>
      </c>
      <c r="F233" s="2" t="s">
        <v>2385</v>
      </c>
      <c r="G233" s="2" t="s">
        <v>255</v>
      </c>
    </row>
    <row r="234" spans="1:7" ht="14.5">
      <c r="A234" s="2" t="s">
        <v>1503</v>
      </c>
      <c r="B234" s="10" t="s">
        <v>2615</v>
      </c>
      <c r="C234" s="2" t="s">
        <v>2382</v>
      </c>
      <c r="D234" s="2" t="s">
        <v>2405</v>
      </c>
      <c r="E234" s="8">
        <v>1</v>
      </c>
      <c r="F234" s="2" t="s">
        <v>271</v>
      </c>
      <c r="G234" s="2" t="s">
        <v>268</v>
      </c>
    </row>
    <row r="235" spans="1:7" ht="14.5">
      <c r="A235" s="2" t="s">
        <v>350</v>
      </c>
      <c r="B235" s="10" t="s">
        <v>2616</v>
      </c>
      <c r="C235" s="2" t="s">
        <v>2375</v>
      </c>
      <c r="D235" s="2" t="s">
        <v>2396</v>
      </c>
      <c r="E235" s="8">
        <v>5</v>
      </c>
      <c r="F235" s="2" t="s">
        <v>2380</v>
      </c>
      <c r="G235" s="2" t="s">
        <v>281</v>
      </c>
    </row>
    <row r="236" spans="1:7" ht="14.5">
      <c r="A236" s="2" t="s">
        <v>1472</v>
      </c>
      <c r="B236" s="10" t="s">
        <v>2617</v>
      </c>
      <c r="C236" s="2" t="s">
        <v>2375</v>
      </c>
      <c r="D236" s="2" t="s">
        <v>2376</v>
      </c>
      <c r="E236" s="8">
        <v>3</v>
      </c>
      <c r="F236" s="2" t="s">
        <v>2380</v>
      </c>
      <c r="G236" s="2" t="s">
        <v>339</v>
      </c>
    </row>
    <row r="237" spans="1:7" ht="14.5">
      <c r="A237" s="2" t="s">
        <v>795</v>
      </c>
      <c r="B237" s="10" t="s">
        <v>2618</v>
      </c>
      <c r="C237" s="2" t="s">
        <v>2382</v>
      </c>
      <c r="D237" s="2" t="s">
        <v>2372</v>
      </c>
      <c r="E237" s="8">
        <v>4</v>
      </c>
      <c r="F237" s="2" t="s">
        <v>2385</v>
      </c>
      <c r="G237" s="2" t="s">
        <v>255</v>
      </c>
    </row>
    <row r="238" spans="1:7" ht="14.5">
      <c r="A238" s="2" t="s">
        <v>736</v>
      </c>
      <c r="B238" s="10" t="s">
        <v>2619</v>
      </c>
      <c r="C238" s="2" t="s">
        <v>2371</v>
      </c>
      <c r="D238" s="2" t="s">
        <v>2379</v>
      </c>
      <c r="E238" s="8">
        <v>3</v>
      </c>
      <c r="F238" s="2" t="s">
        <v>2380</v>
      </c>
      <c r="G238" s="2" t="s">
        <v>268</v>
      </c>
    </row>
    <row r="239" spans="1:7" ht="14.5">
      <c r="A239" s="2" t="s">
        <v>296</v>
      </c>
      <c r="B239" s="10" t="s">
        <v>2620</v>
      </c>
      <c r="C239" s="2" t="s">
        <v>2375</v>
      </c>
      <c r="D239" s="2" t="s">
        <v>2396</v>
      </c>
      <c r="E239" s="8">
        <v>3</v>
      </c>
      <c r="F239" s="2" t="s">
        <v>2385</v>
      </c>
      <c r="G239" s="2" t="s">
        <v>281</v>
      </c>
    </row>
    <row r="240" spans="1:7" ht="14.5">
      <c r="A240" s="2" t="s">
        <v>344</v>
      </c>
      <c r="B240" s="10" t="s">
        <v>2621</v>
      </c>
      <c r="C240" s="2" t="s">
        <v>2371</v>
      </c>
      <c r="D240" s="2" t="s">
        <v>2405</v>
      </c>
      <c r="E240" s="8">
        <v>2</v>
      </c>
      <c r="F240" s="2" t="s">
        <v>2380</v>
      </c>
      <c r="G240" s="2" t="s">
        <v>339</v>
      </c>
    </row>
    <row r="241" spans="1:7" ht="14.5">
      <c r="A241" s="2" t="s">
        <v>685</v>
      </c>
      <c r="B241" s="10" t="s">
        <v>2622</v>
      </c>
      <c r="C241" s="2" t="s">
        <v>2382</v>
      </c>
      <c r="D241" s="2" t="s">
        <v>2379</v>
      </c>
      <c r="E241" s="8">
        <v>1</v>
      </c>
      <c r="F241" s="2" t="s">
        <v>2373</v>
      </c>
      <c r="G241" s="2" t="s">
        <v>255</v>
      </c>
    </row>
    <row r="242" spans="1:7" ht="14.5">
      <c r="A242" s="2" t="s">
        <v>504</v>
      </c>
      <c r="B242" s="10" t="s">
        <v>2623</v>
      </c>
      <c r="C242" s="2" t="s">
        <v>2375</v>
      </c>
      <c r="D242" s="2" t="s">
        <v>2396</v>
      </c>
      <c r="E242" s="8">
        <v>3</v>
      </c>
      <c r="F242" s="2" t="s">
        <v>2385</v>
      </c>
      <c r="G242" s="2" t="s">
        <v>268</v>
      </c>
    </row>
    <row r="243" spans="1:7" ht="14.5">
      <c r="A243" s="2" t="s">
        <v>1978</v>
      </c>
      <c r="B243" s="10" t="s">
        <v>2624</v>
      </c>
      <c r="C243" s="2" t="s">
        <v>2371</v>
      </c>
      <c r="D243" s="2" t="s">
        <v>2372</v>
      </c>
      <c r="E243" s="8">
        <v>1</v>
      </c>
      <c r="F243" s="2" t="s">
        <v>2385</v>
      </c>
      <c r="G243" s="2" t="s">
        <v>281</v>
      </c>
    </row>
    <row r="244" spans="1:7" ht="14.5">
      <c r="A244" s="2" t="s">
        <v>941</v>
      </c>
      <c r="B244" s="10" t="s">
        <v>2625</v>
      </c>
      <c r="C244" s="2" t="s">
        <v>2382</v>
      </c>
      <c r="D244" s="2" t="s">
        <v>2372</v>
      </c>
      <c r="E244" s="8">
        <v>1</v>
      </c>
      <c r="F244" s="2" t="s">
        <v>2373</v>
      </c>
      <c r="G244" s="2" t="s">
        <v>339</v>
      </c>
    </row>
    <row r="245" spans="1:7" ht="14.5">
      <c r="A245" s="2" t="s">
        <v>791</v>
      </c>
      <c r="B245" s="10" t="s">
        <v>2626</v>
      </c>
      <c r="C245" s="2" t="s">
        <v>2387</v>
      </c>
      <c r="D245" s="2" t="s">
        <v>2396</v>
      </c>
      <c r="E245" s="8">
        <v>1</v>
      </c>
      <c r="F245" s="2" t="s">
        <v>271</v>
      </c>
      <c r="G245" s="2" t="s">
        <v>255</v>
      </c>
    </row>
  </sheetData>
  <mergeCells count="2">
    <mergeCell ref="A1:G2"/>
    <mergeCell ref="A3:G3"/>
  </mergeCell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C8E8B-0F70-4D60-9E45-0F864791C950}">
  <sheetPr codeName="Sheet18"/>
  <dimension ref="A1:R168"/>
  <sheetViews>
    <sheetView showGridLines="0" topLeftCell="A4" workbookViewId="0">
      <selection activeCell="I5" sqref="I5"/>
    </sheetView>
  </sheetViews>
  <sheetFormatPr defaultRowHeight="14"/>
  <cols>
    <col min="1" max="1" width="22" customWidth="1"/>
    <col min="2" max="3" width="16" customWidth="1"/>
    <col min="4" max="7" width="14" customWidth="1"/>
    <col min="8" max="8" width="22" customWidth="1"/>
    <col min="9" max="9" width="20" customWidth="1"/>
    <col min="10" max="11" width="16" customWidth="1"/>
    <col min="12" max="12" width="14" customWidth="1"/>
    <col min="13" max="13" width="18" customWidth="1"/>
    <col min="14" max="14" width="14" customWidth="1"/>
    <col min="15" max="15" width="21" customWidth="1"/>
    <col min="16" max="16" width="20" customWidth="1"/>
    <col min="17" max="17" width="30" customWidth="1"/>
    <col min="18" max="18" width="34" customWidth="1"/>
  </cols>
  <sheetData>
    <row r="1" spans="1:18">
      <c r="A1" s="49" t="s">
        <v>249</v>
      </c>
      <c r="B1" s="49"/>
      <c r="C1" s="49"/>
      <c r="D1" s="49"/>
      <c r="E1" s="49"/>
      <c r="F1" s="49"/>
      <c r="G1" s="49"/>
      <c r="H1" s="49"/>
      <c r="I1" s="49"/>
      <c r="J1" s="49"/>
      <c r="K1" s="49"/>
      <c r="L1" s="49"/>
      <c r="M1" s="49"/>
      <c r="N1" s="49"/>
      <c r="O1" s="49"/>
      <c r="P1" s="49"/>
      <c r="Q1" s="49"/>
      <c r="R1" s="49"/>
    </row>
    <row r="2" spans="1:18">
      <c r="A2" s="49"/>
      <c r="B2" s="49"/>
      <c r="C2" s="49"/>
      <c r="D2" s="49"/>
      <c r="E2" s="49"/>
      <c r="F2" s="49"/>
      <c r="G2" s="49"/>
      <c r="H2" s="49"/>
      <c r="I2" s="49"/>
      <c r="J2" s="49"/>
      <c r="K2" s="49"/>
      <c r="L2" s="49"/>
      <c r="M2" s="49"/>
      <c r="N2" s="49"/>
      <c r="O2" s="49"/>
      <c r="P2" s="49"/>
      <c r="Q2" s="49"/>
      <c r="R2" s="49"/>
    </row>
    <row r="3" spans="1:18">
      <c r="A3" s="50" t="s">
        <v>250</v>
      </c>
      <c r="B3" s="50"/>
      <c r="C3" s="50"/>
      <c r="D3" s="50"/>
      <c r="E3" s="50"/>
      <c r="F3" s="50"/>
      <c r="G3" s="50"/>
      <c r="H3" s="50"/>
      <c r="I3" s="50"/>
      <c r="J3" s="50"/>
      <c r="K3" s="50"/>
      <c r="L3" s="50"/>
      <c r="M3" s="50"/>
      <c r="N3" s="50"/>
      <c r="O3" s="50"/>
      <c r="P3" s="50"/>
      <c r="Q3" s="50"/>
      <c r="R3" s="50"/>
    </row>
    <row r="4" spans="1:18" ht="14.5">
      <c r="A4" s="2"/>
      <c r="B4" s="2"/>
      <c r="C4" s="2"/>
      <c r="D4" s="2"/>
      <c r="E4" s="2"/>
      <c r="F4" s="2"/>
      <c r="G4" s="2"/>
      <c r="H4" s="2"/>
      <c r="I4" s="2"/>
      <c r="J4" s="2"/>
      <c r="K4" s="2"/>
      <c r="L4" s="2"/>
      <c r="M4" s="2"/>
      <c r="N4" s="2"/>
      <c r="O4" s="2"/>
      <c r="P4" s="2"/>
      <c r="Q4" s="2"/>
      <c r="R4" s="2"/>
    </row>
    <row r="5" spans="1:18" ht="29">
      <c r="A5" s="1" t="s">
        <v>166</v>
      </c>
      <c r="B5" s="1" t="s">
        <v>171</v>
      </c>
      <c r="C5" s="1" t="s">
        <v>175</v>
      </c>
      <c r="D5" s="1" t="s">
        <v>178</v>
      </c>
      <c r="E5" s="1" t="s">
        <v>181</v>
      </c>
      <c r="F5" s="1" t="s">
        <v>184</v>
      </c>
      <c r="G5" s="1" t="s">
        <v>187</v>
      </c>
      <c r="H5" s="1" t="s">
        <v>190</v>
      </c>
      <c r="I5" s="1" t="s">
        <v>193</v>
      </c>
      <c r="J5" s="1" t="s">
        <v>197</v>
      </c>
      <c r="K5" s="1" t="s">
        <v>201</v>
      </c>
      <c r="L5" s="1" t="s">
        <v>205</v>
      </c>
      <c r="M5" s="1" t="s">
        <v>207</v>
      </c>
      <c r="N5" s="1" t="s">
        <v>211</v>
      </c>
      <c r="O5" s="1" t="s">
        <v>215</v>
      </c>
      <c r="P5" s="1" t="s">
        <v>219</v>
      </c>
      <c r="Q5" s="1" t="s">
        <v>222</v>
      </c>
      <c r="R5" s="1" t="s">
        <v>225</v>
      </c>
    </row>
    <row r="6" spans="1:18">
      <c r="A6" s="7" t="s">
        <v>550</v>
      </c>
      <c r="B6" s="7" t="s">
        <v>265</v>
      </c>
      <c r="C6" s="7" t="s">
        <v>533</v>
      </c>
      <c r="D6" s="7" t="s">
        <v>551</v>
      </c>
      <c r="E6" s="7" t="s">
        <v>268</v>
      </c>
      <c r="F6" s="7" t="s">
        <v>409</v>
      </c>
      <c r="G6" s="7" t="s">
        <v>552</v>
      </c>
      <c r="H6" s="7" t="s">
        <v>115</v>
      </c>
      <c r="I6" s="7" t="s">
        <v>271</v>
      </c>
      <c r="J6" s="7" t="s">
        <v>300</v>
      </c>
      <c r="K6" s="7" t="s">
        <v>553</v>
      </c>
      <c r="L6" s="7" t="s">
        <v>554</v>
      </c>
      <c r="M6" s="7" t="s">
        <v>335</v>
      </c>
      <c r="N6" s="7" t="s">
        <v>412</v>
      </c>
      <c r="O6" s="7" t="s">
        <v>169</v>
      </c>
      <c r="P6" s="7" t="s">
        <v>8</v>
      </c>
      <c r="Q6" s="7" t="s">
        <v>305</v>
      </c>
      <c r="R6" s="7" t="s">
        <v>263</v>
      </c>
    </row>
    <row r="7" spans="1:18">
      <c r="A7" s="7" t="s">
        <v>584</v>
      </c>
      <c r="B7" s="7" t="s">
        <v>585</v>
      </c>
      <c r="C7" s="7" t="s">
        <v>540</v>
      </c>
      <c r="D7" s="7" t="s">
        <v>586</v>
      </c>
      <c r="E7" s="7" t="s">
        <v>268</v>
      </c>
      <c r="F7" s="7" t="s">
        <v>409</v>
      </c>
      <c r="G7" s="7" t="s">
        <v>587</v>
      </c>
      <c r="H7" s="7" t="s">
        <v>115</v>
      </c>
      <c r="I7" s="7" t="s">
        <v>258</v>
      </c>
      <c r="J7" s="7" t="s">
        <v>399</v>
      </c>
      <c r="K7" s="7" t="s">
        <v>588</v>
      </c>
      <c r="L7" s="7" t="s">
        <v>589</v>
      </c>
      <c r="M7" s="7" t="s">
        <v>275</v>
      </c>
      <c r="N7" s="7" t="s">
        <v>412</v>
      </c>
      <c r="O7" s="7" t="s">
        <v>195</v>
      </c>
      <c r="P7" s="7" t="s">
        <v>14</v>
      </c>
      <c r="Q7" s="7" t="s">
        <v>318</v>
      </c>
      <c r="R7" s="7" t="s">
        <v>263</v>
      </c>
    </row>
    <row r="8" spans="1:18">
      <c r="A8" s="7" t="s">
        <v>593</v>
      </c>
      <c r="B8" s="7" t="s">
        <v>458</v>
      </c>
      <c r="C8" s="7" t="s">
        <v>433</v>
      </c>
      <c r="D8" s="7" t="s">
        <v>594</v>
      </c>
      <c r="E8" s="7" t="s">
        <v>268</v>
      </c>
      <c r="F8" s="7" t="s">
        <v>409</v>
      </c>
      <c r="G8" s="7" t="s">
        <v>587</v>
      </c>
      <c r="H8" s="7" t="s">
        <v>115</v>
      </c>
      <c r="I8" s="7" t="s">
        <v>271</v>
      </c>
      <c r="J8" s="7" t="s">
        <v>411</v>
      </c>
      <c r="K8" s="7" t="s">
        <v>595</v>
      </c>
      <c r="L8" s="7" t="s">
        <v>596</v>
      </c>
      <c r="M8" s="7" t="s">
        <v>335</v>
      </c>
      <c r="N8" s="7" t="s">
        <v>412</v>
      </c>
      <c r="O8" s="7" t="s">
        <v>195</v>
      </c>
      <c r="P8" s="7" t="s">
        <v>8</v>
      </c>
      <c r="Q8" s="7" t="s">
        <v>305</v>
      </c>
      <c r="R8" s="7" t="s">
        <v>263</v>
      </c>
    </row>
    <row r="9" spans="1:18">
      <c r="A9" s="7" t="s">
        <v>654</v>
      </c>
      <c r="B9" s="7" t="s">
        <v>407</v>
      </c>
      <c r="C9" s="7" t="s">
        <v>585</v>
      </c>
      <c r="D9" s="7" t="s">
        <v>655</v>
      </c>
      <c r="E9" s="7" t="s">
        <v>268</v>
      </c>
      <c r="F9" s="7" t="s">
        <v>409</v>
      </c>
      <c r="G9" s="7" t="s">
        <v>552</v>
      </c>
      <c r="H9" s="7" t="s">
        <v>115</v>
      </c>
      <c r="I9" s="7" t="s">
        <v>299</v>
      </c>
      <c r="J9" s="7" t="s">
        <v>351</v>
      </c>
      <c r="K9" s="7" t="s">
        <v>656</v>
      </c>
      <c r="L9" s="7" t="s">
        <v>657</v>
      </c>
      <c r="M9" s="7" t="s">
        <v>303</v>
      </c>
      <c r="N9" s="7" t="s">
        <v>412</v>
      </c>
      <c r="O9" s="7" t="s">
        <v>195</v>
      </c>
      <c r="P9" s="7" t="s">
        <v>17</v>
      </c>
      <c r="Q9" s="7" t="s">
        <v>305</v>
      </c>
      <c r="R9" s="7" t="s">
        <v>263</v>
      </c>
    </row>
    <row r="10" spans="1:18">
      <c r="A10" s="7" t="s">
        <v>492</v>
      </c>
      <c r="B10" s="7" t="s">
        <v>493</v>
      </c>
      <c r="C10" s="7" t="s">
        <v>494</v>
      </c>
      <c r="D10" s="7" t="s">
        <v>495</v>
      </c>
      <c r="E10" s="7" t="s">
        <v>281</v>
      </c>
      <c r="F10" s="7" t="s">
        <v>409</v>
      </c>
      <c r="G10" s="7" t="s">
        <v>496</v>
      </c>
      <c r="H10" s="7" t="s">
        <v>115</v>
      </c>
      <c r="I10" s="7" t="s">
        <v>258</v>
      </c>
      <c r="J10" s="7" t="s">
        <v>358</v>
      </c>
      <c r="K10" s="7" t="s">
        <v>497</v>
      </c>
      <c r="L10" s="7" t="s">
        <v>498</v>
      </c>
      <c r="M10" s="7" t="s">
        <v>303</v>
      </c>
      <c r="N10" s="7" t="s">
        <v>412</v>
      </c>
      <c r="O10" s="7" t="s">
        <v>195</v>
      </c>
      <c r="P10" s="7" t="s">
        <v>14</v>
      </c>
      <c r="Q10" s="7" t="s">
        <v>262</v>
      </c>
      <c r="R10" s="7" t="s">
        <v>263</v>
      </c>
    </row>
    <row r="11" spans="1:18">
      <c r="A11" s="7" t="s">
        <v>532</v>
      </c>
      <c r="B11" s="7" t="s">
        <v>313</v>
      </c>
      <c r="C11" s="7" t="s">
        <v>533</v>
      </c>
      <c r="D11" s="7" t="s">
        <v>534</v>
      </c>
      <c r="E11" s="7" t="s">
        <v>281</v>
      </c>
      <c r="F11" s="7" t="s">
        <v>409</v>
      </c>
      <c r="G11" s="7" t="s">
        <v>535</v>
      </c>
      <c r="H11" s="7" t="s">
        <v>115</v>
      </c>
      <c r="I11" s="7" t="s">
        <v>258</v>
      </c>
      <c r="J11" s="7" t="s">
        <v>411</v>
      </c>
      <c r="K11" s="7" t="s">
        <v>536</v>
      </c>
      <c r="L11" s="7" t="s">
        <v>537</v>
      </c>
      <c r="M11" s="7" t="s">
        <v>303</v>
      </c>
      <c r="N11" s="7" t="s">
        <v>412</v>
      </c>
      <c r="O11" s="7" t="s">
        <v>195</v>
      </c>
      <c r="P11" s="7" t="s">
        <v>14</v>
      </c>
      <c r="Q11" s="7" t="s">
        <v>318</v>
      </c>
      <c r="R11" s="7" t="s">
        <v>263</v>
      </c>
    </row>
    <row r="12" spans="1:18">
      <c r="A12" s="7" t="s">
        <v>545</v>
      </c>
      <c r="B12" s="7" t="s">
        <v>320</v>
      </c>
      <c r="C12" s="7" t="s">
        <v>295</v>
      </c>
      <c r="D12" s="7" t="s">
        <v>546</v>
      </c>
      <c r="E12" s="7" t="s">
        <v>281</v>
      </c>
      <c r="F12" s="7" t="s">
        <v>409</v>
      </c>
      <c r="G12" s="7" t="s">
        <v>535</v>
      </c>
      <c r="H12" s="7" t="s">
        <v>115</v>
      </c>
      <c r="I12" s="7" t="s">
        <v>299</v>
      </c>
      <c r="J12" s="7" t="s">
        <v>447</v>
      </c>
      <c r="K12" s="7" t="s">
        <v>547</v>
      </c>
      <c r="L12" s="7" t="s">
        <v>548</v>
      </c>
      <c r="M12" s="7" t="s">
        <v>335</v>
      </c>
      <c r="N12" s="7" t="s">
        <v>549</v>
      </c>
      <c r="O12" s="7" t="s">
        <v>195</v>
      </c>
      <c r="P12" s="7" t="s">
        <v>17</v>
      </c>
      <c r="Q12" s="7" t="s">
        <v>318</v>
      </c>
      <c r="R12" s="7" t="s">
        <v>263</v>
      </c>
    </row>
    <row r="13" spans="1:18">
      <c r="A13" s="7" t="s">
        <v>665</v>
      </c>
      <c r="B13" s="7" t="s">
        <v>666</v>
      </c>
      <c r="C13" s="7" t="s">
        <v>287</v>
      </c>
      <c r="D13" s="7" t="s">
        <v>667</v>
      </c>
      <c r="E13" s="7" t="s">
        <v>281</v>
      </c>
      <c r="F13" s="7" t="s">
        <v>409</v>
      </c>
      <c r="G13" s="7" t="s">
        <v>535</v>
      </c>
      <c r="H13" s="7" t="s">
        <v>115</v>
      </c>
      <c r="I13" s="7" t="s">
        <v>299</v>
      </c>
      <c r="J13" s="7" t="s">
        <v>529</v>
      </c>
      <c r="K13" s="7" t="s">
        <v>668</v>
      </c>
      <c r="L13" s="7" t="s">
        <v>669</v>
      </c>
      <c r="M13" s="7" t="s">
        <v>335</v>
      </c>
      <c r="N13" s="7" t="s">
        <v>412</v>
      </c>
      <c r="O13" s="7" t="s">
        <v>195</v>
      </c>
      <c r="P13" s="7" t="s">
        <v>8</v>
      </c>
      <c r="Q13" s="7" t="s">
        <v>262</v>
      </c>
      <c r="R13" s="7" t="s">
        <v>263</v>
      </c>
    </row>
    <row r="14" spans="1:18">
      <c r="A14" s="7" t="s">
        <v>803</v>
      </c>
      <c r="B14" s="7" t="s">
        <v>458</v>
      </c>
      <c r="C14" s="7" t="s">
        <v>804</v>
      </c>
      <c r="D14" s="7" t="s">
        <v>791</v>
      </c>
      <c r="E14" s="7" t="s">
        <v>281</v>
      </c>
      <c r="F14" s="7" t="s">
        <v>409</v>
      </c>
      <c r="G14" s="7" t="s">
        <v>535</v>
      </c>
      <c r="H14" s="7" t="s">
        <v>115</v>
      </c>
      <c r="I14" s="7" t="s">
        <v>316</v>
      </c>
      <c r="J14" s="7" t="s">
        <v>404</v>
      </c>
      <c r="K14" s="7" t="s">
        <v>805</v>
      </c>
      <c r="L14" s="7" t="s">
        <v>806</v>
      </c>
      <c r="M14" s="7" t="s">
        <v>303</v>
      </c>
      <c r="N14" s="7" t="s">
        <v>412</v>
      </c>
      <c r="O14" s="7" t="s">
        <v>169</v>
      </c>
      <c r="P14" s="7" t="s">
        <v>17</v>
      </c>
      <c r="Q14" s="7" t="s">
        <v>326</v>
      </c>
      <c r="R14" s="7" t="s">
        <v>263</v>
      </c>
    </row>
    <row r="15" spans="1:18">
      <c r="A15" s="7" t="s">
        <v>472</v>
      </c>
      <c r="B15" s="7" t="s">
        <v>473</v>
      </c>
      <c r="C15" s="7" t="s">
        <v>474</v>
      </c>
      <c r="D15" s="7" t="s">
        <v>475</v>
      </c>
      <c r="E15" s="7" t="s">
        <v>339</v>
      </c>
      <c r="F15" s="7" t="s">
        <v>409</v>
      </c>
      <c r="G15" s="7" t="s">
        <v>476</v>
      </c>
      <c r="H15" s="7" t="s">
        <v>115</v>
      </c>
      <c r="I15" s="7" t="s">
        <v>299</v>
      </c>
      <c r="J15" s="7" t="s">
        <v>346</v>
      </c>
      <c r="K15" s="7" t="s">
        <v>477</v>
      </c>
      <c r="L15" s="7" t="s">
        <v>478</v>
      </c>
      <c r="M15" s="7" t="s">
        <v>293</v>
      </c>
      <c r="N15" s="7" t="s">
        <v>412</v>
      </c>
      <c r="O15" s="7" t="s">
        <v>195</v>
      </c>
      <c r="P15" s="7" t="s">
        <v>17</v>
      </c>
      <c r="Q15" s="7" t="s">
        <v>326</v>
      </c>
      <c r="R15" s="7" t="s">
        <v>263</v>
      </c>
    </row>
    <row r="16" spans="1:18">
      <c r="A16" s="7" t="s">
        <v>499</v>
      </c>
      <c r="B16" s="7" t="s">
        <v>266</v>
      </c>
      <c r="C16" s="7" t="s">
        <v>474</v>
      </c>
      <c r="D16" s="7" t="s">
        <v>500</v>
      </c>
      <c r="E16" s="7" t="s">
        <v>339</v>
      </c>
      <c r="F16" s="7" t="s">
        <v>409</v>
      </c>
      <c r="G16" s="7" t="s">
        <v>501</v>
      </c>
      <c r="H16" s="7" t="s">
        <v>122</v>
      </c>
      <c r="I16" s="7" t="s">
        <v>299</v>
      </c>
      <c r="J16" s="7" t="s">
        <v>332</v>
      </c>
      <c r="K16" s="7"/>
      <c r="L16" s="7"/>
      <c r="M16" s="7" t="s">
        <v>260</v>
      </c>
      <c r="N16" s="7" t="s">
        <v>412</v>
      </c>
      <c r="O16" s="7" t="s">
        <v>195</v>
      </c>
      <c r="P16" s="7"/>
      <c r="Q16" s="7" t="s">
        <v>326</v>
      </c>
      <c r="R16" s="7" t="s">
        <v>263</v>
      </c>
    </row>
    <row r="17" spans="1:18">
      <c r="A17" s="7" t="s">
        <v>516</v>
      </c>
      <c r="B17" s="7" t="s">
        <v>464</v>
      </c>
      <c r="C17" s="7" t="s">
        <v>517</v>
      </c>
      <c r="D17" s="7" t="s">
        <v>518</v>
      </c>
      <c r="E17" s="7" t="s">
        <v>339</v>
      </c>
      <c r="F17" s="7" t="s">
        <v>409</v>
      </c>
      <c r="G17" s="7" t="s">
        <v>501</v>
      </c>
      <c r="H17" s="7" t="s">
        <v>115</v>
      </c>
      <c r="I17" s="7" t="s">
        <v>519</v>
      </c>
      <c r="J17" s="7" t="s">
        <v>399</v>
      </c>
      <c r="K17" s="7" t="s">
        <v>510</v>
      </c>
      <c r="L17" s="7" t="s">
        <v>520</v>
      </c>
      <c r="M17" s="7" t="s">
        <v>335</v>
      </c>
      <c r="N17" s="7" t="s">
        <v>412</v>
      </c>
      <c r="O17" s="7" t="s">
        <v>195</v>
      </c>
      <c r="P17" s="7" t="s">
        <v>11</v>
      </c>
      <c r="Q17" s="7" t="s">
        <v>326</v>
      </c>
      <c r="R17" s="7" t="s">
        <v>263</v>
      </c>
    </row>
    <row r="18" spans="1:18">
      <c r="A18" s="7" t="s">
        <v>608</v>
      </c>
      <c r="B18" s="7" t="s">
        <v>266</v>
      </c>
      <c r="C18" s="7" t="s">
        <v>609</v>
      </c>
      <c r="D18" s="7" t="s">
        <v>610</v>
      </c>
      <c r="E18" s="7" t="s">
        <v>339</v>
      </c>
      <c r="F18" s="7" t="s">
        <v>409</v>
      </c>
      <c r="G18" s="7" t="s">
        <v>476</v>
      </c>
      <c r="H18" s="7" t="s">
        <v>115</v>
      </c>
      <c r="I18" s="7" t="s">
        <v>258</v>
      </c>
      <c r="J18" s="7" t="s">
        <v>411</v>
      </c>
      <c r="K18" s="7" t="s">
        <v>611</v>
      </c>
      <c r="L18" s="7" t="s">
        <v>612</v>
      </c>
      <c r="M18" s="7" t="s">
        <v>293</v>
      </c>
      <c r="N18" s="7" t="s">
        <v>412</v>
      </c>
      <c r="O18" s="7" t="s">
        <v>195</v>
      </c>
      <c r="P18" s="7" t="s">
        <v>17</v>
      </c>
      <c r="Q18" s="7" t="s">
        <v>326</v>
      </c>
      <c r="R18" s="7" t="s">
        <v>263</v>
      </c>
    </row>
    <row r="19" spans="1:18">
      <c r="A19" s="7" t="s">
        <v>613</v>
      </c>
      <c r="B19" s="7" t="s">
        <v>406</v>
      </c>
      <c r="C19" s="7" t="s">
        <v>614</v>
      </c>
      <c r="D19" s="7" t="s">
        <v>615</v>
      </c>
      <c r="E19" s="7" t="s">
        <v>339</v>
      </c>
      <c r="F19" s="7" t="s">
        <v>409</v>
      </c>
      <c r="G19" s="7" t="s">
        <v>476</v>
      </c>
      <c r="H19" s="7" t="s">
        <v>115</v>
      </c>
      <c r="I19" s="7" t="s">
        <v>258</v>
      </c>
      <c r="J19" s="7" t="s">
        <v>469</v>
      </c>
      <c r="K19" s="7" t="s">
        <v>616</v>
      </c>
      <c r="L19" s="7" t="s">
        <v>617</v>
      </c>
      <c r="M19" s="7" t="s">
        <v>335</v>
      </c>
      <c r="N19" s="7" t="s">
        <v>412</v>
      </c>
      <c r="O19" s="7" t="s">
        <v>169</v>
      </c>
      <c r="P19" s="7" t="s">
        <v>17</v>
      </c>
      <c r="Q19" s="7" t="s">
        <v>285</v>
      </c>
      <c r="R19" s="7" t="s">
        <v>263</v>
      </c>
    </row>
    <row r="20" spans="1:18">
      <c r="A20" s="7" t="s">
        <v>764</v>
      </c>
      <c r="B20" s="7" t="s">
        <v>278</v>
      </c>
      <c r="C20" s="7" t="s">
        <v>473</v>
      </c>
      <c r="D20" s="7" t="s">
        <v>765</v>
      </c>
      <c r="E20" s="7" t="s">
        <v>339</v>
      </c>
      <c r="F20" s="7" t="s">
        <v>409</v>
      </c>
      <c r="G20" s="7" t="s">
        <v>476</v>
      </c>
      <c r="H20" s="7" t="s">
        <v>122</v>
      </c>
      <c r="I20" s="7" t="s">
        <v>271</v>
      </c>
      <c r="J20" s="7" t="s">
        <v>323</v>
      </c>
      <c r="K20" s="7"/>
      <c r="L20" s="7"/>
      <c r="M20" s="7" t="s">
        <v>260</v>
      </c>
      <c r="N20" s="7" t="s">
        <v>412</v>
      </c>
      <c r="O20" s="7" t="s">
        <v>195</v>
      </c>
      <c r="P20" s="7"/>
      <c r="Q20" s="7" t="s">
        <v>262</v>
      </c>
      <c r="R20" s="7" t="s">
        <v>263</v>
      </c>
    </row>
    <row r="21" spans="1:18">
      <c r="A21" s="7" t="s">
        <v>876</v>
      </c>
      <c r="B21" s="7" t="s">
        <v>406</v>
      </c>
      <c r="C21" s="7" t="s">
        <v>449</v>
      </c>
      <c r="D21" s="7" t="s">
        <v>877</v>
      </c>
      <c r="E21" s="7" t="s">
        <v>339</v>
      </c>
      <c r="F21" s="7" t="s">
        <v>409</v>
      </c>
      <c r="G21" s="7" t="s">
        <v>476</v>
      </c>
      <c r="H21" s="7" t="s">
        <v>451</v>
      </c>
      <c r="I21" s="7" t="s">
        <v>271</v>
      </c>
      <c r="J21" s="7" t="s">
        <v>358</v>
      </c>
      <c r="K21" s="7" t="s">
        <v>383</v>
      </c>
      <c r="L21" s="7" t="s">
        <v>855</v>
      </c>
      <c r="M21" s="7" t="s">
        <v>335</v>
      </c>
      <c r="N21" s="7" t="s">
        <v>412</v>
      </c>
      <c r="O21" s="7" t="s">
        <v>169</v>
      </c>
      <c r="P21" s="7" t="s">
        <v>17</v>
      </c>
      <c r="Q21" s="7" t="s">
        <v>305</v>
      </c>
      <c r="R21" s="7" t="s">
        <v>263</v>
      </c>
    </row>
    <row r="22" spans="1:18">
      <c r="A22" s="7" t="s">
        <v>405</v>
      </c>
      <c r="B22" s="7" t="s">
        <v>406</v>
      </c>
      <c r="C22" s="7" t="s">
        <v>407</v>
      </c>
      <c r="D22" s="7" t="s">
        <v>408</v>
      </c>
      <c r="E22" s="7" t="s">
        <v>255</v>
      </c>
      <c r="F22" s="7" t="s">
        <v>409</v>
      </c>
      <c r="G22" s="7" t="s">
        <v>410</v>
      </c>
      <c r="H22" s="7" t="s">
        <v>122</v>
      </c>
      <c r="I22" s="7" t="s">
        <v>316</v>
      </c>
      <c r="J22" s="7" t="s">
        <v>411</v>
      </c>
      <c r="K22" s="7"/>
      <c r="L22" s="7"/>
      <c r="M22" s="7" t="s">
        <v>260</v>
      </c>
      <c r="N22" s="7" t="s">
        <v>412</v>
      </c>
      <c r="O22" s="7" t="s">
        <v>195</v>
      </c>
      <c r="P22" s="7"/>
      <c r="Q22" s="7" t="s">
        <v>305</v>
      </c>
      <c r="R22" s="7" t="s">
        <v>263</v>
      </c>
    </row>
    <row r="23" spans="1:18">
      <c r="A23" s="7" t="s">
        <v>645</v>
      </c>
      <c r="B23" s="7" t="s">
        <v>621</v>
      </c>
      <c r="C23" s="7" t="s">
        <v>646</v>
      </c>
      <c r="D23" s="7" t="s">
        <v>647</v>
      </c>
      <c r="E23" s="7" t="s">
        <v>255</v>
      </c>
      <c r="F23" s="7" t="s">
        <v>409</v>
      </c>
      <c r="G23" s="7" t="s">
        <v>648</v>
      </c>
      <c r="H23" s="7" t="s">
        <v>115</v>
      </c>
      <c r="I23" s="7" t="s">
        <v>258</v>
      </c>
      <c r="J23" s="7" t="s">
        <v>404</v>
      </c>
      <c r="K23" s="7" t="s">
        <v>649</v>
      </c>
      <c r="L23" s="7" t="s">
        <v>650</v>
      </c>
      <c r="M23" s="7" t="s">
        <v>303</v>
      </c>
      <c r="N23" s="7" t="s">
        <v>412</v>
      </c>
      <c r="O23" s="7" t="s">
        <v>195</v>
      </c>
      <c r="P23" s="7" t="s">
        <v>11</v>
      </c>
      <c r="Q23" s="7" t="s">
        <v>285</v>
      </c>
      <c r="R23" s="7" t="s">
        <v>263</v>
      </c>
    </row>
    <row r="24" spans="1:18">
      <c r="A24" s="7" t="s">
        <v>729</v>
      </c>
      <c r="B24" s="7" t="s">
        <v>730</v>
      </c>
      <c r="C24" s="7" t="s">
        <v>313</v>
      </c>
      <c r="D24" s="7" t="s">
        <v>731</v>
      </c>
      <c r="E24" s="7" t="s">
        <v>255</v>
      </c>
      <c r="F24" s="7" t="s">
        <v>409</v>
      </c>
      <c r="G24" s="7" t="s">
        <v>648</v>
      </c>
      <c r="H24" s="7" t="s">
        <v>115</v>
      </c>
      <c r="I24" s="7" t="s">
        <v>271</v>
      </c>
      <c r="J24" s="7" t="s">
        <v>351</v>
      </c>
      <c r="K24" s="7" t="s">
        <v>570</v>
      </c>
      <c r="L24" s="7" t="s">
        <v>732</v>
      </c>
      <c r="M24" s="7" t="s">
        <v>303</v>
      </c>
      <c r="N24" s="7" t="s">
        <v>412</v>
      </c>
      <c r="O24" s="7" t="s">
        <v>195</v>
      </c>
      <c r="P24" s="7" t="s">
        <v>14</v>
      </c>
      <c r="Q24" s="7" t="s">
        <v>305</v>
      </c>
      <c r="R24" s="7" t="s">
        <v>263</v>
      </c>
    </row>
    <row r="25" spans="1:18">
      <c r="A25" s="7" t="s">
        <v>752</v>
      </c>
      <c r="B25" s="7" t="s">
        <v>730</v>
      </c>
      <c r="C25" s="7" t="s">
        <v>407</v>
      </c>
      <c r="D25" s="7" t="s">
        <v>579</v>
      </c>
      <c r="E25" s="7" t="s">
        <v>255</v>
      </c>
      <c r="F25" s="7" t="s">
        <v>409</v>
      </c>
      <c r="G25" s="7" t="s">
        <v>648</v>
      </c>
      <c r="H25" s="7" t="s">
        <v>115</v>
      </c>
      <c r="I25" s="7" t="s">
        <v>258</v>
      </c>
      <c r="J25" s="7" t="s">
        <v>469</v>
      </c>
      <c r="K25" s="7" t="s">
        <v>471</v>
      </c>
      <c r="L25" s="7" t="s">
        <v>753</v>
      </c>
      <c r="M25" s="7" t="s">
        <v>303</v>
      </c>
      <c r="N25" s="7" t="s">
        <v>412</v>
      </c>
      <c r="O25" s="7" t="s">
        <v>169</v>
      </c>
      <c r="P25" s="7" t="s">
        <v>14</v>
      </c>
      <c r="Q25" s="7" t="s">
        <v>305</v>
      </c>
      <c r="R25" s="7" t="s">
        <v>263</v>
      </c>
    </row>
    <row r="26" spans="1:18">
      <c r="A26" s="7" t="s">
        <v>767</v>
      </c>
      <c r="B26" s="7" t="s">
        <v>768</v>
      </c>
      <c r="C26" s="7" t="s">
        <v>265</v>
      </c>
      <c r="D26" s="7" t="s">
        <v>769</v>
      </c>
      <c r="E26" s="7" t="s">
        <v>255</v>
      </c>
      <c r="F26" s="7" t="s">
        <v>409</v>
      </c>
      <c r="G26" s="7" t="s">
        <v>648</v>
      </c>
      <c r="H26" s="7" t="s">
        <v>115</v>
      </c>
      <c r="I26" s="7" t="s">
        <v>258</v>
      </c>
      <c r="J26" s="7" t="s">
        <v>529</v>
      </c>
      <c r="K26" s="7" t="s">
        <v>770</v>
      </c>
      <c r="L26" s="7" t="s">
        <v>598</v>
      </c>
      <c r="M26" s="7" t="s">
        <v>335</v>
      </c>
      <c r="N26" s="7" t="s">
        <v>412</v>
      </c>
      <c r="O26" s="7" t="s">
        <v>195</v>
      </c>
      <c r="P26" s="7" t="s">
        <v>17</v>
      </c>
      <c r="Q26" s="7" t="s">
        <v>318</v>
      </c>
      <c r="R26" s="7" t="s">
        <v>263</v>
      </c>
    </row>
    <row r="27" spans="1:18">
      <c r="A27" s="7" t="s">
        <v>832</v>
      </c>
      <c r="B27" s="7" t="s">
        <v>406</v>
      </c>
      <c r="C27" s="7" t="s">
        <v>503</v>
      </c>
      <c r="D27" s="7" t="s">
        <v>386</v>
      </c>
      <c r="E27" s="7" t="s">
        <v>255</v>
      </c>
      <c r="F27" s="7" t="s">
        <v>409</v>
      </c>
      <c r="G27" s="7" t="s">
        <v>648</v>
      </c>
      <c r="H27" s="7" t="s">
        <v>115</v>
      </c>
      <c r="I27" s="7" t="s">
        <v>258</v>
      </c>
      <c r="J27" s="7" t="s">
        <v>392</v>
      </c>
      <c r="K27" s="7" t="s">
        <v>833</v>
      </c>
      <c r="L27" s="7" t="s">
        <v>834</v>
      </c>
      <c r="M27" s="7" t="s">
        <v>835</v>
      </c>
      <c r="N27" s="7" t="s">
        <v>412</v>
      </c>
      <c r="O27" s="7" t="s">
        <v>195</v>
      </c>
      <c r="P27" s="7" t="s">
        <v>17</v>
      </c>
      <c r="Q27" s="7" t="s">
        <v>262</v>
      </c>
      <c r="R27" s="7" t="s">
        <v>263</v>
      </c>
    </row>
    <row r="28" spans="1:18">
      <c r="A28" s="7" t="s">
        <v>881</v>
      </c>
      <c r="B28" s="7" t="s">
        <v>356</v>
      </c>
      <c r="C28" s="7" t="s">
        <v>388</v>
      </c>
      <c r="D28" s="7" t="s">
        <v>882</v>
      </c>
      <c r="E28" s="7" t="s">
        <v>255</v>
      </c>
      <c r="F28" s="7" t="s">
        <v>409</v>
      </c>
      <c r="G28" s="7" t="s">
        <v>410</v>
      </c>
      <c r="H28" s="7" t="s">
        <v>115</v>
      </c>
      <c r="I28" s="7" t="s">
        <v>316</v>
      </c>
      <c r="J28" s="7" t="s">
        <v>332</v>
      </c>
      <c r="K28" s="7" t="s">
        <v>663</v>
      </c>
      <c r="L28" s="7" t="s">
        <v>382</v>
      </c>
      <c r="M28" s="7" t="s">
        <v>275</v>
      </c>
      <c r="N28" s="7" t="s">
        <v>412</v>
      </c>
      <c r="O28" s="7" t="s">
        <v>195</v>
      </c>
      <c r="P28" s="7" t="s">
        <v>17</v>
      </c>
      <c r="Q28" s="7" t="s">
        <v>305</v>
      </c>
      <c r="R28" s="7" t="s">
        <v>263</v>
      </c>
    </row>
    <row r="29" spans="1:18">
      <c r="A29" s="7" t="s">
        <v>264</v>
      </c>
      <c r="B29" s="7" t="s">
        <v>265</v>
      </c>
      <c r="C29" s="7" t="s">
        <v>266</v>
      </c>
      <c r="D29" s="7" t="s">
        <v>267</v>
      </c>
      <c r="E29" s="7" t="s">
        <v>268</v>
      </c>
      <c r="F29" s="7" t="s">
        <v>269</v>
      </c>
      <c r="G29" s="7" t="s">
        <v>270</v>
      </c>
      <c r="H29" s="7" t="s">
        <v>115</v>
      </c>
      <c r="I29" s="7" t="s">
        <v>271</v>
      </c>
      <c r="J29" s="7" t="s">
        <v>272</v>
      </c>
      <c r="K29" s="7" t="s">
        <v>273</v>
      </c>
      <c r="L29" s="7" t="s">
        <v>274</v>
      </c>
      <c r="M29" s="7" t="s">
        <v>275</v>
      </c>
      <c r="N29" s="7" t="s">
        <v>276</v>
      </c>
      <c r="O29" s="7" t="s">
        <v>169</v>
      </c>
      <c r="P29" s="7" t="s">
        <v>17</v>
      </c>
      <c r="Q29" s="7" t="s">
        <v>262</v>
      </c>
      <c r="R29" s="7" t="s">
        <v>263</v>
      </c>
    </row>
    <row r="30" spans="1:18">
      <c r="A30" s="7" t="s">
        <v>379</v>
      </c>
      <c r="B30" s="7" t="s">
        <v>337</v>
      </c>
      <c r="C30" s="7" t="s">
        <v>380</v>
      </c>
      <c r="D30" s="7" t="s">
        <v>381</v>
      </c>
      <c r="E30" s="7" t="s">
        <v>268</v>
      </c>
      <c r="F30" s="7" t="s">
        <v>269</v>
      </c>
      <c r="G30" s="7" t="s">
        <v>270</v>
      </c>
      <c r="H30" s="7" t="s">
        <v>115</v>
      </c>
      <c r="I30" s="7" t="s">
        <v>299</v>
      </c>
      <c r="J30" s="7" t="s">
        <v>259</v>
      </c>
      <c r="K30" s="7" t="s">
        <v>382</v>
      </c>
      <c r="L30" s="7" t="s">
        <v>383</v>
      </c>
      <c r="M30" s="7" t="s">
        <v>335</v>
      </c>
      <c r="N30" s="7" t="s">
        <v>276</v>
      </c>
      <c r="O30" s="7" t="s">
        <v>169</v>
      </c>
      <c r="P30" s="7" t="s">
        <v>17</v>
      </c>
      <c r="Q30" s="7" t="s">
        <v>326</v>
      </c>
      <c r="R30" s="7" t="s">
        <v>263</v>
      </c>
    </row>
    <row r="31" spans="1:18">
      <c r="A31" s="7" t="s">
        <v>432</v>
      </c>
      <c r="B31" s="7" t="s">
        <v>314</v>
      </c>
      <c r="C31" s="7" t="s">
        <v>433</v>
      </c>
      <c r="D31" s="7" t="s">
        <v>434</v>
      </c>
      <c r="E31" s="7" t="s">
        <v>268</v>
      </c>
      <c r="F31" s="7" t="s">
        <v>269</v>
      </c>
      <c r="G31" s="7" t="s">
        <v>435</v>
      </c>
      <c r="H31" s="7" t="s">
        <v>115</v>
      </c>
      <c r="I31" s="7" t="s">
        <v>271</v>
      </c>
      <c r="J31" s="7" t="s">
        <v>259</v>
      </c>
      <c r="K31" s="7" t="s">
        <v>436</v>
      </c>
      <c r="L31" s="7" t="s">
        <v>437</v>
      </c>
      <c r="M31" s="7" t="s">
        <v>293</v>
      </c>
      <c r="N31" s="7" t="s">
        <v>276</v>
      </c>
      <c r="O31" s="7" t="s">
        <v>195</v>
      </c>
      <c r="P31" s="7" t="s">
        <v>14</v>
      </c>
      <c r="Q31" s="7" t="s">
        <v>305</v>
      </c>
      <c r="R31" s="7" t="s">
        <v>263</v>
      </c>
    </row>
    <row r="32" spans="1:18">
      <c r="A32" s="7" t="s">
        <v>705</v>
      </c>
      <c r="B32" s="7" t="s">
        <v>388</v>
      </c>
      <c r="C32" s="7" t="s">
        <v>474</v>
      </c>
      <c r="D32" s="7" t="s">
        <v>706</v>
      </c>
      <c r="E32" s="7" t="s">
        <v>268</v>
      </c>
      <c r="F32" s="7" t="s">
        <v>269</v>
      </c>
      <c r="G32" s="7" t="s">
        <v>435</v>
      </c>
      <c r="H32" s="7" t="s">
        <v>115</v>
      </c>
      <c r="I32" s="7" t="s">
        <v>271</v>
      </c>
      <c r="J32" s="7" t="s">
        <v>300</v>
      </c>
      <c r="K32" s="7" t="s">
        <v>707</v>
      </c>
      <c r="L32" s="7" t="s">
        <v>612</v>
      </c>
      <c r="M32" s="7" t="s">
        <v>293</v>
      </c>
      <c r="N32" s="7" t="s">
        <v>276</v>
      </c>
      <c r="O32" s="7" t="s">
        <v>169</v>
      </c>
      <c r="P32" s="7" t="s">
        <v>17</v>
      </c>
      <c r="Q32" s="7" t="s">
        <v>262</v>
      </c>
      <c r="R32" s="7" t="s">
        <v>263</v>
      </c>
    </row>
    <row r="33" spans="1:18">
      <c r="A33" s="7" t="s">
        <v>724</v>
      </c>
      <c r="B33" s="7" t="s">
        <v>439</v>
      </c>
      <c r="C33" s="7" t="s">
        <v>329</v>
      </c>
      <c r="D33" s="7" t="s">
        <v>563</v>
      </c>
      <c r="E33" s="7" t="s">
        <v>268</v>
      </c>
      <c r="F33" s="7" t="s">
        <v>269</v>
      </c>
      <c r="G33" s="7" t="s">
        <v>725</v>
      </c>
      <c r="H33" s="7" t="s">
        <v>115</v>
      </c>
      <c r="I33" s="7" t="s">
        <v>258</v>
      </c>
      <c r="J33" s="7" t="s">
        <v>341</v>
      </c>
      <c r="K33" s="7" t="s">
        <v>697</v>
      </c>
      <c r="L33" s="7" t="s">
        <v>644</v>
      </c>
      <c r="M33" s="7" t="s">
        <v>275</v>
      </c>
      <c r="N33" s="7" t="s">
        <v>276</v>
      </c>
      <c r="O33" s="7" t="s">
        <v>195</v>
      </c>
      <c r="P33" s="7" t="s">
        <v>11</v>
      </c>
      <c r="Q33" s="7" t="s">
        <v>305</v>
      </c>
      <c r="R33" s="7" t="s">
        <v>263</v>
      </c>
    </row>
    <row r="34" spans="1:18">
      <c r="A34" s="7" t="s">
        <v>747</v>
      </c>
      <c r="B34" s="7" t="s">
        <v>730</v>
      </c>
      <c r="C34" s="7" t="s">
        <v>533</v>
      </c>
      <c r="D34" s="7"/>
      <c r="E34" s="7" t="s">
        <v>268</v>
      </c>
      <c r="F34" s="7" t="s">
        <v>269</v>
      </c>
      <c r="G34" s="7" t="s">
        <v>270</v>
      </c>
      <c r="H34" s="7" t="s">
        <v>127</v>
      </c>
      <c r="I34" s="7" t="s">
        <v>258</v>
      </c>
      <c r="J34" s="7" t="s">
        <v>392</v>
      </c>
      <c r="K34" s="7"/>
      <c r="L34" s="7"/>
      <c r="M34" s="7" t="s">
        <v>260</v>
      </c>
      <c r="N34" s="7" t="s">
        <v>276</v>
      </c>
      <c r="O34" s="7" t="s">
        <v>195</v>
      </c>
      <c r="P34" s="7"/>
      <c r="Q34" s="7" t="s">
        <v>262</v>
      </c>
      <c r="R34" s="7" t="s">
        <v>263</v>
      </c>
    </row>
    <row r="35" spans="1:18">
      <c r="A35" s="7" t="s">
        <v>766</v>
      </c>
      <c r="B35" s="7" t="s">
        <v>730</v>
      </c>
      <c r="C35" s="7" t="s">
        <v>314</v>
      </c>
      <c r="D35" s="7" t="s">
        <v>706</v>
      </c>
      <c r="E35" s="7" t="s">
        <v>268</v>
      </c>
      <c r="F35" s="7" t="s">
        <v>269</v>
      </c>
      <c r="G35" s="7" t="s">
        <v>270</v>
      </c>
      <c r="H35" s="7" t="s">
        <v>122</v>
      </c>
      <c r="I35" s="7" t="s">
        <v>299</v>
      </c>
      <c r="J35" s="7" t="s">
        <v>272</v>
      </c>
      <c r="K35" s="7"/>
      <c r="L35" s="7"/>
      <c r="M35" s="7" t="s">
        <v>260</v>
      </c>
      <c r="N35" s="7" t="s">
        <v>276</v>
      </c>
      <c r="O35" s="7" t="s">
        <v>195</v>
      </c>
      <c r="P35" s="7"/>
      <c r="Q35" s="7" t="s">
        <v>305</v>
      </c>
      <c r="R35" s="7" t="s">
        <v>263</v>
      </c>
    </row>
    <row r="36" spans="1:18">
      <c r="A36" s="7" t="s">
        <v>807</v>
      </c>
      <c r="B36" s="7" t="s">
        <v>278</v>
      </c>
      <c r="C36" s="7" t="s">
        <v>621</v>
      </c>
      <c r="D36" s="7" t="s">
        <v>715</v>
      </c>
      <c r="E36" s="7" t="s">
        <v>268</v>
      </c>
      <c r="F36" s="7" t="s">
        <v>269</v>
      </c>
      <c r="G36" s="7" t="s">
        <v>270</v>
      </c>
      <c r="H36" s="7" t="s">
        <v>115</v>
      </c>
      <c r="I36" s="7" t="s">
        <v>316</v>
      </c>
      <c r="J36" s="7" t="s">
        <v>411</v>
      </c>
      <c r="K36" s="7" t="s">
        <v>808</v>
      </c>
      <c r="L36" s="7" t="s">
        <v>443</v>
      </c>
      <c r="M36" s="7" t="s">
        <v>293</v>
      </c>
      <c r="N36" s="7" t="s">
        <v>276</v>
      </c>
      <c r="O36" s="7" t="s">
        <v>169</v>
      </c>
      <c r="P36" s="7" t="s">
        <v>17</v>
      </c>
      <c r="Q36" s="7" t="s">
        <v>285</v>
      </c>
      <c r="R36" s="7" t="s">
        <v>263</v>
      </c>
    </row>
    <row r="37" spans="1:18">
      <c r="A37" s="7" t="s">
        <v>836</v>
      </c>
      <c r="B37" s="7" t="s">
        <v>396</v>
      </c>
      <c r="C37" s="7" t="s">
        <v>449</v>
      </c>
      <c r="D37" s="7" t="s">
        <v>837</v>
      </c>
      <c r="E37" s="7" t="s">
        <v>268</v>
      </c>
      <c r="F37" s="7" t="s">
        <v>269</v>
      </c>
      <c r="G37" s="7" t="s">
        <v>270</v>
      </c>
      <c r="H37" s="7" t="s">
        <v>115</v>
      </c>
      <c r="I37" s="7" t="s">
        <v>299</v>
      </c>
      <c r="J37" s="7" t="s">
        <v>392</v>
      </c>
      <c r="K37" s="7" t="s">
        <v>415</v>
      </c>
      <c r="L37" s="7" t="s">
        <v>838</v>
      </c>
      <c r="M37" s="7" t="s">
        <v>303</v>
      </c>
      <c r="N37" s="7" t="s">
        <v>276</v>
      </c>
      <c r="O37" s="7" t="s">
        <v>195</v>
      </c>
      <c r="P37" s="7" t="s">
        <v>14</v>
      </c>
      <c r="Q37" s="7" t="s">
        <v>318</v>
      </c>
      <c r="R37" s="7" t="s">
        <v>263</v>
      </c>
    </row>
    <row r="38" spans="1:18">
      <c r="A38" s="7" t="s">
        <v>847</v>
      </c>
      <c r="B38" s="7" t="s">
        <v>493</v>
      </c>
      <c r="C38" s="7" t="s">
        <v>848</v>
      </c>
      <c r="D38" s="7" t="s">
        <v>390</v>
      </c>
      <c r="E38" s="7" t="s">
        <v>268</v>
      </c>
      <c r="F38" s="7" t="s">
        <v>269</v>
      </c>
      <c r="G38" s="7" t="s">
        <v>435</v>
      </c>
      <c r="H38" s="7" t="s">
        <v>115</v>
      </c>
      <c r="I38" s="7" t="s">
        <v>271</v>
      </c>
      <c r="J38" s="7" t="s">
        <v>272</v>
      </c>
      <c r="K38" s="7" t="s">
        <v>849</v>
      </c>
      <c r="L38" s="7" t="s">
        <v>543</v>
      </c>
      <c r="M38" s="7" t="s">
        <v>303</v>
      </c>
      <c r="N38" s="7" t="s">
        <v>276</v>
      </c>
      <c r="O38" s="7" t="s">
        <v>195</v>
      </c>
      <c r="P38" s="7" t="s">
        <v>17</v>
      </c>
      <c r="Q38" s="7" t="s">
        <v>262</v>
      </c>
      <c r="R38" s="7" t="s">
        <v>263</v>
      </c>
    </row>
    <row r="39" spans="1:18">
      <c r="A39" s="7" t="s">
        <v>319</v>
      </c>
      <c r="B39" s="7" t="s">
        <v>279</v>
      </c>
      <c r="C39" s="7" t="s">
        <v>320</v>
      </c>
      <c r="D39" s="7" t="s">
        <v>321</v>
      </c>
      <c r="E39" s="7" t="s">
        <v>281</v>
      </c>
      <c r="F39" s="7" t="s">
        <v>269</v>
      </c>
      <c r="G39" s="7" t="s">
        <v>322</v>
      </c>
      <c r="H39" s="7" t="s">
        <v>115</v>
      </c>
      <c r="I39" s="7" t="s">
        <v>258</v>
      </c>
      <c r="J39" s="7" t="s">
        <v>323</v>
      </c>
      <c r="K39" s="7" t="s">
        <v>324</v>
      </c>
      <c r="L39" s="7" t="s">
        <v>325</v>
      </c>
      <c r="M39" s="7" t="s">
        <v>303</v>
      </c>
      <c r="N39" s="7" t="s">
        <v>276</v>
      </c>
      <c r="O39" s="7" t="s">
        <v>195</v>
      </c>
      <c r="P39" s="7" t="s">
        <v>14</v>
      </c>
      <c r="Q39" s="7" t="s">
        <v>326</v>
      </c>
      <c r="R39" s="7" t="s">
        <v>263</v>
      </c>
    </row>
    <row r="40" spans="1:18">
      <c r="A40" s="7" t="s">
        <v>361</v>
      </c>
      <c r="B40" s="7" t="s">
        <v>320</v>
      </c>
      <c r="C40" s="7" t="s">
        <v>328</v>
      </c>
      <c r="D40" s="7" t="s">
        <v>362</v>
      </c>
      <c r="E40" s="7" t="s">
        <v>281</v>
      </c>
      <c r="F40" s="7" t="s">
        <v>269</v>
      </c>
      <c r="G40" s="7" t="s">
        <v>363</v>
      </c>
      <c r="H40" s="7" t="s">
        <v>115</v>
      </c>
      <c r="I40" s="7" t="s">
        <v>271</v>
      </c>
      <c r="J40" s="7" t="s">
        <v>341</v>
      </c>
      <c r="K40" s="7" t="s">
        <v>364</v>
      </c>
      <c r="L40" s="7" t="s">
        <v>365</v>
      </c>
      <c r="M40" s="7" t="s">
        <v>303</v>
      </c>
      <c r="N40" s="7" t="s">
        <v>276</v>
      </c>
      <c r="O40" s="7" t="s">
        <v>195</v>
      </c>
      <c r="P40" s="7" t="s">
        <v>8</v>
      </c>
      <c r="Q40" s="7" t="s">
        <v>326</v>
      </c>
      <c r="R40" s="7" t="s">
        <v>263</v>
      </c>
    </row>
    <row r="41" spans="1:18">
      <c r="A41" s="7" t="s">
        <v>413</v>
      </c>
      <c r="B41" s="7" t="s">
        <v>407</v>
      </c>
      <c r="C41" s="7" t="s">
        <v>328</v>
      </c>
      <c r="D41" s="7" t="s">
        <v>414</v>
      </c>
      <c r="E41" s="7" t="s">
        <v>281</v>
      </c>
      <c r="F41" s="7" t="s">
        <v>269</v>
      </c>
      <c r="G41" s="7" t="s">
        <v>322</v>
      </c>
      <c r="H41" s="7" t="s">
        <v>115</v>
      </c>
      <c r="I41" s="7" t="s">
        <v>316</v>
      </c>
      <c r="J41" s="7" t="s">
        <v>392</v>
      </c>
      <c r="K41" s="7" t="s">
        <v>415</v>
      </c>
      <c r="L41" s="7" t="s">
        <v>392</v>
      </c>
      <c r="M41" s="7" t="s">
        <v>293</v>
      </c>
      <c r="N41" s="7" t="s">
        <v>276</v>
      </c>
      <c r="O41" s="7" t="s">
        <v>195</v>
      </c>
      <c r="P41" s="7" t="s">
        <v>8</v>
      </c>
      <c r="Q41" s="7" t="s">
        <v>285</v>
      </c>
      <c r="R41" s="7" t="s">
        <v>263</v>
      </c>
    </row>
    <row r="42" spans="1:18">
      <c r="A42" s="7" t="s">
        <v>509</v>
      </c>
      <c r="B42" s="7" t="s">
        <v>458</v>
      </c>
      <c r="C42" s="7" t="s">
        <v>288</v>
      </c>
      <c r="D42" s="7" t="s">
        <v>367</v>
      </c>
      <c r="E42" s="7" t="s">
        <v>281</v>
      </c>
      <c r="F42" s="7" t="s">
        <v>269</v>
      </c>
      <c r="G42" s="7" t="s">
        <v>363</v>
      </c>
      <c r="H42" s="7" t="s">
        <v>115</v>
      </c>
      <c r="I42" s="7" t="s">
        <v>271</v>
      </c>
      <c r="J42" s="7" t="s">
        <v>399</v>
      </c>
      <c r="K42" s="7" t="s">
        <v>510</v>
      </c>
      <c r="L42" s="7" t="s">
        <v>511</v>
      </c>
      <c r="M42" s="7" t="s">
        <v>303</v>
      </c>
      <c r="N42" s="7" t="s">
        <v>276</v>
      </c>
      <c r="O42" s="7" t="s">
        <v>195</v>
      </c>
      <c r="P42" s="7" t="s">
        <v>14</v>
      </c>
      <c r="Q42" s="7" t="s">
        <v>262</v>
      </c>
      <c r="R42" s="7" t="s">
        <v>263</v>
      </c>
    </row>
    <row r="43" spans="1:18">
      <c r="A43" s="7" t="s">
        <v>515</v>
      </c>
      <c r="B43" s="7" t="s">
        <v>266</v>
      </c>
      <c r="C43" s="7" t="s">
        <v>380</v>
      </c>
      <c r="D43" s="7" t="s">
        <v>280</v>
      </c>
      <c r="E43" s="7" t="s">
        <v>281</v>
      </c>
      <c r="F43" s="7" t="s">
        <v>269</v>
      </c>
      <c r="G43" s="7" t="s">
        <v>363</v>
      </c>
      <c r="H43" s="7" t="s">
        <v>127</v>
      </c>
      <c r="I43" s="7" t="s">
        <v>271</v>
      </c>
      <c r="J43" s="7" t="s">
        <v>323</v>
      </c>
      <c r="K43" s="7"/>
      <c r="L43" s="7"/>
      <c r="M43" s="7" t="s">
        <v>260</v>
      </c>
      <c r="N43" s="7" t="s">
        <v>276</v>
      </c>
      <c r="O43" s="7" t="s">
        <v>195</v>
      </c>
      <c r="P43" s="7"/>
      <c r="Q43" s="7" t="s">
        <v>305</v>
      </c>
      <c r="R43" s="7" t="s">
        <v>263</v>
      </c>
    </row>
    <row r="44" spans="1:18">
      <c r="A44" s="7" t="s">
        <v>557</v>
      </c>
      <c r="B44" s="7" t="s">
        <v>278</v>
      </c>
      <c r="C44" s="7" t="s">
        <v>439</v>
      </c>
      <c r="D44" s="7" t="s">
        <v>558</v>
      </c>
      <c r="E44" s="7" t="s">
        <v>281</v>
      </c>
      <c r="F44" s="7" t="s">
        <v>269</v>
      </c>
      <c r="G44" s="7" t="s">
        <v>322</v>
      </c>
      <c r="H44" s="7" t="s">
        <v>115</v>
      </c>
      <c r="I44" s="7" t="s">
        <v>258</v>
      </c>
      <c r="J44" s="7" t="s">
        <v>272</v>
      </c>
      <c r="K44" s="7" t="s">
        <v>559</v>
      </c>
      <c r="L44" s="7" t="s">
        <v>456</v>
      </c>
      <c r="M44" s="7" t="s">
        <v>303</v>
      </c>
      <c r="N44" s="7" t="s">
        <v>276</v>
      </c>
      <c r="O44" s="7" t="s">
        <v>195</v>
      </c>
      <c r="P44" s="7" t="s">
        <v>8</v>
      </c>
      <c r="Q44" s="7" t="s">
        <v>326</v>
      </c>
      <c r="R44" s="7" t="s">
        <v>263</v>
      </c>
    </row>
    <row r="45" spans="1:18">
      <c r="A45" s="7" t="s">
        <v>662</v>
      </c>
      <c r="B45" s="7" t="s">
        <v>407</v>
      </c>
      <c r="C45" s="7" t="s">
        <v>265</v>
      </c>
      <c r="D45" s="7" t="s">
        <v>634</v>
      </c>
      <c r="E45" s="7" t="s">
        <v>281</v>
      </c>
      <c r="F45" s="7" t="s">
        <v>269</v>
      </c>
      <c r="G45" s="7" t="s">
        <v>363</v>
      </c>
      <c r="H45" s="7" t="s">
        <v>115</v>
      </c>
      <c r="I45" s="7" t="s">
        <v>271</v>
      </c>
      <c r="J45" s="7" t="s">
        <v>332</v>
      </c>
      <c r="K45" s="7" t="s">
        <v>332</v>
      </c>
      <c r="L45" s="7" t="s">
        <v>663</v>
      </c>
      <c r="M45" s="7" t="s">
        <v>293</v>
      </c>
      <c r="N45" s="7" t="s">
        <v>276</v>
      </c>
      <c r="O45" s="7" t="s">
        <v>195</v>
      </c>
      <c r="P45" s="7" t="s">
        <v>664</v>
      </c>
      <c r="Q45" s="7" t="s">
        <v>318</v>
      </c>
      <c r="R45" s="7" t="s">
        <v>263</v>
      </c>
    </row>
    <row r="46" spans="1:18">
      <c r="A46" s="7" t="s">
        <v>819</v>
      </c>
      <c r="B46" s="7" t="s">
        <v>278</v>
      </c>
      <c r="C46" s="7" t="s">
        <v>540</v>
      </c>
      <c r="D46" s="7" t="s">
        <v>820</v>
      </c>
      <c r="E46" s="7" t="s">
        <v>281</v>
      </c>
      <c r="F46" s="7" t="s">
        <v>269</v>
      </c>
      <c r="G46" s="7" t="s">
        <v>322</v>
      </c>
      <c r="H46" s="7" t="s">
        <v>122</v>
      </c>
      <c r="I46" s="7" t="s">
        <v>258</v>
      </c>
      <c r="J46" s="7" t="s">
        <v>529</v>
      </c>
      <c r="K46" s="7"/>
      <c r="L46" s="7"/>
      <c r="M46" s="7" t="s">
        <v>260</v>
      </c>
      <c r="N46" s="7" t="s">
        <v>276</v>
      </c>
      <c r="O46" s="7" t="s">
        <v>195</v>
      </c>
      <c r="P46" s="7"/>
      <c r="Q46" s="7" t="s">
        <v>318</v>
      </c>
      <c r="R46" s="7" t="s">
        <v>263</v>
      </c>
    </row>
    <row r="47" spans="1:18">
      <c r="A47" s="7" t="s">
        <v>829</v>
      </c>
      <c r="B47" s="7" t="s">
        <v>621</v>
      </c>
      <c r="C47" s="7" t="s">
        <v>830</v>
      </c>
      <c r="D47" s="7" t="s">
        <v>586</v>
      </c>
      <c r="E47" s="7" t="s">
        <v>281</v>
      </c>
      <c r="F47" s="7" t="s">
        <v>269</v>
      </c>
      <c r="G47" s="7" t="s">
        <v>322</v>
      </c>
      <c r="H47" s="7" t="s">
        <v>115</v>
      </c>
      <c r="I47" s="7" t="s">
        <v>316</v>
      </c>
      <c r="J47" s="7" t="s">
        <v>404</v>
      </c>
      <c r="K47" s="7" t="s">
        <v>649</v>
      </c>
      <c r="L47" s="7" t="s">
        <v>831</v>
      </c>
      <c r="M47" s="7" t="s">
        <v>303</v>
      </c>
      <c r="N47" s="7" t="s">
        <v>276</v>
      </c>
      <c r="O47" s="7" t="s">
        <v>169</v>
      </c>
      <c r="P47" s="7" t="s">
        <v>14</v>
      </c>
      <c r="Q47" s="7" t="s">
        <v>305</v>
      </c>
      <c r="R47" s="7" t="s">
        <v>263</v>
      </c>
    </row>
    <row r="48" spans="1:18">
      <c r="A48" s="7" t="s">
        <v>557</v>
      </c>
      <c r="B48" s="7" t="s">
        <v>278</v>
      </c>
      <c r="C48" s="7" t="s">
        <v>439</v>
      </c>
      <c r="D48" s="7" t="s">
        <v>558</v>
      </c>
      <c r="E48" s="7" t="s">
        <v>281</v>
      </c>
      <c r="F48" s="7" t="s">
        <v>269</v>
      </c>
      <c r="G48" s="7" t="s">
        <v>322</v>
      </c>
      <c r="H48" s="7" t="s">
        <v>115</v>
      </c>
      <c r="I48" s="7" t="s">
        <v>258</v>
      </c>
      <c r="J48" s="7" t="s">
        <v>272</v>
      </c>
      <c r="K48" s="7" t="s">
        <v>559</v>
      </c>
      <c r="L48" s="7" t="s">
        <v>456</v>
      </c>
      <c r="M48" s="7" t="s">
        <v>303</v>
      </c>
      <c r="N48" s="7" t="s">
        <v>276</v>
      </c>
      <c r="O48" s="7" t="s">
        <v>195</v>
      </c>
      <c r="P48" s="7" t="s">
        <v>8</v>
      </c>
      <c r="Q48" s="7" t="s">
        <v>326</v>
      </c>
      <c r="R48" s="7" t="s">
        <v>263</v>
      </c>
    </row>
    <row r="49" spans="1:18">
      <c r="A49" s="7" t="s">
        <v>336</v>
      </c>
      <c r="B49" s="7" t="s">
        <v>337</v>
      </c>
      <c r="C49" s="7" t="s">
        <v>287</v>
      </c>
      <c r="D49" s="7" t="s">
        <v>338</v>
      </c>
      <c r="E49" s="7" t="s">
        <v>339</v>
      </c>
      <c r="F49" s="7" t="s">
        <v>269</v>
      </c>
      <c r="G49" s="7" t="s">
        <v>340</v>
      </c>
      <c r="H49" s="7" t="s">
        <v>122</v>
      </c>
      <c r="I49" s="7" t="s">
        <v>271</v>
      </c>
      <c r="J49" s="7" t="s">
        <v>341</v>
      </c>
      <c r="K49" s="7"/>
      <c r="L49" s="7"/>
      <c r="M49" s="7" t="s">
        <v>260</v>
      </c>
      <c r="N49" s="7" t="s">
        <v>276</v>
      </c>
      <c r="O49" s="7" t="s">
        <v>169</v>
      </c>
      <c r="P49" s="7"/>
      <c r="Q49" s="7" t="s">
        <v>305</v>
      </c>
      <c r="R49" s="7" t="s">
        <v>263</v>
      </c>
    </row>
    <row r="50" spans="1:18">
      <c r="A50" s="7" t="s">
        <v>467</v>
      </c>
      <c r="B50" s="7" t="s">
        <v>355</v>
      </c>
      <c r="C50" s="7" t="s">
        <v>265</v>
      </c>
      <c r="D50" s="7" t="s">
        <v>468</v>
      </c>
      <c r="E50" s="7" t="s">
        <v>339</v>
      </c>
      <c r="F50" s="7" t="s">
        <v>269</v>
      </c>
      <c r="G50" s="7" t="s">
        <v>340</v>
      </c>
      <c r="H50" s="7" t="s">
        <v>115</v>
      </c>
      <c r="I50" s="7" t="s">
        <v>258</v>
      </c>
      <c r="J50" s="7" t="s">
        <v>469</v>
      </c>
      <c r="K50" s="7" t="s">
        <v>470</v>
      </c>
      <c r="L50" s="7" t="s">
        <v>471</v>
      </c>
      <c r="M50" s="7" t="s">
        <v>303</v>
      </c>
      <c r="N50" s="7" t="s">
        <v>276</v>
      </c>
      <c r="O50" s="7" t="s">
        <v>195</v>
      </c>
      <c r="P50" s="7" t="s">
        <v>14</v>
      </c>
      <c r="Q50" s="7" t="s">
        <v>262</v>
      </c>
      <c r="R50" s="7" t="s">
        <v>263</v>
      </c>
    </row>
    <row r="51" spans="1:18">
      <c r="A51" s="7" t="s">
        <v>526</v>
      </c>
      <c r="B51" s="7" t="s">
        <v>396</v>
      </c>
      <c r="C51" s="7" t="s">
        <v>503</v>
      </c>
      <c r="D51" s="7" t="s">
        <v>527</v>
      </c>
      <c r="E51" s="7" t="s">
        <v>339</v>
      </c>
      <c r="F51" s="7" t="s">
        <v>269</v>
      </c>
      <c r="G51" s="7" t="s">
        <v>528</v>
      </c>
      <c r="H51" s="7" t="s">
        <v>115</v>
      </c>
      <c r="I51" s="7" t="s">
        <v>316</v>
      </c>
      <c r="J51" s="7" t="s">
        <v>529</v>
      </c>
      <c r="K51" s="7" t="s">
        <v>530</v>
      </c>
      <c r="L51" s="7" t="s">
        <v>531</v>
      </c>
      <c r="M51" s="7" t="s">
        <v>303</v>
      </c>
      <c r="N51" s="7" t="s">
        <v>276</v>
      </c>
      <c r="O51" s="7" t="s">
        <v>169</v>
      </c>
      <c r="P51" s="7" t="s">
        <v>14</v>
      </c>
      <c r="Q51" s="7" t="s">
        <v>285</v>
      </c>
      <c r="R51" s="7" t="s">
        <v>263</v>
      </c>
    </row>
    <row r="52" spans="1:18">
      <c r="A52" s="7" t="s">
        <v>670</v>
      </c>
      <c r="B52" s="7" t="s">
        <v>666</v>
      </c>
      <c r="C52" s="7" t="s">
        <v>561</v>
      </c>
      <c r="D52" s="7" t="s">
        <v>514</v>
      </c>
      <c r="E52" s="7" t="s">
        <v>339</v>
      </c>
      <c r="F52" s="7" t="s">
        <v>269</v>
      </c>
      <c r="G52" s="7" t="s">
        <v>340</v>
      </c>
      <c r="H52" s="7" t="s">
        <v>115</v>
      </c>
      <c r="I52" s="7" t="s">
        <v>258</v>
      </c>
      <c r="J52" s="7" t="s">
        <v>272</v>
      </c>
      <c r="K52" s="7" t="s">
        <v>671</v>
      </c>
      <c r="L52" s="7" t="s">
        <v>393</v>
      </c>
      <c r="M52" s="7" t="s">
        <v>275</v>
      </c>
      <c r="N52" s="7" t="s">
        <v>276</v>
      </c>
      <c r="O52" s="7" t="s">
        <v>195</v>
      </c>
      <c r="P52" s="7" t="s">
        <v>17</v>
      </c>
      <c r="Q52" s="7" t="s">
        <v>318</v>
      </c>
      <c r="R52" s="7" t="s">
        <v>263</v>
      </c>
    </row>
    <row r="53" spans="1:18">
      <c r="A53" s="7" t="s">
        <v>690</v>
      </c>
      <c r="B53" s="7" t="s">
        <v>287</v>
      </c>
      <c r="C53" s="7" t="s">
        <v>308</v>
      </c>
      <c r="D53" s="7" t="s">
        <v>691</v>
      </c>
      <c r="E53" s="7" t="s">
        <v>339</v>
      </c>
      <c r="F53" s="7" t="s">
        <v>269</v>
      </c>
      <c r="G53" s="7" t="s">
        <v>528</v>
      </c>
      <c r="H53" s="7" t="s">
        <v>115</v>
      </c>
      <c r="I53" s="7" t="s">
        <v>258</v>
      </c>
      <c r="J53" s="7" t="s">
        <v>300</v>
      </c>
      <c r="K53" s="7" t="s">
        <v>683</v>
      </c>
      <c r="L53" s="7" t="s">
        <v>692</v>
      </c>
      <c r="M53" s="7" t="s">
        <v>303</v>
      </c>
      <c r="N53" s="7" t="s">
        <v>276</v>
      </c>
      <c r="O53" s="7" t="s">
        <v>195</v>
      </c>
      <c r="P53" s="7" t="s">
        <v>8</v>
      </c>
      <c r="Q53" s="7" t="s">
        <v>285</v>
      </c>
      <c r="R53" s="7" t="s">
        <v>263</v>
      </c>
    </row>
    <row r="54" spans="1:18">
      <c r="A54" s="7" t="s">
        <v>699</v>
      </c>
      <c r="B54" s="7" t="s">
        <v>621</v>
      </c>
      <c r="C54" s="7" t="s">
        <v>700</v>
      </c>
      <c r="D54" s="7" t="s">
        <v>460</v>
      </c>
      <c r="E54" s="7" t="s">
        <v>339</v>
      </c>
      <c r="F54" s="7" t="s">
        <v>269</v>
      </c>
      <c r="G54" s="7" t="s">
        <v>340</v>
      </c>
      <c r="H54" s="7" t="s">
        <v>115</v>
      </c>
      <c r="I54" s="7" t="s">
        <v>519</v>
      </c>
      <c r="J54" s="7" t="s">
        <v>259</v>
      </c>
      <c r="K54" s="7" t="s">
        <v>701</v>
      </c>
      <c r="L54" s="7" t="s">
        <v>702</v>
      </c>
      <c r="M54" s="7" t="s">
        <v>335</v>
      </c>
      <c r="N54" s="7" t="s">
        <v>276</v>
      </c>
      <c r="O54" s="7" t="s">
        <v>195</v>
      </c>
      <c r="P54" s="7" t="s">
        <v>11</v>
      </c>
      <c r="Q54" s="7" t="s">
        <v>318</v>
      </c>
      <c r="R54" s="7" t="s">
        <v>263</v>
      </c>
    </row>
    <row r="55" spans="1:18">
      <c r="A55" s="7" t="s">
        <v>750</v>
      </c>
      <c r="B55" s="7" t="s">
        <v>561</v>
      </c>
      <c r="C55" s="7" t="s">
        <v>533</v>
      </c>
      <c r="D55" s="7" t="s">
        <v>504</v>
      </c>
      <c r="E55" s="7" t="s">
        <v>339</v>
      </c>
      <c r="F55" s="7" t="s">
        <v>269</v>
      </c>
      <c r="G55" s="7" t="s">
        <v>528</v>
      </c>
      <c r="H55" s="7" t="s">
        <v>115</v>
      </c>
      <c r="I55" s="7" t="s">
        <v>271</v>
      </c>
      <c r="J55" s="7" t="s">
        <v>323</v>
      </c>
      <c r="K55" s="7" t="s">
        <v>751</v>
      </c>
      <c r="L55" s="7" t="s">
        <v>351</v>
      </c>
      <c r="M55" s="7" t="s">
        <v>303</v>
      </c>
      <c r="N55" s="7" t="s">
        <v>276</v>
      </c>
      <c r="O55" s="7" t="s">
        <v>483</v>
      </c>
      <c r="P55" s="7" t="s">
        <v>17</v>
      </c>
      <c r="Q55" s="7" t="s">
        <v>285</v>
      </c>
      <c r="R55" s="7" t="s">
        <v>263</v>
      </c>
    </row>
    <row r="56" spans="1:18">
      <c r="A56" s="7" t="s">
        <v>387</v>
      </c>
      <c r="B56" s="7" t="s">
        <v>388</v>
      </c>
      <c r="C56" s="7" t="s">
        <v>389</v>
      </c>
      <c r="D56" s="7" t="s">
        <v>390</v>
      </c>
      <c r="E56" s="7" t="s">
        <v>255</v>
      </c>
      <c r="F56" s="7" t="s">
        <v>269</v>
      </c>
      <c r="G56" s="7" t="s">
        <v>391</v>
      </c>
      <c r="H56" s="7" t="s">
        <v>115</v>
      </c>
      <c r="I56" s="7" t="s">
        <v>271</v>
      </c>
      <c r="J56" s="7" t="s">
        <v>392</v>
      </c>
      <c r="K56" s="7" t="s">
        <v>393</v>
      </c>
      <c r="L56" s="7" t="s">
        <v>394</v>
      </c>
      <c r="M56" s="7" t="s">
        <v>303</v>
      </c>
      <c r="N56" s="7" t="s">
        <v>276</v>
      </c>
      <c r="O56" s="7" t="s">
        <v>195</v>
      </c>
      <c r="P56" s="7" t="s">
        <v>17</v>
      </c>
      <c r="Q56" s="7" t="s">
        <v>318</v>
      </c>
      <c r="R56" s="7" t="s">
        <v>263</v>
      </c>
    </row>
    <row r="57" spans="1:18">
      <c r="A57" s="7" t="s">
        <v>539</v>
      </c>
      <c r="B57" s="7" t="s">
        <v>320</v>
      </c>
      <c r="C57" s="7" t="s">
        <v>540</v>
      </c>
      <c r="D57" s="7" t="s">
        <v>541</v>
      </c>
      <c r="E57" s="7" t="s">
        <v>255</v>
      </c>
      <c r="F57" s="7" t="s">
        <v>269</v>
      </c>
      <c r="G57" s="7" t="s">
        <v>542</v>
      </c>
      <c r="H57" s="7" t="s">
        <v>115</v>
      </c>
      <c r="I57" s="7" t="s">
        <v>258</v>
      </c>
      <c r="J57" s="7" t="s">
        <v>272</v>
      </c>
      <c r="K57" s="7" t="s">
        <v>543</v>
      </c>
      <c r="L57" s="7" t="s">
        <v>544</v>
      </c>
      <c r="M57" s="7" t="s">
        <v>303</v>
      </c>
      <c r="N57" s="7" t="s">
        <v>276</v>
      </c>
      <c r="O57" s="7" t="s">
        <v>195</v>
      </c>
      <c r="P57" s="7" t="s">
        <v>17</v>
      </c>
      <c r="Q57" s="7" t="s">
        <v>326</v>
      </c>
      <c r="R57" s="7" t="s">
        <v>263</v>
      </c>
    </row>
    <row r="58" spans="1:18">
      <c r="A58" s="7" t="s">
        <v>726</v>
      </c>
      <c r="B58" s="7" t="s">
        <v>522</v>
      </c>
      <c r="C58" s="7" t="s">
        <v>380</v>
      </c>
      <c r="D58" s="7" t="s">
        <v>727</v>
      </c>
      <c r="E58" s="7" t="s">
        <v>255</v>
      </c>
      <c r="F58" s="7" t="s">
        <v>269</v>
      </c>
      <c r="G58" s="7" t="s">
        <v>542</v>
      </c>
      <c r="H58" s="7" t="s">
        <v>127</v>
      </c>
      <c r="I58" s="7" t="s">
        <v>258</v>
      </c>
      <c r="J58" s="7" t="s">
        <v>259</v>
      </c>
      <c r="K58" s="7"/>
      <c r="L58" s="7"/>
      <c r="M58" s="7" t="s">
        <v>260</v>
      </c>
      <c r="N58" s="7" t="s">
        <v>276</v>
      </c>
      <c r="O58" s="7" t="s">
        <v>195</v>
      </c>
      <c r="P58" s="7"/>
      <c r="Q58" s="7" t="s">
        <v>326</v>
      </c>
      <c r="R58" s="7" t="s">
        <v>263</v>
      </c>
    </row>
    <row r="59" spans="1:18">
      <c r="A59" s="7" t="s">
        <v>739</v>
      </c>
      <c r="B59" s="7" t="s">
        <v>313</v>
      </c>
      <c r="C59" s="7" t="s">
        <v>740</v>
      </c>
      <c r="D59" s="7" t="s">
        <v>741</v>
      </c>
      <c r="E59" s="7" t="s">
        <v>255</v>
      </c>
      <c r="F59" s="7" t="s">
        <v>269</v>
      </c>
      <c r="G59" s="7" t="s">
        <v>542</v>
      </c>
      <c r="H59" s="7" t="s">
        <v>115</v>
      </c>
      <c r="I59" s="7" t="s">
        <v>299</v>
      </c>
      <c r="J59" s="7" t="s">
        <v>399</v>
      </c>
      <c r="K59" s="7" t="s">
        <v>742</v>
      </c>
      <c r="L59" s="7" t="s">
        <v>743</v>
      </c>
      <c r="M59" s="7" t="s">
        <v>335</v>
      </c>
      <c r="N59" s="7" t="s">
        <v>686</v>
      </c>
      <c r="O59" s="7" t="s">
        <v>195</v>
      </c>
      <c r="P59" s="7" t="s">
        <v>8</v>
      </c>
      <c r="Q59" s="7" t="s">
        <v>262</v>
      </c>
      <c r="R59" s="7" t="s">
        <v>263</v>
      </c>
    </row>
    <row r="60" spans="1:18">
      <c r="A60" s="7" t="s">
        <v>762</v>
      </c>
      <c r="B60" s="7" t="s">
        <v>320</v>
      </c>
      <c r="C60" s="7" t="s">
        <v>517</v>
      </c>
      <c r="D60" s="7" t="s">
        <v>763</v>
      </c>
      <c r="E60" s="7" t="s">
        <v>255</v>
      </c>
      <c r="F60" s="7" t="s">
        <v>269</v>
      </c>
      <c r="G60" s="7" t="s">
        <v>542</v>
      </c>
      <c r="H60" s="7" t="s">
        <v>122</v>
      </c>
      <c r="I60" s="7" t="s">
        <v>316</v>
      </c>
      <c r="J60" s="7" t="s">
        <v>469</v>
      </c>
      <c r="K60" s="7"/>
      <c r="L60" s="7"/>
      <c r="M60" s="7" t="s">
        <v>260</v>
      </c>
      <c r="N60" s="7" t="s">
        <v>276</v>
      </c>
      <c r="O60" s="7" t="s">
        <v>195</v>
      </c>
      <c r="P60" s="7"/>
      <c r="Q60" s="7" t="s">
        <v>305</v>
      </c>
      <c r="R60" s="7" t="s">
        <v>263</v>
      </c>
    </row>
    <row r="61" spans="1:18">
      <c r="A61" s="7" t="s">
        <v>771</v>
      </c>
      <c r="B61" s="7" t="s">
        <v>585</v>
      </c>
      <c r="C61" s="7" t="s">
        <v>265</v>
      </c>
      <c r="D61" s="7" t="s">
        <v>772</v>
      </c>
      <c r="E61" s="7" t="s">
        <v>255</v>
      </c>
      <c r="F61" s="7" t="s">
        <v>269</v>
      </c>
      <c r="G61" s="7" t="s">
        <v>542</v>
      </c>
      <c r="H61" s="7" t="s">
        <v>115</v>
      </c>
      <c r="I61" s="7" t="s">
        <v>316</v>
      </c>
      <c r="J61" s="7" t="s">
        <v>447</v>
      </c>
      <c r="K61" s="7" t="s">
        <v>773</v>
      </c>
      <c r="L61" s="7" t="s">
        <v>751</v>
      </c>
      <c r="M61" s="7" t="s">
        <v>303</v>
      </c>
      <c r="N61" s="7" t="s">
        <v>276</v>
      </c>
      <c r="O61" s="7" t="s">
        <v>195</v>
      </c>
      <c r="P61" s="7" t="s">
        <v>14</v>
      </c>
      <c r="Q61" s="7" t="s">
        <v>326</v>
      </c>
      <c r="R61" s="7" t="s">
        <v>263</v>
      </c>
    </row>
    <row r="62" spans="1:18">
      <c r="A62" s="7" t="s">
        <v>774</v>
      </c>
      <c r="B62" s="7" t="s">
        <v>621</v>
      </c>
      <c r="C62" s="7" t="s">
        <v>517</v>
      </c>
      <c r="D62" s="7" t="s">
        <v>655</v>
      </c>
      <c r="E62" s="7" t="s">
        <v>255</v>
      </c>
      <c r="F62" s="7" t="s">
        <v>269</v>
      </c>
      <c r="G62" s="7" t="s">
        <v>542</v>
      </c>
      <c r="H62" s="7" t="s">
        <v>115</v>
      </c>
      <c r="I62" s="7" t="s">
        <v>299</v>
      </c>
      <c r="J62" s="7" t="s">
        <v>332</v>
      </c>
      <c r="K62" s="7" t="s">
        <v>775</v>
      </c>
      <c r="L62" s="7" t="s">
        <v>332</v>
      </c>
      <c r="M62" s="7" t="s">
        <v>293</v>
      </c>
      <c r="N62" s="7" t="s">
        <v>276</v>
      </c>
      <c r="O62" s="7" t="s">
        <v>195</v>
      </c>
      <c r="P62" s="7" t="s">
        <v>17</v>
      </c>
      <c r="Q62" s="7" t="s">
        <v>326</v>
      </c>
      <c r="R62" s="7" t="s">
        <v>263</v>
      </c>
    </row>
    <row r="63" spans="1:18">
      <c r="A63" s="7" t="s">
        <v>776</v>
      </c>
      <c r="B63" s="7" t="s">
        <v>666</v>
      </c>
      <c r="C63" s="7" t="s">
        <v>493</v>
      </c>
      <c r="D63" s="7" t="s">
        <v>759</v>
      </c>
      <c r="E63" s="7" t="s">
        <v>255</v>
      </c>
      <c r="F63" s="7" t="s">
        <v>269</v>
      </c>
      <c r="G63" s="7" t="s">
        <v>542</v>
      </c>
      <c r="H63" s="7" t="s">
        <v>115</v>
      </c>
      <c r="I63" s="7" t="s">
        <v>271</v>
      </c>
      <c r="J63" s="7" t="s">
        <v>272</v>
      </c>
      <c r="K63" s="7" t="s">
        <v>777</v>
      </c>
      <c r="L63" s="7" t="s">
        <v>679</v>
      </c>
      <c r="M63" s="7" t="s">
        <v>335</v>
      </c>
      <c r="N63" s="7" t="s">
        <v>276</v>
      </c>
      <c r="O63" s="7" t="s">
        <v>195</v>
      </c>
      <c r="P63" s="7" t="s">
        <v>17</v>
      </c>
      <c r="Q63" s="7" t="s">
        <v>262</v>
      </c>
      <c r="R63" s="7" t="s">
        <v>263</v>
      </c>
    </row>
    <row r="64" spans="1:18">
      <c r="A64" s="7" t="s">
        <v>581</v>
      </c>
      <c r="B64" s="7" t="s">
        <v>279</v>
      </c>
      <c r="C64" s="7" t="s">
        <v>385</v>
      </c>
      <c r="D64" s="7" t="s">
        <v>582</v>
      </c>
      <c r="E64" s="7" t="s">
        <v>268</v>
      </c>
      <c r="F64" s="7" t="s">
        <v>297</v>
      </c>
      <c r="G64" s="7" t="s">
        <v>583</v>
      </c>
      <c r="H64" s="7" t="s">
        <v>451</v>
      </c>
      <c r="I64" s="7" t="s">
        <v>299</v>
      </c>
      <c r="J64" s="7" t="s">
        <v>272</v>
      </c>
      <c r="K64" s="7" t="s">
        <v>543</v>
      </c>
      <c r="L64" s="7" t="s">
        <v>543</v>
      </c>
      <c r="M64" s="7" t="s">
        <v>303</v>
      </c>
      <c r="N64" s="7" t="s">
        <v>304</v>
      </c>
      <c r="O64" s="7" t="s">
        <v>169</v>
      </c>
      <c r="P64" s="7" t="s">
        <v>8</v>
      </c>
      <c r="Q64" s="7" t="s">
        <v>318</v>
      </c>
      <c r="R64" s="7" t="s">
        <v>263</v>
      </c>
    </row>
    <row r="65" spans="1:18">
      <c r="A65" s="7" t="s">
        <v>605</v>
      </c>
      <c r="B65" s="7" t="s">
        <v>278</v>
      </c>
      <c r="C65" s="7" t="s">
        <v>606</v>
      </c>
      <c r="D65" s="7" t="s">
        <v>296</v>
      </c>
      <c r="E65" s="7" t="s">
        <v>268</v>
      </c>
      <c r="F65" s="7" t="s">
        <v>297</v>
      </c>
      <c r="G65" s="7" t="s">
        <v>583</v>
      </c>
      <c r="H65" s="7" t="s">
        <v>115</v>
      </c>
      <c r="I65" s="7" t="s">
        <v>299</v>
      </c>
      <c r="J65" s="7" t="s">
        <v>332</v>
      </c>
      <c r="K65" s="7" t="s">
        <v>607</v>
      </c>
      <c r="L65" s="7" t="s">
        <v>353</v>
      </c>
      <c r="M65" s="7" t="s">
        <v>303</v>
      </c>
      <c r="N65" s="7" t="s">
        <v>304</v>
      </c>
      <c r="O65" s="7" t="s">
        <v>195</v>
      </c>
      <c r="P65" s="7" t="s">
        <v>11</v>
      </c>
      <c r="Q65" s="7" t="s">
        <v>305</v>
      </c>
      <c r="R65" s="7" t="s">
        <v>263</v>
      </c>
    </row>
    <row r="66" spans="1:18">
      <c r="A66" s="7" t="s">
        <v>627</v>
      </c>
      <c r="B66" s="7" t="s">
        <v>439</v>
      </c>
      <c r="C66" s="7" t="s">
        <v>308</v>
      </c>
      <c r="D66" s="7" t="s">
        <v>460</v>
      </c>
      <c r="E66" s="7" t="s">
        <v>268</v>
      </c>
      <c r="F66" s="7" t="s">
        <v>297</v>
      </c>
      <c r="G66" s="7" t="s">
        <v>628</v>
      </c>
      <c r="H66" s="7" t="s">
        <v>115</v>
      </c>
      <c r="I66" s="7" t="s">
        <v>299</v>
      </c>
      <c r="J66" s="7" t="s">
        <v>346</v>
      </c>
      <c r="K66" s="7" t="s">
        <v>629</v>
      </c>
      <c r="L66" s="7" t="s">
        <v>630</v>
      </c>
      <c r="M66" s="7" t="s">
        <v>303</v>
      </c>
      <c r="N66" s="7" t="s">
        <v>304</v>
      </c>
      <c r="O66" s="7" t="s">
        <v>631</v>
      </c>
      <c r="P66" s="7" t="s">
        <v>8</v>
      </c>
      <c r="Q66" s="7" t="s">
        <v>318</v>
      </c>
      <c r="R66" s="7" t="s">
        <v>263</v>
      </c>
    </row>
    <row r="67" spans="1:18">
      <c r="A67" s="7" t="s">
        <v>858</v>
      </c>
      <c r="B67" s="7" t="s">
        <v>265</v>
      </c>
      <c r="C67" s="7" t="s">
        <v>859</v>
      </c>
      <c r="D67" s="7" t="s">
        <v>820</v>
      </c>
      <c r="E67" s="7" t="s">
        <v>268</v>
      </c>
      <c r="F67" s="7" t="s">
        <v>297</v>
      </c>
      <c r="G67" s="7" t="s">
        <v>628</v>
      </c>
      <c r="H67" s="7" t="s">
        <v>115</v>
      </c>
      <c r="I67" s="7" t="s">
        <v>316</v>
      </c>
      <c r="J67" s="7" t="s">
        <v>469</v>
      </c>
      <c r="K67" s="7" t="s">
        <v>797</v>
      </c>
      <c r="L67" s="7" t="s">
        <v>860</v>
      </c>
      <c r="M67" s="7" t="s">
        <v>275</v>
      </c>
      <c r="N67" s="7" t="s">
        <v>304</v>
      </c>
      <c r="O67" s="7" t="s">
        <v>195</v>
      </c>
      <c r="P67" s="7" t="s">
        <v>14</v>
      </c>
      <c r="Q67" s="7" t="s">
        <v>326</v>
      </c>
      <c r="R67" s="7" t="s">
        <v>263</v>
      </c>
    </row>
    <row r="68" spans="1:18">
      <c r="A68" s="7" t="s">
        <v>294</v>
      </c>
      <c r="B68" s="7" t="s">
        <v>265</v>
      </c>
      <c r="C68" s="7" t="s">
        <v>295</v>
      </c>
      <c r="D68" s="7" t="s">
        <v>296</v>
      </c>
      <c r="E68" s="7" t="s">
        <v>281</v>
      </c>
      <c r="F68" s="7" t="s">
        <v>297</v>
      </c>
      <c r="G68" s="7" t="s">
        <v>298</v>
      </c>
      <c r="H68" s="7" t="s">
        <v>115</v>
      </c>
      <c r="I68" s="7" t="s">
        <v>299</v>
      </c>
      <c r="J68" s="7" t="s">
        <v>300</v>
      </c>
      <c r="K68" s="7" t="s">
        <v>301</v>
      </c>
      <c r="L68" s="7" t="s">
        <v>302</v>
      </c>
      <c r="M68" s="7" t="s">
        <v>303</v>
      </c>
      <c r="N68" s="7" t="s">
        <v>304</v>
      </c>
      <c r="O68" s="7" t="s">
        <v>195</v>
      </c>
      <c r="P68" s="7" t="s">
        <v>14</v>
      </c>
      <c r="Q68" s="7" t="s">
        <v>305</v>
      </c>
      <c r="R68" s="7" t="s">
        <v>263</v>
      </c>
    </row>
    <row r="69" spans="1:18">
      <c r="A69" s="7" t="s">
        <v>306</v>
      </c>
      <c r="B69" s="7" t="s">
        <v>307</v>
      </c>
      <c r="C69" s="7" t="s">
        <v>308</v>
      </c>
      <c r="D69" s="7" t="s">
        <v>309</v>
      </c>
      <c r="E69" s="7" t="s">
        <v>281</v>
      </c>
      <c r="F69" s="7" t="s">
        <v>297</v>
      </c>
      <c r="G69" s="7" t="s">
        <v>298</v>
      </c>
      <c r="H69" s="7" t="s">
        <v>115</v>
      </c>
      <c r="I69" s="7" t="s">
        <v>299</v>
      </c>
      <c r="J69" s="7" t="s">
        <v>259</v>
      </c>
      <c r="K69" s="7" t="s">
        <v>310</v>
      </c>
      <c r="L69" s="7" t="s">
        <v>311</v>
      </c>
      <c r="M69" s="7" t="s">
        <v>303</v>
      </c>
      <c r="N69" s="7" t="s">
        <v>304</v>
      </c>
      <c r="O69" s="7" t="s">
        <v>169</v>
      </c>
      <c r="P69" s="7" t="s">
        <v>17</v>
      </c>
      <c r="Q69" s="7" t="s">
        <v>285</v>
      </c>
      <c r="R69" s="7" t="s">
        <v>263</v>
      </c>
    </row>
    <row r="70" spans="1:18">
      <c r="A70" s="7" t="s">
        <v>366</v>
      </c>
      <c r="B70" s="7" t="s">
        <v>279</v>
      </c>
      <c r="C70" s="7" t="s">
        <v>265</v>
      </c>
      <c r="D70" s="7" t="s">
        <v>367</v>
      </c>
      <c r="E70" s="7" t="s">
        <v>281</v>
      </c>
      <c r="F70" s="7" t="s">
        <v>297</v>
      </c>
      <c r="G70" s="7" t="s">
        <v>368</v>
      </c>
      <c r="H70" s="7" t="s">
        <v>115</v>
      </c>
      <c r="I70" s="7" t="s">
        <v>271</v>
      </c>
      <c r="J70" s="7" t="s">
        <v>332</v>
      </c>
      <c r="K70" s="7" t="s">
        <v>369</v>
      </c>
      <c r="L70" s="7" t="s">
        <v>370</v>
      </c>
      <c r="M70" s="7" t="s">
        <v>275</v>
      </c>
      <c r="N70" s="7" t="s">
        <v>304</v>
      </c>
      <c r="O70" s="7" t="s">
        <v>195</v>
      </c>
      <c r="P70" s="7" t="s">
        <v>17</v>
      </c>
      <c r="Q70" s="7" t="s">
        <v>326</v>
      </c>
      <c r="R70" s="7" t="s">
        <v>263</v>
      </c>
    </row>
    <row r="71" spans="1:18">
      <c r="A71" s="7" t="s">
        <v>375</v>
      </c>
      <c r="B71" s="7" t="s">
        <v>252</v>
      </c>
      <c r="C71" s="7" t="s">
        <v>376</v>
      </c>
      <c r="D71" s="7" t="s">
        <v>377</v>
      </c>
      <c r="E71" s="7" t="s">
        <v>281</v>
      </c>
      <c r="F71" s="7" t="s">
        <v>297</v>
      </c>
      <c r="G71" s="7" t="s">
        <v>368</v>
      </c>
      <c r="H71" s="7" t="s">
        <v>115</v>
      </c>
      <c r="I71" s="7" t="s">
        <v>271</v>
      </c>
      <c r="J71" s="7" t="s">
        <v>358</v>
      </c>
      <c r="K71" s="7" t="s">
        <v>358</v>
      </c>
      <c r="L71" s="7" t="s">
        <v>378</v>
      </c>
      <c r="M71" s="7" t="s">
        <v>335</v>
      </c>
      <c r="N71" s="7" t="s">
        <v>304</v>
      </c>
      <c r="O71" s="7" t="s">
        <v>169</v>
      </c>
      <c r="P71" s="7" t="s">
        <v>17</v>
      </c>
      <c r="Q71" s="7" t="s">
        <v>305</v>
      </c>
      <c r="R71" s="7" t="s">
        <v>263</v>
      </c>
    </row>
    <row r="72" spans="1:18">
      <c r="A72" s="7" t="s">
        <v>578</v>
      </c>
      <c r="B72" s="7" t="s">
        <v>493</v>
      </c>
      <c r="C72" s="7" t="s">
        <v>474</v>
      </c>
      <c r="D72" s="7" t="s">
        <v>579</v>
      </c>
      <c r="E72" s="7" t="s">
        <v>281</v>
      </c>
      <c r="F72" s="7" t="s">
        <v>580</v>
      </c>
      <c r="G72" s="7" t="s">
        <v>298</v>
      </c>
      <c r="H72" s="7" t="s">
        <v>127</v>
      </c>
      <c r="I72" s="7" t="s">
        <v>299</v>
      </c>
      <c r="J72" s="7" t="s">
        <v>404</v>
      </c>
      <c r="K72" s="7"/>
      <c r="L72" s="7"/>
      <c r="M72" s="7" t="s">
        <v>260</v>
      </c>
      <c r="N72" s="7" t="s">
        <v>304</v>
      </c>
      <c r="O72" s="7" t="s">
        <v>195</v>
      </c>
      <c r="P72" s="7"/>
      <c r="Q72" s="7" t="s">
        <v>326</v>
      </c>
      <c r="R72" s="7" t="s">
        <v>263</v>
      </c>
    </row>
    <row r="73" spans="1:18">
      <c r="A73" s="7" t="s">
        <v>597</v>
      </c>
      <c r="B73" s="7" t="s">
        <v>265</v>
      </c>
      <c r="C73" s="7" t="s">
        <v>503</v>
      </c>
      <c r="D73" s="7" t="s">
        <v>289</v>
      </c>
      <c r="E73" s="7" t="s">
        <v>281</v>
      </c>
      <c r="F73" s="7" t="s">
        <v>297</v>
      </c>
      <c r="G73" s="7" t="s">
        <v>298</v>
      </c>
      <c r="H73" s="7" t="s">
        <v>115</v>
      </c>
      <c r="I73" s="7" t="s">
        <v>258</v>
      </c>
      <c r="J73" s="7" t="s">
        <v>529</v>
      </c>
      <c r="K73" s="7" t="s">
        <v>598</v>
      </c>
      <c r="L73" s="7" t="s">
        <v>599</v>
      </c>
      <c r="M73" s="7" t="s">
        <v>293</v>
      </c>
      <c r="N73" s="7" t="s">
        <v>304</v>
      </c>
      <c r="O73" s="7" t="s">
        <v>195</v>
      </c>
      <c r="P73" s="7" t="s">
        <v>14</v>
      </c>
      <c r="Q73" s="7" t="s">
        <v>326</v>
      </c>
      <c r="R73" s="7" t="s">
        <v>263</v>
      </c>
    </row>
    <row r="74" spans="1:18">
      <c r="A74" s="7" t="s">
        <v>842</v>
      </c>
      <c r="B74" s="7" t="s">
        <v>458</v>
      </c>
      <c r="C74" s="7" t="s">
        <v>376</v>
      </c>
      <c r="D74" s="7" t="s">
        <v>843</v>
      </c>
      <c r="E74" s="7" t="s">
        <v>281</v>
      </c>
      <c r="F74" s="7" t="s">
        <v>297</v>
      </c>
      <c r="G74" s="7" t="s">
        <v>298</v>
      </c>
      <c r="H74" s="7" t="s">
        <v>122</v>
      </c>
      <c r="I74" s="7" t="s">
        <v>299</v>
      </c>
      <c r="J74" s="7" t="s">
        <v>346</v>
      </c>
      <c r="K74" s="7"/>
      <c r="L74" s="7"/>
      <c r="M74" s="7" t="s">
        <v>260</v>
      </c>
      <c r="N74" s="7" t="s">
        <v>304</v>
      </c>
      <c r="O74" s="7" t="s">
        <v>195</v>
      </c>
      <c r="P74" s="7"/>
      <c r="Q74" s="7" t="s">
        <v>318</v>
      </c>
      <c r="R74" s="7" t="s">
        <v>263</v>
      </c>
    </row>
    <row r="75" spans="1:18">
      <c r="A75" s="7" t="s">
        <v>874</v>
      </c>
      <c r="B75" s="7" t="s">
        <v>265</v>
      </c>
      <c r="C75" s="7" t="s">
        <v>606</v>
      </c>
      <c r="D75" s="7" t="s">
        <v>875</v>
      </c>
      <c r="E75" s="7" t="s">
        <v>281</v>
      </c>
      <c r="F75" s="7" t="s">
        <v>297</v>
      </c>
      <c r="G75" s="7" t="s">
        <v>298</v>
      </c>
      <c r="H75" s="7" t="s">
        <v>122</v>
      </c>
      <c r="I75" s="7" t="s">
        <v>271</v>
      </c>
      <c r="J75" s="7" t="s">
        <v>341</v>
      </c>
      <c r="K75" s="7"/>
      <c r="L75" s="7"/>
      <c r="M75" s="7" t="s">
        <v>260</v>
      </c>
      <c r="N75" s="7" t="s">
        <v>304</v>
      </c>
      <c r="O75" s="7" t="s">
        <v>195</v>
      </c>
      <c r="P75" s="7"/>
      <c r="Q75" s="7" t="s">
        <v>326</v>
      </c>
      <c r="R75" s="7" t="s">
        <v>263</v>
      </c>
    </row>
    <row r="76" spans="1:18">
      <c r="A76" s="7" t="s">
        <v>306</v>
      </c>
      <c r="B76" s="7" t="s">
        <v>307</v>
      </c>
      <c r="C76" s="7" t="s">
        <v>308</v>
      </c>
      <c r="D76" s="7" t="s">
        <v>309</v>
      </c>
      <c r="E76" s="7" t="s">
        <v>281</v>
      </c>
      <c r="F76" s="7" t="s">
        <v>297</v>
      </c>
      <c r="G76" s="7" t="s">
        <v>298</v>
      </c>
      <c r="H76" s="7" t="s">
        <v>115</v>
      </c>
      <c r="I76" s="7" t="s">
        <v>299</v>
      </c>
      <c r="J76" s="7" t="s">
        <v>259</v>
      </c>
      <c r="K76" s="7" t="s">
        <v>310</v>
      </c>
      <c r="L76" s="7" t="s">
        <v>311</v>
      </c>
      <c r="M76" s="7" t="s">
        <v>303</v>
      </c>
      <c r="N76" s="7" t="s">
        <v>304</v>
      </c>
      <c r="O76" s="7" t="s">
        <v>169</v>
      </c>
      <c r="P76" s="7" t="s">
        <v>17</v>
      </c>
      <c r="Q76" s="7" t="s">
        <v>285</v>
      </c>
      <c r="R76" s="7" t="s">
        <v>263</v>
      </c>
    </row>
    <row r="77" spans="1:18">
      <c r="A77" s="7" t="s">
        <v>567</v>
      </c>
      <c r="B77" s="7" t="s">
        <v>406</v>
      </c>
      <c r="C77" s="7" t="s">
        <v>313</v>
      </c>
      <c r="D77" s="7" t="s">
        <v>568</v>
      </c>
      <c r="E77" s="7" t="s">
        <v>339</v>
      </c>
      <c r="F77" s="7" t="s">
        <v>297</v>
      </c>
      <c r="G77" s="7" t="s">
        <v>569</v>
      </c>
      <c r="H77" s="7" t="s">
        <v>115</v>
      </c>
      <c r="I77" s="7" t="s">
        <v>271</v>
      </c>
      <c r="J77" s="7" t="s">
        <v>351</v>
      </c>
      <c r="K77" s="7" t="s">
        <v>570</v>
      </c>
      <c r="L77" s="7" t="s">
        <v>571</v>
      </c>
      <c r="M77" s="7" t="s">
        <v>303</v>
      </c>
      <c r="N77" s="7" t="s">
        <v>304</v>
      </c>
      <c r="O77" s="7" t="s">
        <v>195</v>
      </c>
      <c r="P77" s="7" t="s">
        <v>14</v>
      </c>
      <c r="Q77" s="7" t="s">
        <v>318</v>
      </c>
      <c r="R77" s="7" t="s">
        <v>263</v>
      </c>
    </row>
    <row r="78" spans="1:18">
      <c r="A78" s="7" t="s">
        <v>714</v>
      </c>
      <c r="B78" s="7" t="s">
        <v>355</v>
      </c>
      <c r="C78" s="7" t="s">
        <v>503</v>
      </c>
      <c r="D78" s="7" t="s">
        <v>715</v>
      </c>
      <c r="E78" s="7" t="s">
        <v>339</v>
      </c>
      <c r="F78" s="7" t="s">
        <v>297</v>
      </c>
      <c r="G78" s="7" t="s">
        <v>569</v>
      </c>
      <c r="H78" s="7" t="s">
        <v>122</v>
      </c>
      <c r="I78" s="7" t="s">
        <v>299</v>
      </c>
      <c r="J78" s="7" t="s">
        <v>351</v>
      </c>
      <c r="K78" s="7"/>
      <c r="L78" s="7"/>
      <c r="M78" s="7" t="s">
        <v>260</v>
      </c>
      <c r="N78" s="7" t="s">
        <v>304</v>
      </c>
      <c r="O78" s="7" t="s">
        <v>195</v>
      </c>
      <c r="P78" s="7"/>
      <c r="Q78" s="7" t="s">
        <v>305</v>
      </c>
      <c r="R78" s="7" t="s">
        <v>263</v>
      </c>
    </row>
    <row r="79" spans="1:18">
      <c r="A79" s="7" t="s">
        <v>744</v>
      </c>
      <c r="B79" s="7" t="s">
        <v>356</v>
      </c>
      <c r="C79" s="7" t="s">
        <v>485</v>
      </c>
      <c r="D79" s="7" t="s">
        <v>691</v>
      </c>
      <c r="E79" s="7" t="s">
        <v>339</v>
      </c>
      <c r="F79" s="7" t="s">
        <v>297</v>
      </c>
      <c r="G79" s="7" t="s">
        <v>569</v>
      </c>
      <c r="H79" s="7" t="s">
        <v>115</v>
      </c>
      <c r="I79" s="7" t="s">
        <v>271</v>
      </c>
      <c r="J79" s="7" t="s">
        <v>404</v>
      </c>
      <c r="K79" s="7" t="s">
        <v>745</v>
      </c>
      <c r="L79" s="7" t="s">
        <v>746</v>
      </c>
      <c r="M79" s="7" t="s">
        <v>303</v>
      </c>
      <c r="N79" s="7" t="s">
        <v>304</v>
      </c>
      <c r="O79" s="7" t="s">
        <v>169</v>
      </c>
      <c r="P79" s="7" t="s">
        <v>17</v>
      </c>
      <c r="Q79" s="7" t="s">
        <v>305</v>
      </c>
      <c r="R79" s="7" t="s">
        <v>263</v>
      </c>
    </row>
    <row r="80" spans="1:18">
      <c r="A80" s="7" t="s">
        <v>778</v>
      </c>
      <c r="B80" s="7" t="s">
        <v>407</v>
      </c>
      <c r="C80" s="7" t="s">
        <v>308</v>
      </c>
      <c r="D80" s="7" t="s">
        <v>779</v>
      </c>
      <c r="E80" s="7" t="s">
        <v>339</v>
      </c>
      <c r="F80" s="7" t="s">
        <v>580</v>
      </c>
      <c r="G80" s="7" t="s">
        <v>780</v>
      </c>
      <c r="H80" s="7" t="s">
        <v>115</v>
      </c>
      <c r="I80" s="7" t="s">
        <v>299</v>
      </c>
      <c r="J80" s="7" t="s">
        <v>447</v>
      </c>
      <c r="K80" s="7" t="s">
        <v>625</v>
      </c>
      <c r="L80" s="7" t="s">
        <v>743</v>
      </c>
      <c r="M80" s="7" t="s">
        <v>293</v>
      </c>
      <c r="N80" s="7" t="s">
        <v>304</v>
      </c>
      <c r="O80" s="7" t="s">
        <v>169</v>
      </c>
      <c r="P80" s="7" t="s">
        <v>11</v>
      </c>
      <c r="Q80" s="7" t="s">
        <v>262</v>
      </c>
      <c r="R80" s="7" t="s">
        <v>263</v>
      </c>
    </row>
    <row r="81" spans="1:18">
      <c r="A81" s="7" t="s">
        <v>821</v>
      </c>
      <c r="B81" s="7" t="s">
        <v>396</v>
      </c>
      <c r="C81" s="7" t="s">
        <v>822</v>
      </c>
      <c r="D81" s="7" t="s">
        <v>823</v>
      </c>
      <c r="E81" s="7" t="s">
        <v>339</v>
      </c>
      <c r="F81" s="7" t="s">
        <v>297</v>
      </c>
      <c r="G81" s="7" t="s">
        <v>569</v>
      </c>
      <c r="H81" s="7" t="s">
        <v>115</v>
      </c>
      <c r="I81" s="7" t="s">
        <v>299</v>
      </c>
      <c r="J81" s="7" t="s">
        <v>323</v>
      </c>
      <c r="K81" s="7" t="s">
        <v>824</v>
      </c>
      <c r="L81" s="7" t="s">
        <v>825</v>
      </c>
      <c r="M81" s="7" t="s">
        <v>604</v>
      </c>
      <c r="N81" s="7" t="s">
        <v>304</v>
      </c>
      <c r="O81" s="7" t="s">
        <v>195</v>
      </c>
      <c r="P81" s="7" t="s">
        <v>14</v>
      </c>
      <c r="Q81" s="7" t="s">
        <v>326</v>
      </c>
      <c r="R81" s="7" t="s">
        <v>263</v>
      </c>
    </row>
    <row r="82" spans="1:18">
      <c r="A82" s="7" t="s">
        <v>850</v>
      </c>
      <c r="B82" s="7" t="s">
        <v>278</v>
      </c>
      <c r="C82" s="7" t="s">
        <v>591</v>
      </c>
      <c r="D82" s="7" t="s">
        <v>851</v>
      </c>
      <c r="E82" s="7" t="s">
        <v>339</v>
      </c>
      <c r="F82" s="7" t="s">
        <v>297</v>
      </c>
      <c r="G82" s="7" t="s">
        <v>780</v>
      </c>
      <c r="H82" s="7" t="s">
        <v>466</v>
      </c>
      <c r="I82" s="7" t="s">
        <v>258</v>
      </c>
      <c r="J82" s="7" t="s">
        <v>399</v>
      </c>
      <c r="K82" s="7"/>
      <c r="L82" s="7"/>
      <c r="M82" s="7" t="s">
        <v>260</v>
      </c>
      <c r="N82" s="7" t="s">
        <v>304</v>
      </c>
      <c r="O82" s="7" t="s">
        <v>169</v>
      </c>
      <c r="P82" s="7"/>
      <c r="Q82" s="7" t="s">
        <v>305</v>
      </c>
      <c r="R82" s="7" t="s">
        <v>263</v>
      </c>
    </row>
    <row r="83" spans="1:18">
      <c r="A83" s="7" t="s">
        <v>856</v>
      </c>
      <c r="B83" s="7" t="s">
        <v>621</v>
      </c>
      <c r="C83" s="7" t="s">
        <v>401</v>
      </c>
      <c r="D83" s="7" t="s">
        <v>857</v>
      </c>
      <c r="E83" s="7" t="s">
        <v>339</v>
      </c>
      <c r="F83" s="7" t="s">
        <v>297</v>
      </c>
      <c r="G83" s="7" t="s">
        <v>780</v>
      </c>
      <c r="H83" s="7" t="s">
        <v>115</v>
      </c>
      <c r="I83" s="7" t="s">
        <v>271</v>
      </c>
      <c r="J83" s="7" t="s">
        <v>323</v>
      </c>
      <c r="K83" s="7" t="s">
        <v>811</v>
      </c>
      <c r="L83" s="7" t="s">
        <v>462</v>
      </c>
      <c r="M83" s="7" t="s">
        <v>303</v>
      </c>
      <c r="N83" s="7" t="s">
        <v>304</v>
      </c>
      <c r="O83" s="7" t="s">
        <v>195</v>
      </c>
      <c r="P83" s="7" t="s">
        <v>8</v>
      </c>
      <c r="Q83" s="7" t="s">
        <v>262</v>
      </c>
      <c r="R83" s="7" t="s">
        <v>263</v>
      </c>
    </row>
    <row r="84" spans="1:18">
      <c r="A84" s="7" t="s">
        <v>867</v>
      </c>
      <c r="B84" s="7" t="s">
        <v>493</v>
      </c>
      <c r="C84" s="7" t="s">
        <v>459</v>
      </c>
      <c r="D84" s="7" t="s">
        <v>727</v>
      </c>
      <c r="E84" s="7" t="s">
        <v>339</v>
      </c>
      <c r="F84" s="7" t="s">
        <v>297</v>
      </c>
      <c r="G84" s="7" t="s">
        <v>780</v>
      </c>
      <c r="H84" s="7" t="s">
        <v>122</v>
      </c>
      <c r="I84" s="7" t="s">
        <v>271</v>
      </c>
      <c r="J84" s="7" t="s">
        <v>300</v>
      </c>
      <c r="K84" s="7"/>
      <c r="L84" s="7"/>
      <c r="M84" s="7" t="s">
        <v>260</v>
      </c>
      <c r="N84" s="7" t="s">
        <v>304</v>
      </c>
      <c r="O84" s="7" t="s">
        <v>195</v>
      </c>
      <c r="P84" s="7"/>
      <c r="Q84" s="7" t="s">
        <v>318</v>
      </c>
      <c r="R84" s="7" t="s">
        <v>263</v>
      </c>
    </row>
    <row r="85" spans="1:18">
      <c r="A85" s="7" t="s">
        <v>327</v>
      </c>
      <c r="B85" s="7" t="s">
        <v>328</v>
      </c>
      <c r="C85" s="7" t="s">
        <v>329</v>
      </c>
      <c r="D85" s="7" t="s">
        <v>330</v>
      </c>
      <c r="E85" s="7" t="s">
        <v>255</v>
      </c>
      <c r="F85" s="7" t="s">
        <v>297</v>
      </c>
      <c r="G85" s="7" t="s">
        <v>331</v>
      </c>
      <c r="H85" s="7" t="s">
        <v>115</v>
      </c>
      <c r="I85" s="7" t="s">
        <v>316</v>
      </c>
      <c r="J85" s="7" t="s">
        <v>332</v>
      </c>
      <c r="K85" s="7" t="s">
        <v>333</v>
      </c>
      <c r="L85" s="7" t="s">
        <v>334</v>
      </c>
      <c r="M85" s="7" t="s">
        <v>335</v>
      </c>
      <c r="N85" s="7" t="s">
        <v>304</v>
      </c>
      <c r="O85" s="7" t="s">
        <v>195</v>
      </c>
      <c r="P85" s="7" t="s">
        <v>17</v>
      </c>
      <c r="Q85" s="7" t="s">
        <v>305</v>
      </c>
      <c r="R85" s="7" t="s">
        <v>263</v>
      </c>
    </row>
    <row r="86" spans="1:18">
      <c r="A86" s="7" t="s">
        <v>354</v>
      </c>
      <c r="B86" s="7" t="s">
        <v>355</v>
      </c>
      <c r="C86" s="7" t="s">
        <v>356</v>
      </c>
      <c r="D86" s="7" t="s">
        <v>357</v>
      </c>
      <c r="E86" s="7" t="s">
        <v>255</v>
      </c>
      <c r="F86" s="7" t="s">
        <v>297</v>
      </c>
      <c r="G86" s="7" t="s">
        <v>331</v>
      </c>
      <c r="H86" s="7" t="s">
        <v>115</v>
      </c>
      <c r="I86" s="7" t="s">
        <v>271</v>
      </c>
      <c r="J86" s="7" t="s">
        <v>358</v>
      </c>
      <c r="K86" s="7" t="s">
        <v>359</v>
      </c>
      <c r="L86" s="7" t="s">
        <v>360</v>
      </c>
      <c r="M86" s="7" t="s">
        <v>293</v>
      </c>
      <c r="N86" s="7" t="s">
        <v>304</v>
      </c>
      <c r="O86" s="7" t="s">
        <v>169</v>
      </c>
      <c r="P86" s="7" t="s">
        <v>14</v>
      </c>
      <c r="Q86" s="7" t="s">
        <v>262</v>
      </c>
      <c r="R86" s="7" t="s">
        <v>263</v>
      </c>
    </row>
    <row r="87" spans="1:18">
      <c r="A87" s="7" t="s">
        <v>572</v>
      </c>
      <c r="B87" s="7" t="s">
        <v>573</v>
      </c>
      <c r="C87" s="7" t="s">
        <v>574</v>
      </c>
      <c r="D87" s="7" t="s">
        <v>575</v>
      </c>
      <c r="E87" s="7" t="s">
        <v>255</v>
      </c>
      <c r="F87" s="7" t="s">
        <v>297</v>
      </c>
      <c r="G87" s="7" t="s">
        <v>331</v>
      </c>
      <c r="H87" s="7" t="s">
        <v>122</v>
      </c>
      <c r="I87" s="7" t="s">
        <v>299</v>
      </c>
      <c r="J87" s="7" t="s">
        <v>447</v>
      </c>
      <c r="K87" s="7"/>
      <c r="L87" s="7"/>
      <c r="M87" s="7" t="s">
        <v>260</v>
      </c>
      <c r="N87" s="7" t="s">
        <v>304</v>
      </c>
      <c r="O87" s="7" t="s">
        <v>195</v>
      </c>
      <c r="P87" s="7"/>
      <c r="Q87" s="7" t="s">
        <v>262</v>
      </c>
      <c r="R87" s="7" t="s">
        <v>263</v>
      </c>
    </row>
    <row r="88" spans="1:18">
      <c r="A88" s="7" t="s">
        <v>637</v>
      </c>
      <c r="B88" s="7" t="s">
        <v>458</v>
      </c>
      <c r="C88" s="7" t="s">
        <v>253</v>
      </c>
      <c r="D88" s="7" t="s">
        <v>638</v>
      </c>
      <c r="E88" s="7" t="s">
        <v>255</v>
      </c>
      <c r="F88" s="7" t="s">
        <v>297</v>
      </c>
      <c r="G88" s="7" t="s">
        <v>639</v>
      </c>
      <c r="H88" s="7" t="s">
        <v>115</v>
      </c>
      <c r="I88" s="7" t="s">
        <v>299</v>
      </c>
      <c r="J88" s="7" t="s">
        <v>469</v>
      </c>
      <c r="K88" s="7" t="s">
        <v>640</v>
      </c>
      <c r="L88" s="7" t="s">
        <v>640</v>
      </c>
      <c r="M88" s="7" t="s">
        <v>303</v>
      </c>
      <c r="N88" s="7" t="s">
        <v>304</v>
      </c>
      <c r="O88" s="7" t="s">
        <v>169</v>
      </c>
      <c r="P88" s="7" t="s">
        <v>14</v>
      </c>
      <c r="Q88" s="7" t="s">
        <v>326</v>
      </c>
      <c r="R88" s="7" t="s">
        <v>263</v>
      </c>
    </row>
    <row r="89" spans="1:18">
      <c r="A89" s="7" t="s">
        <v>809</v>
      </c>
      <c r="B89" s="7" t="s">
        <v>278</v>
      </c>
      <c r="C89" s="7" t="s">
        <v>646</v>
      </c>
      <c r="D89" s="7" t="s">
        <v>504</v>
      </c>
      <c r="E89" s="7" t="s">
        <v>255</v>
      </c>
      <c r="F89" s="7" t="s">
        <v>297</v>
      </c>
      <c r="G89" s="7" t="s">
        <v>639</v>
      </c>
      <c r="H89" s="7" t="s">
        <v>115</v>
      </c>
      <c r="I89" s="7" t="s">
        <v>271</v>
      </c>
      <c r="J89" s="7" t="s">
        <v>323</v>
      </c>
      <c r="K89" s="7" t="s">
        <v>810</v>
      </c>
      <c r="L89" s="7" t="s">
        <v>811</v>
      </c>
      <c r="M89" s="7" t="s">
        <v>293</v>
      </c>
      <c r="N89" s="7" t="s">
        <v>304</v>
      </c>
      <c r="O89" s="7" t="s">
        <v>195</v>
      </c>
      <c r="P89" s="7" t="s">
        <v>17</v>
      </c>
      <c r="Q89" s="7" t="s">
        <v>262</v>
      </c>
      <c r="R89" s="7" t="s">
        <v>263</v>
      </c>
    </row>
    <row r="90" spans="1:18">
      <c r="A90" s="7" t="s">
        <v>826</v>
      </c>
      <c r="B90" s="7" t="s">
        <v>730</v>
      </c>
      <c r="C90" s="7" t="s">
        <v>313</v>
      </c>
      <c r="D90" s="7" t="s">
        <v>377</v>
      </c>
      <c r="E90" s="7" t="s">
        <v>255</v>
      </c>
      <c r="F90" s="7" t="s">
        <v>297</v>
      </c>
      <c r="G90" s="7" t="s">
        <v>331</v>
      </c>
      <c r="H90" s="7" t="s">
        <v>115</v>
      </c>
      <c r="I90" s="7" t="s">
        <v>316</v>
      </c>
      <c r="J90" s="7" t="s">
        <v>351</v>
      </c>
      <c r="K90" s="7" t="s">
        <v>827</v>
      </c>
      <c r="L90" s="7" t="s">
        <v>828</v>
      </c>
      <c r="M90" s="7" t="s">
        <v>275</v>
      </c>
      <c r="N90" s="7" t="s">
        <v>304</v>
      </c>
      <c r="O90" s="7" t="s">
        <v>195</v>
      </c>
      <c r="P90" s="7" t="s">
        <v>17</v>
      </c>
      <c r="Q90" s="7" t="s">
        <v>326</v>
      </c>
      <c r="R90" s="7" t="s">
        <v>263</v>
      </c>
    </row>
    <row r="91" spans="1:18">
      <c r="A91" s="7" t="s">
        <v>502</v>
      </c>
      <c r="B91" s="7" t="s">
        <v>406</v>
      </c>
      <c r="C91" s="7" t="s">
        <v>503</v>
      </c>
      <c r="D91" s="7" t="s">
        <v>504</v>
      </c>
      <c r="E91" s="7" t="s">
        <v>268</v>
      </c>
      <c r="F91" s="7" t="s">
        <v>282</v>
      </c>
      <c r="G91" s="7" t="s">
        <v>505</v>
      </c>
      <c r="H91" s="7" t="s">
        <v>115</v>
      </c>
      <c r="I91" s="7" t="s">
        <v>299</v>
      </c>
      <c r="J91" s="7" t="s">
        <v>259</v>
      </c>
      <c r="K91" s="7" t="s">
        <v>437</v>
      </c>
      <c r="L91" s="7" t="s">
        <v>382</v>
      </c>
      <c r="M91" s="7" t="s">
        <v>275</v>
      </c>
      <c r="N91" s="7" t="s">
        <v>284</v>
      </c>
      <c r="O91" s="7" t="s">
        <v>195</v>
      </c>
      <c r="P91" s="7" t="s">
        <v>14</v>
      </c>
      <c r="Q91" s="7" t="s">
        <v>326</v>
      </c>
      <c r="R91" s="7" t="s">
        <v>263</v>
      </c>
    </row>
    <row r="92" spans="1:18">
      <c r="A92" s="7" t="s">
        <v>521</v>
      </c>
      <c r="B92" s="7" t="s">
        <v>522</v>
      </c>
      <c r="C92" s="7" t="s">
        <v>307</v>
      </c>
      <c r="D92" s="7" t="s">
        <v>523</v>
      </c>
      <c r="E92" s="7" t="s">
        <v>268</v>
      </c>
      <c r="F92" s="7" t="s">
        <v>282</v>
      </c>
      <c r="G92" s="7" t="s">
        <v>524</v>
      </c>
      <c r="H92" s="7" t="s">
        <v>122</v>
      </c>
      <c r="I92" s="7" t="s">
        <v>271</v>
      </c>
      <c r="J92" s="7" t="s">
        <v>525</v>
      </c>
      <c r="K92" s="7"/>
      <c r="L92" s="7"/>
      <c r="M92" s="7" t="s">
        <v>260</v>
      </c>
      <c r="N92" s="7" t="s">
        <v>284</v>
      </c>
      <c r="O92" s="7" t="s">
        <v>195</v>
      </c>
      <c r="P92" s="7"/>
      <c r="Q92" s="7" t="s">
        <v>326</v>
      </c>
      <c r="R92" s="7" t="s">
        <v>263</v>
      </c>
    </row>
    <row r="93" spans="1:18">
      <c r="A93" s="7" t="s">
        <v>680</v>
      </c>
      <c r="B93" s="7" t="s">
        <v>464</v>
      </c>
      <c r="C93" s="7" t="s">
        <v>681</v>
      </c>
      <c r="D93" s="7" t="s">
        <v>682</v>
      </c>
      <c r="E93" s="7" t="s">
        <v>268</v>
      </c>
      <c r="F93" s="7" t="s">
        <v>282</v>
      </c>
      <c r="G93" s="7" t="s">
        <v>524</v>
      </c>
      <c r="H93" s="7" t="s">
        <v>115</v>
      </c>
      <c r="I93" s="7" t="s">
        <v>258</v>
      </c>
      <c r="J93" s="7" t="s">
        <v>300</v>
      </c>
      <c r="K93" s="7" t="s">
        <v>683</v>
      </c>
      <c r="L93" s="7" t="s">
        <v>554</v>
      </c>
      <c r="M93" s="7" t="s">
        <v>303</v>
      </c>
      <c r="N93" s="7" t="s">
        <v>284</v>
      </c>
      <c r="O93" s="7" t="s">
        <v>195</v>
      </c>
      <c r="P93" s="7" t="s">
        <v>11</v>
      </c>
      <c r="Q93" s="7" t="s">
        <v>285</v>
      </c>
      <c r="R93" s="7" t="s">
        <v>263</v>
      </c>
    </row>
    <row r="94" spans="1:18">
      <c r="A94" s="7" t="s">
        <v>687</v>
      </c>
      <c r="B94" s="7" t="s">
        <v>287</v>
      </c>
      <c r="C94" s="7" t="s">
        <v>449</v>
      </c>
      <c r="D94" s="7" t="s">
        <v>372</v>
      </c>
      <c r="E94" s="7" t="s">
        <v>268</v>
      </c>
      <c r="F94" s="7" t="s">
        <v>282</v>
      </c>
      <c r="G94" s="7" t="s">
        <v>505</v>
      </c>
      <c r="H94" s="7" t="s">
        <v>115</v>
      </c>
      <c r="I94" s="7" t="s">
        <v>271</v>
      </c>
      <c r="J94" s="7" t="s">
        <v>351</v>
      </c>
      <c r="K94" s="7" t="s">
        <v>688</v>
      </c>
      <c r="L94" s="7" t="s">
        <v>689</v>
      </c>
      <c r="M94" s="7" t="s">
        <v>293</v>
      </c>
      <c r="N94" s="7" t="s">
        <v>284</v>
      </c>
      <c r="O94" s="7" t="s">
        <v>195</v>
      </c>
      <c r="P94" s="7" t="s">
        <v>11</v>
      </c>
      <c r="Q94" s="7" t="s">
        <v>285</v>
      </c>
      <c r="R94" s="7" t="s">
        <v>263</v>
      </c>
    </row>
    <row r="95" spans="1:18">
      <c r="A95" s="7" t="s">
        <v>693</v>
      </c>
      <c r="B95" s="7" t="s">
        <v>266</v>
      </c>
      <c r="C95" s="7" t="s">
        <v>380</v>
      </c>
      <c r="D95" s="7" t="s">
        <v>694</v>
      </c>
      <c r="E95" s="7" t="s">
        <v>268</v>
      </c>
      <c r="F95" s="7" t="s">
        <v>282</v>
      </c>
      <c r="G95" s="7" t="s">
        <v>524</v>
      </c>
      <c r="H95" s="7" t="s">
        <v>127</v>
      </c>
      <c r="I95" s="7" t="s">
        <v>258</v>
      </c>
      <c r="J95" s="7" t="s">
        <v>351</v>
      </c>
      <c r="K95" s="7"/>
      <c r="L95" s="7"/>
      <c r="M95" s="7" t="s">
        <v>260</v>
      </c>
      <c r="N95" s="7" t="s">
        <v>284</v>
      </c>
      <c r="O95" s="7" t="s">
        <v>195</v>
      </c>
      <c r="P95" s="7"/>
      <c r="Q95" s="7" t="s">
        <v>262</v>
      </c>
      <c r="R95" s="7" t="s">
        <v>263</v>
      </c>
    </row>
    <row r="96" spans="1:18">
      <c r="A96" s="7" t="s">
        <v>758</v>
      </c>
      <c r="B96" s="7" t="s">
        <v>314</v>
      </c>
      <c r="C96" s="7" t="s">
        <v>614</v>
      </c>
      <c r="D96" s="7" t="s">
        <v>759</v>
      </c>
      <c r="E96" s="7" t="s">
        <v>268</v>
      </c>
      <c r="F96" s="7" t="s">
        <v>282</v>
      </c>
      <c r="G96" s="7" t="s">
        <v>505</v>
      </c>
      <c r="H96" s="7" t="s">
        <v>115</v>
      </c>
      <c r="I96" s="7" t="s">
        <v>316</v>
      </c>
      <c r="J96" s="7" t="s">
        <v>404</v>
      </c>
      <c r="K96" s="7" t="s">
        <v>760</v>
      </c>
      <c r="L96" s="7" t="s">
        <v>761</v>
      </c>
      <c r="M96" s="7" t="s">
        <v>303</v>
      </c>
      <c r="N96" s="7" t="s">
        <v>284</v>
      </c>
      <c r="O96" s="7" t="s">
        <v>169</v>
      </c>
      <c r="P96" s="7" t="s">
        <v>11</v>
      </c>
      <c r="Q96" s="7" t="s">
        <v>318</v>
      </c>
      <c r="R96" s="7" t="s">
        <v>263</v>
      </c>
    </row>
    <row r="97" spans="1:18">
      <c r="A97" s="7" t="s">
        <v>863</v>
      </c>
      <c r="B97" s="7" t="s">
        <v>279</v>
      </c>
      <c r="C97" s="7" t="s">
        <v>314</v>
      </c>
      <c r="D97" s="7" t="s">
        <v>795</v>
      </c>
      <c r="E97" s="7" t="s">
        <v>268</v>
      </c>
      <c r="F97" s="7" t="s">
        <v>282</v>
      </c>
      <c r="G97" s="7" t="s">
        <v>524</v>
      </c>
      <c r="H97" s="7" t="s">
        <v>115</v>
      </c>
      <c r="I97" s="7" t="s">
        <v>271</v>
      </c>
      <c r="J97" s="7" t="s">
        <v>341</v>
      </c>
      <c r="K97" s="7" t="s">
        <v>840</v>
      </c>
      <c r="L97" s="7" t="s">
        <v>643</v>
      </c>
      <c r="M97" s="7" t="s">
        <v>335</v>
      </c>
      <c r="N97" s="7"/>
      <c r="O97" s="7" t="s">
        <v>195</v>
      </c>
      <c r="P97" s="7" t="s">
        <v>17</v>
      </c>
      <c r="Q97" s="7" t="s">
        <v>262</v>
      </c>
      <c r="R97" s="7" t="s">
        <v>263</v>
      </c>
    </row>
    <row r="98" spans="1:18">
      <c r="A98" s="7" t="s">
        <v>871</v>
      </c>
      <c r="B98" s="7" t="s">
        <v>417</v>
      </c>
      <c r="C98" s="7" t="s">
        <v>459</v>
      </c>
      <c r="D98" s="7" t="s">
        <v>872</v>
      </c>
      <c r="E98" s="7" t="s">
        <v>268</v>
      </c>
      <c r="F98" s="7" t="s">
        <v>282</v>
      </c>
      <c r="G98" s="7" t="s">
        <v>505</v>
      </c>
      <c r="H98" s="7" t="s">
        <v>115</v>
      </c>
      <c r="I98" s="7" t="s">
        <v>299</v>
      </c>
      <c r="J98" s="7" t="s">
        <v>392</v>
      </c>
      <c r="K98" s="7" t="s">
        <v>873</v>
      </c>
      <c r="L98" s="7" t="s">
        <v>411</v>
      </c>
      <c r="M98" s="7" t="s">
        <v>335</v>
      </c>
      <c r="N98" s="7" t="s">
        <v>284</v>
      </c>
      <c r="O98" s="7" t="s">
        <v>169</v>
      </c>
      <c r="P98" s="7" t="s">
        <v>14</v>
      </c>
      <c r="Q98" s="7" t="s">
        <v>262</v>
      </c>
      <c r="R98" s="7" t="s">
        <v>263</v>
      </c>
    </row>
    <row r="99" spans="1:18">
      <c r="A99" s="7" t="s">
        <v>277</v>
      </c>
      <c r="B99" s="7" t="s">
        <v>278</v>
      </c>
      <c r="C99" s="7" t="s">
        <v>279</v>
      </c>
      <c r="D99" s="7" t="s">
        <v>280</v>
      </c>
      <c r="E99" s="7" t="s">
        <v>281</v>
      </c>
      <c r="F99" s="7" t="s">
        <v>282</v>
      </c>
      <c r="G99" s="7" t="s">
        <v>283</v>
      </c>
      <c r="H99" s="7" t="s">
        <v>127</v>
      </c>
      <c r="I99" s="7" t="s">
        <v>271</v>
      </c>
      <c r="J99" s="7" t="s">
        <v>272</v>
      </c>
      <c r="K99" s="7"/>
      <c r="L99" s="7"/>
      <c r="M99" s="7" t="s">
        <v>260</v>
      </c>
      <c r="N99" s="7" t="s">
        <v>284</v>
      </c>
      <c r="O99" s="7" t="s">
        <v>195</v>
      </c>
      <c r="P99" s="7"/>
      <c r="Q99" s="7" t="s">
        <v>285</v>
      </c>
      <c r="R99" s="7" t="s">
        <v>263</v>
      </c>
    </row>
    <row r="100" spans="1:18">
      <c r="A100" s="7" t="s">
        <v>348</v>
      </c>
      <c r="B100" s="7" t="s">
        <v>265</v>
      </c>
      <c r="C100" s="7" t="s">
        <v>349</v>
      </c>
      <c r="D100" s="7" t="s">
        <v>350</v>
      </c>
      <c r="E100" s="7" t="s">
        <v>281</v>
      </c>
      <c r="F100" s="7" t="s">
        <v>282</v>
      </c>
      <c r="G100" s="7" t="s">
        <v>283</v>
      </c>
      <c r="H100" s="7" t="s">
        <v>115</v>
      </c>
      <c r="I100" s="7" t="s">
        <v>316</v>
      </c>
      <c r="J100" s="7" t="s">
        <v>351</v>
      </c>
      <c r="K100" s="7" t="s">
        <v>352</v>
      </c>
      <c r="L100" s="7" t="s">
        <v>353</v>
      </c>
      <c r="M100" s="7" t="s">
        <v>303</v>
      </c>
      <c r="N100" s="7" t="s">
        <v>284</v>
      </c>
      <c r="O100" s="7" t="s">
        <v>195</v>
      </c>
      <c r="P100" s="7" t="s">
        <v>17</v>
      </c>
      <c r="Q100" s="7" t="s">
        <v>318</v>
      </c>
      <c r="R100" s="7" t="s">
        <v>263</v>
      </c>
    </row>
    <row r="101" spans="1:18">
      <c r="A101" s="7" t="s">
        <v>384</v>
      </c>
      <c r="B101" s="7" t="s">
        <v>356</v>
      </c>
      <c r="C101" s="7" t="s">
        <v>385</v>
      </c>
      <c r="D101" s="7" t="s">
        <v>386</v>
      </c>
      <c r="E101" s="7" t="s">
        <v>281</v>
      </c>
      <c r="F101" s="7" t="s">
        <v>282</v>
      </c>
      <c r="G101" s="7" t="s">
        <v>283</v>
      </c>
      <c r="H101" s="7" t="s">
        <v>122</v>
      </c>
      <c r="I101" s="7" t="s">
        <v>271</v>
      </c>
      <c r="J101" s="7" t="s">
        <v>259</v>
      </c>
      <c r="K101" s="7"/>
      <c r="L101" s="7"/>
      <c r="M101" s="7" t="s">
        <v>260</v>
      </c>
      <c r="N101" s="7" t="s">
        <v>284</v>
      </c>
      <c r="O101" s="7" t="s">
        <v>195</v>
      </c>
      <c r="P101" s="7"/>
      <c r="Q101" s="7" t="s">
        <v>305</v>
      </c>
      <c r="R101" s="7" t="s">
        <v>263</v>
      </c>
    </row>
    <row r="102" spans="1:18">
      <c r="A102" s="7" t="s">
        <v>444</v>
      </c>
      <c r="B102" s="7" t="s">
        <v>406</v>
      </c>
      <c r="C102" s="11">
        <v>46048</v>
      </c>
      <c r="D102" s="7" t="s">
        <v>445</v>
      </c>
      <c r="E102" s="7" t="s">
        <v>281</v>
      </c>
      <c r="F102" s="7" t="s">
        <v>282</v>
      </c>
      <c r="G102" s="7" t="s">
        <v>446</v>
      </c>
      <c r="H102" s="7" t="s">
        <v>127</v>
      </c>
      <c r="I102" s="7" t="s">
        <v>258</v>
      </c>
      <c r="J102" s="7" t="s">
        <v>447</v>
      </c>
      <c r="K102" s="7"/>
      <c r="L102" s="7"/>
      <c r="M102" s="7" t="s">
        <v>260</v>
      </c>
      <c r="N102" s="7" t="s">
        <v>284</v>
      </c>
      <c r="O102" s="7" t="s">
        <v>169</v>
      </c>
      <c r="P102" s="7"/>
      <c r="Q102" s="7" t="s">
        <v>285</v>
      </c>
      <c r="R102" s="7" t="s">
        <v>263</v>
      </c>
    </row>
    <row r="103" spans="1:18">
      <c r="A103" s="7" t="s">
        <v>448</v>
      </c>
      <c r="B103" s="7" t="s">
        <v>320</v>
      </c>
      <c r="C103" s="7" t="s">
        <v>449</v>
      </c>
      <c r="D103" s="7" t="s">
        <v>450</v>
      </c>
      <c r="E103" s="7" t="s">
        <v>281</v>
      </c>
      <c r="F103" s="7" t="s">
        <v>282</v>
      </c>
      <c r="G103" s="7" t="s">
        <v>283</v>
      </c>
      <c r="H103" s="7" t="s">
        <v>451</v>
      </c>
      <c r="I103" s="7" t="s">
        <v>271</v>
      </c>
      <c r="J103" s="7" t="s">
        <v>332</v>
      </c>
      <c r="K103" s="7" t="s">
        <v>452</v>
      </c>
      <c r="L103" s="7" t="s">
        <v>259</v>
      </c>
      <c r="M103" s="7" t="s">
        <v>293</v>
      </c>
      <c r="N103" s="7" t="s">
        <v>284</v>
      </c>
      <c r="O103" s="7" t="s">
        <v>169</v>
      </c>
      <c r="P103" s="7" t="s">
        <v>17</v>
      </c>
      <c r="Q103" s="7" t="s">
        <v>326</v>
      </c>
      <c r="R103" s="7" t="s">
        <v>263</v>
      </c>
    </row>
    <row r="104" spans="1:18">
      <c r="A104" s="7" t="s">
        <v>484</v>
      </c>
      <c r="B104" s="7" t="s">
        <v>407</v>
      </c>
      <c r="C104" s="7" t="s">
        <v>485</v>
      </c>
      <c r="D104" s="7" t="s">
        <v>486</v>
      </c>
      <c r="E104" s="7" t="s">
        <v>281</v>
      </c>
      <c r="F104" s="7" t="s">
        <v>282</v>
      </c>
      <c r="G104" s="7" t="s">
        <v>446</v>
      </c>
      <c r="H104" s="7" t="s">
        <v>115</v>
      </c>
      <c r="I104" s="7" t="s">
        <v>299</v>
      </c>
      <c r="J104" s="7" t="s">
        <v>259</v>
      </c>
      <c r="K104" s="7" t="s">
        <v>487</v>
      </c>
      <c r="L104" s="7" t="s">
        <v>488</v>
      </c>
      <c r="M104" s="7" t="s">
        <v>293</v>
      </c>
      <c r="N104" s="7" t="s">
        <v>284</v>
      </c>
      <c r="O104" s="7" t="s">
        <v>195</v>
      </c>
      <c r="P104" s="7" t="s">
        <v>14</v>
      </c>
      <c r="Q104" s="7" t="s">
        <v>305</v>
      </c>
      <c r="R104" s="7" t="s">
        <v>263</v>
      </c>
    </row>
    <row r="105" spans="1:18">
      <c r="A105" s="7" t="s">
        <v>538</v>
      </c>
      <c r="B105" s="7" t="s">
        <v>473</v>
      </c>
      <c r="C105" s="7" t="s">
        <v>320</v>
      </c>
      <c r="D105" s="7" t="s">
        <v>418</v>
      </c>
      <c r="E105" s="7" t="s">
        <v>281</v>
      </c>
      <c r="F105" s="7" t="s">
        <v>282</v>
      </c>
      <c r="G105" s="7" t="s">
        <v>283</v>
      </c>
      <c r="H105" s="7" t="s">
        <v>127</v>
      </c>
      <c r="I105" s="7" t="s">
        <v>258</v>
      </c>
      <c r="J105" s="7" t="s">
        <v>469</v>
      </c>
      <c r="K105" s="7"/>
      <c r="L105" s="7"/>
      <c r="M105" s="7" t="s">
        <v>260</v>
      </c>
      <c r="N105" s="7" t="s">
        <v>284</v>
      </c>
      <c r="O105" s="7" t="s">
        <v>195</v>
      </c>
      <c r="P105" s="7"/>
      <c r="Q105" s="7" t="s">
        <v>318</v>
      </c>
      <c r="R105" s="7" t="s">
        <v>263</v>
      </c>
    </row>
    <row r="106" spans="1:18">
      <c r="A106" s="7" t="s">
        <v>555</v>
      </c>
      <c r="B106" s="7" t="s">
        <v>407</v>
      </c>
      <c r="C106" s="7" t="s">
        <v>490</v>
      </c>
      <c r="D106" s="7" t="s">
        <v>518</v>
      </c>
      <c r="E106" s="7" t="s">
        <v>281</v>
      </c>
      <c r="F106" s="7" t="s">
        <v>282</v>
      </c>
      <c r="G106" s="7" t="s">
        <v>446</v>
      </c>
      <c r="H106" s="7" t="s">
        <v>115</v>
      </c>
      <c r="I106" s="7" t="s">
        <v>271</v>
      </c>
      <c r="J106" s="7" t="s">
        <v>332</v>
      </c>
      <c r="K106" s="7" t="s">
        <v>556</v>
      </c>
      <c r="L106" s="7" t="s">
        <v>487</v>
      </c>
      <c r="M106" s="7" t="s">
        <v>293</v>
      </c>
      <c r="N106" s="7" t="s">
        <v>284</v>
      </c>
      <c r="O106" s="7" t="s">
        <v>195</v>
      </c>
      <c r="P106" s="7" t="s">
        <v>8</v>
      </c>
      <c r="Q106" s="7" t="s">
        <v>318</v>
      </c>
      <c r="R106" s="7" t="s">
        <v>263</v>
      </c>
    </row>
    <row r="107" spans="1:18">
      <c r="A107" s="7" t="s">
        <v>641</v>
      </c>
      <c r="B107" s="7" t="s">
        <v>473</v>
      </c>
      <c r="C107" s="7" t="s">
        <v>307</v>
      </c>
      <c r="D107" s="7" t="s">
        <v>642</v>
      </c>
      <c r="E107" s="7" t="s">
        <v>281</v>
      </c>
      <c r="F107" s="7" t="s">
        <v>282</v>
      </c>
      <c r="G107" s="7" t="s">
        <v>283</v>
      </c>
      <c r="H107" s="7" t="s">
        <v>115</v>
      </c>
      <c r="I107" s="7" t="s">
        <v>271</v>
      </c>
      <c r="J107" s="7" t="s">
        <v>341</v>
      </c>
      <c r="K107" s="7" t="s">
        <v>643</v>
      </c>
      <c r="L107" s="7" t="s">
        <v>644</v>
      </c>
      <c r="M107" s="7" t="s">
        <v>293</v>
      </c>
      <c r="N107" s="7" t="s">
        <v>284</v>
      </c>
      <c r="O107" s="7" t="s">
        <v>195</v>
      </c>
      <c r="P107" s="7" t="s">
        <v>17</v>
      </c>
      <c r="Q107" s="7" t="s">
        <v>285</v>
      </c>
      <c r="R107" s="7" t="s">
        <v>263</v>
      </c>
    </row>
    <row r="108" spans="1:18">
      <c r="A108" s="7" t="s">
        <v>675</v>
      </c>
      <c r="B108" s="7" t="s">
        <v>388</v>
      </c>
      <c r="C108" s="7" t="s">
        <v>676</v>
      </c>
      <c r="D108" s="7" t="s">
        <v>677</v>
      </c>
      <c r="E108" s="7" t="s">
        <v>281</v>
      </c>
      <c r="F108" s="7" t="s">
        <v>282</v>
      </c>
      <c r="G108" s="7" t="s">
        <v>446</v>
      </c>
      <c r="H108" s="7" t="s">
        <v>115</v>
      </c>
      <c r="I108" s="7" t="s">
        <v>316</v>
      </c>
      <c r="J108" s="7" t="s">
        <v>392</v>
      </c>
      <c r="K108" s="7" t="s">
        <v>678</v>
      </c>
      <c r="L108" s="7" t="s">
        <v>679</v>
      </c>
      <c r="M108" s="7" t="s">
        <v>303</v>
      </c>
      <c r="N108" s="7" t="s">
        <v>284</v>
      </c>
      <c r="O108" s="7" t="s">
        <v>195</v>
      </c>
      <c r="P108" s="7" t="s">
        <v>14</v>
      </c>
      <c r="Q108" s="7" t="s">
        <v>305</v>
      </c>
      <c r="R108" s="7" t="s">
        <v>263</v>
      </c>
    </row>
    <row r="109" spans="1:18">
      <c r="A109" s="7" t="s">
        <v>735</v>
      </c>
      <c r="B109" s="7" t="s">
        <v>458</v>
      </c>
      <c r="C109" s="7" t="s">
        <v>503</v>
      </c>
      <c r="D109" s="7" t="s">
        <v>736</v>
      </c>
      <c r="E109" s="7" t="s">
        <v>281</v>
      </c>
      <c r="F109" s="7" t="s">
        <v>282</v>
      </c>
      <c r="G109" s="7" t="s">
        <v>283</v>
      </c>
      <c r="H109" s="7" t="s">
        <v>115</v>
      </c>
      <c r="I109" s="7" t="s">
        <v>316</v>
      </c>
      <c r="J109" s="7" t="s">
        <v>323</v>
      </c>
      <c r="K109" s="7" t="s">
        <v>737</v>
      </c>
      <c r="L109" s="7" t="s">
        <v>325</v>
      </c>
      <c r="M109" s="7" t="s">
        <v>335</v>
      </c>
      <c r="N109" s="7" t="s">
        <v>738</v>
      </c>
      <c r="O109" s="7" t="s">
        <v>195</v>
      </c>
      <c r="P109" s="7" t="s">
        <v>11</v>
      </c>
      <c r="Q109" s="7" t="s">
        <v>262</v>
      </c>
      <c r="R109" s="7" t="s">
        <v>263</v>
      </c>
    </row>
    <row r="110" spans="1:18">
      <c r="A110" s="7" t="s">
        <v>790</v>
      </c>
      <c r="B110" s="7" t="s">
        <v>473</v>
      </c>
      <c r="C110" s="7" t="s">
        <v>646</v>
      </c>
      <c r="D110" s="7" t="s">
        <v>791</v>
      </c>
      <c r="E110" s="7" t="s">
        <v>281</v>
      </c>
      <c r="F110" s="7" t="s">
        <v>282</v>
      </c>
      <c r="G110" s="7" t="s">
        <v>283</v>
      </c>
      <c r="H110" s="7" t="s">
        <v>115</v>
      </c>
      <c r="I110" s="7" t="s">
        <v>271</v>
      </c>
      <c r="J110" s="7" t="s">
        <v>411</v>
      </c>
      <c r="K110" s="7" t="s">
        <v>792</v>
      </c>
      <c r="L110" s="7" t="s">
        <v>793</v>
      </c>
      <c r="M110" s="7" t="s">
        <v>335</v>
      </c>
      <c r="N110" s="7" t="s">
        <v>284</v>
      </c>
      <c r="O110" s="7" t="s">
        <v>195</v>
      </c>
      <c r="P110" s="7" t="s">
        <v>8</v>
      </c>
      <c r="Q110" s="7" t="s">
        <v>285</v>
      </c>
      <c r="R110" s="7" t="s">
        <v>263</v>
      </c>
    </row>
    <row r="111" spans="1:18">
      <c r="A111" s="7" t="s">
        <v>812</v>
      </c>
      <c r="B111" s="7" t="s">
        <v>417</v>
      </c>
      <c r="C111" s="7" t="s">
        <v>574</v>
      </c>
      <c r="D111" s="7" t="s">
        <v>813</v>
      </c>
      <c r="E111" s="7" t="s">
        <v>281</v>
      </c>
      <c r="F111" s="7" t="s">
        <v>282</v>
      </c>
      <c r="G111" s="7" t="s">
        <v>446</v>
      </c>
      <c r="H111" s="7" t="s">
        <v>115</v>
      </c>
      <c r="I111" s="7" t="s">
        <v>258</v>
      </c>
      <c r="J111" s="7" t="s">
        <v>323</v>
      </c>
      <c r="K111" s="7" t="s">
        <v>814</v>
      </c>
      <c r="L111" s="7" t="s">
        <v>815</v>
      </c>
      <c r="M111" s="7" t="s">
        <v>303</v>
      </c>
      <c r="N111" s="7" t="s">
        <v>284</v>
      </c>
      <c r="O111" s="7" t="s">
        <v>195</v>
      </c>
      <c r="P111" s="7" t="s">
        <v>14</v>
      </c>
      <c r="Q111" s="7" t="s">
        <v>318</v>
      </c>
      <c r="R111" s="7" t="s">
        <v>263</v>
      </c>
    </row>
    <row r="112" spans="1:18">
      <c r="A112" s="7" t="s">
        <v>862</v>
      </c>
      <c r="B112" s="7" t="s">
        <v>320</v>
      </c>
      <c r="C112" s="7" t="s">
        <v>417</v>
      </c>
      <c r="D112" s="7" t="s">
        <v>682</v>
      </c>
      <c r="E112" s="7" t="s">
        <v>281</v>
      </c>
      <c r="F112" s="7" t="s">
        <v>282</v>
      </c>
      <c r="G112" s="7" t="s">
        <v>446</v>
      </c>
      <c r="H112" s="7" t="s">
        <v>466</v>
      </c>
      <c r="I112" s="7" t="s">
        <v>258</v>
      </c>
      <c r="J112" s="7" t="s">
        <v>411</v>
      </c>
      <c r="K112" s="7"/>
      <c r="L112" s="7"/>
      <c r="M112" s="7" t="s">
        <v>260</v>
      </c>
      <c r="N112" s="7" t="s">
        <v>284</v>
      </c>
      <c r="O112" s="7" t="s">
        <v>483</v>
      </c>
      <c r="P112" s="7"/>
      <c r="Q112" s="7" t="s">
        <v>262</v>
      </c>
      <c r="R112" s="7" t="s">
        <v>263</v>
      </c>
    </row>
    <row r="113" spans="1:18">
      <c r="A113" s="7" t="s">
        <v>889</v>
      </c>
      <c r="B113" s="7" t="s">
        <v>355</v>
      </c>
      <c r="C113" s="7" t="s">
        <v>562</v>
      </c>
      <c r="D113" s="7" t="s">
        <v>890</v>
      </c>
      <c r="E113" s="7" t="s">
        <v>281</v>
      </c>
      <c r="F113" s="7" t="s">
        <v>282</v>
      </c>
      <c r="G113" s="7" t="s">
        <v>283</v>
      </c>
      <c r="H113" s="7" t="s">
        <v>115</v>
      </c>
      <c r="I113" s="7" t="s">
        <v>316</v>
      </c>
      <c r="J113" s="7" t="s">
        <v>469</v>
      </c>
      <c r="K113" s="7" t="s">
        <v>891</v>
      </c>
      <c r="L113" s="7" t="s">
        <v>723</v>
      </c>
      <c r="M113" s="7" t="s">
        <v>303</v>
      </c>
      <c r="N113" s="7" t="s">
        <v>284</v>
      </c>
      <c r="O113" s="7" t="s">
        <v>195</v>
      </c>
      <c r="P113" s="7" t="s">
        <v>8</v>
      </c>
      <c r="Q113" s="7" t="s">
        <v>285</v>
      </c>
      <c r="R113" s="7" t="s">
        <v>263</v>
      </c>
    </row>
    <row r="114" spans="1:18">
      <c r="A114" s="7" t="s">
        <v>735</v>
      </c>
      <c r="B114" s="7" t="s">
        <v>458</v>
      </c>
      <c r="C114" s="7" t="s">
        <v>503</v>
      </c>
      <c r="D114" s="7" t="s">
        <v>736</v>
      </c>
      <c r="E114" s="7" t="s">
        <v>281</v>
      </c>
      <c r="F114" s="7" t="s">
        <v>282</v>
      </c>
      <c r="G114" s="7" t="s">
        <v>283</v>
      </c>
      <c r="H114" s="7" t="s">
        <v>115</v>
      </c>
      <c r="I114" s="7" t="s">
        <v>316</v>
      </c>
      <c r="J114" s="7" t="s">
        <v>323</v>
      </c>
      <c r="K114" s="7" t="s">
        <v>737</v>
      </c>
      <c r="L114" s="7" t="s">
        <v>325</v>
      </c>
      <c r="M114" s="7" t="s">
        <v>335</v>
      </c>
      <c r="N114" s="7" t="s">
        <v>738</v>
      </c>
      <c r="O114" s="7" t="s">
        <v>195</v>
      </c>
      <c r="P114" s="7" t="s">
        <v>11</v>
      </c>
      <c r="Q114" s="7" t="s">
        <v>262</v>
      </c>
      <c r="R114" s="7" t="s">
        <v>263</v>
      </c>
    </row>
    <row r="115" spans="1:18">
      <c r="A115" s="7" t="s">
        <v>457</v>
      </c>
      <c r="B115" s="7" t="s">
        <v>458</v>
      </c>
      <c r="C115" s="7" t="s">
        <v>459</v>
      </c>
      <c r="D115" s="7" t="s">
        <v>460</v>
      </c>
      <c r="E115" s="7" t="s">
        <v>339</v>
      </c>
      <c r="F115" s="7" t="s">
        <v>282</v>
      </c>
      <c r="G115" s="7" t="s">
        <v>461</v>
      </c>
      <c r="H115" s="7" t="s">
        <v>115</v>
      </c>
      <c r="I115" s="7" t="s">
        <v>316</v>
      </c>
      <c r="J115" s="7" t="s">
        <v>323</v>
      </c>
      <c r="K115" s="7" t="s">
        <v>325</v>
      </c>
      <c r="L115" s="7" t="s">
        <v>462</v>
      </c>
      <c r="M115" s="7" t="s">
        <v>335</v>
      </c>
      <c r="N115" s="7" t="s">
        <v>284</v>
      </c>
      <c r="O115" s="7" t="s">
        <v>195</v>
      </c>
      <c r="P115" s="7" t="s">
        <v>8</v>
      </c>
      <c r="Q115" s="7" t="s">
        <v>326</v>
      </c>
      <c r="R115" s="7" t="s">
        <v>263</v>
      </c>
    </row>
    <row r="116" spans="1:18">
      <c r="A116" s="7" t="s">
        <v>463</v>
      </c>
      <c r="B116" s="7" t="s">
        <v>356</v>
      </c>
      <c r="C116" s="7" t="s">
        <v>464</v>
      </c>
      <c r="D116" s="7" t="s">
        <v>465</v>
      </c>
      <c r="E116" s="7" t="s">
        <v>339</v>
      </c>
      <c r="F116" s="7" t="s">
        <v>282</v>
      </c>
      <c r="G116" s="7" t="s">
        <v>461</v>
      </c>
      <c r="H116" s="7" t="s">
        <v>466</v>
      </c>
      <c r="I116" s="7" t="s">
        <v>299</v>
      </c>
      <c r="J116" s="7" t="s">
        <v>404</v>
      </c>
      <c r="K116" s="7"/>
      <c r="L116" s="7"/>
      <c r="M116" s="7" t="s">
        <v>260</v>
      </c>
      <c r="N116" s="7" t="s">
        <v>284</v>
      </c>
      <c r="O116" s="7" t="s">
        <v>195</v>
      </c>
      <c r="P116" s="7"/>
      <c r="Q116" s="7" t="s">
        <v>262</v>
      </c>
      <c r="R116" s="7" t="s">
        <v>263</v>
      </c>
    </row>
    <row r="117" spans="1:18">
      <c r="A117" s="7" t="s">
        <v>489</v>
      </c>
      <c r="B117" s="7" t="s">
        <v>313</v>
      </c>
      <c r="C117" s="7" t="s">
        <v>490</v>
      </c>
      <c r="D117" s="7" t="s">
        <v>408</v>
      </c>
      <c r="E117" s="7" t="s">
        <v>339</v>
      </c>
      <c r="F117" s="7" t="s">
        <v>282</v>
      </c>
      <c r="G117" s="7" t="s">
        <v>461</v>
      </c>
      <c r="H117" s="7" t="s">
        <v>115</v>
      </c>
      <c r="I117" s="7" t="s">
        <v>316</v>
      </c>
      <c r="J117" s="7" t="s">
        <v>323</v>
      </c>
      <c r="K117" s="7" t="s">
        <v>324</v>
      </c>
      <c r="L117" s="7" t="s">
        <v>491</v>
      </c>
      <c r="M117" s="7" t="s">
        <v>303</v>
      </c>
      <c r="N117" s="7" t="s">
        <v>284</v>
      </c>
      <c r="O117" s="7" t="s">
        <v>195</v>
      </c>
      <c r="P117" s="7" t="s">
        <v>14</v>
      </c>
      <c r="Q117" s="7" t="s">
        <v>318</v>
      </c>
      <c r="R117" s="7" t="s">
        <v>263</v>
      </c>
    </row>
    <row r="118" spans="1:18">
      <c r="A118" s="7" t="s">
        <v>560</v>
      </c>
      <c r="B118" s="7" t="s">
        <v>561</v>
      </c>
      <c r="C118" s="7" t="s">
        <v>562</v>
      </c>
      <c r="D118" s="7" t="s">
        <v>563</v>
      </c>
      <c r="E118" s="7" t="s">
        <v>339</v>
      </c>
      <c r="F118" s="7" t="s">
        <v>282</v>
      </c>
      <c r="G118" s="7" t="s">
        <v>564</v>
      </c>
      <c r="H118" s="7" t="s">
        <v>115</v>
      </c>
      <c r="I118" s="7" t="s">
        <v>316</v>
      </c>
      <c r="J118" s="7" t="s">
        <v>358</v>
      </c>
      <c r="K118" s="7" t="s">
        <v>565</v>
      </c>
      <c r="L118" s="7" t="s">
        <v>566</v>
      </c>
      <c r="M118" s="7" t="s">
        <v>303</v>
      </c>
      <c r="N118" s="7" t="s">
        <v>284</v>
      </c>
      <c r="O118" s="7" t="s">
        <v>195</v>
      </c>
      <c r="P118" s="7" t="s">
        <v>17</v>
      </c>
      <c r="Q118" s="7" t="s">
        <v>262</v>
      </c>
      <c r="R118" s="7" t="s">
        <v>263</v>
      </c>
    </row>
    <row r="119" spans="1:18">
      <c r="A119" s="7" t="s">
        <v>600</v>
      </c>
      <c r="B119" s="7" t="s">
        <v>561</v>
      </c>
      <c r="C119" s="7" t="s">
        <v>417</v>
      </c>
      <c r="D119" s="7" t="s">
        <v>601</v>
      </c>
      <c r="E119" s="7" t="s">
        <v>339</v>
      </c>
      <c r="F119" s="7" t="s">
        <v>282</v>
      </c>
      <c r="G119" s="7" t="s">
        <v>564</v>
      </c>
      <c r="H119" s="7" t="s">
        <v>115</v>
      </c>
      <c r="I119" s="7" t="s">
        <v>316</v>
      </c>
      <c r="J119" s="7" t="s">
        <v>346</v>
      </c>
      <c r="K119" s="7" t="s">
        <v>602</v>
      </c>
      <c r="L119" s="7" t="s">
        <v>603</v>
      </c>
      <c r="M119" s="7" t="s">
        <v>604</v>
      </c>
      <c r="N119" s="7" t="s">
        <v>284</v>
      </c>
      <c r="O119" s="7" t="s">
        <v>195</v>
      </c>
      <c r="P119" s="7" t="s">
        <v>8</v>
      </c>
      <c r="Q119" s="7" t="s">
        <v>318</v>
      </c>
      <c r="R119" s="7" t="s">
        <v>263</v>
      </c>
    </row>
    <row r="120" spans="1:18">
      <c r="A120" s="7" t="s">
        <v>661</v>
      </c>
      <c r="B120" s="7" t="s">
        <v>621</v>
      </c>
      <c r="C120" s="7" t="s">
        <v>513</v>
      </c>
      <c r="D120" s="7" t="s">
        <v>367</v>
      </c>
      <c r="E120" s="7" t="s">
        <v>339</v>
      </c>
      <c r="F120" s="7" t="s">
        <v>282</v>
      </c>
      <c r="G120" s="7" t="s">
        <v>564</v>
      </c>
      <c r="H120" s="7" t="s">
        <v>122</v>
      </c>
      <c r="I120" s="7" t="s">
        <v>299</v>
      </c>
      <c r="J120" s="7" t="s">
        <v>341</v>
      </c>
      <c r="K120" s="7"/>
      <c r="L120" s="7"/>
      <c r="M120" s="7" t="s">
        <v>260</v>
      </c>
      <c r="N120" s="7" t="s">
        <v>284</v>
      </c>
      <c r="O120" s="7" t="s">
        <v>195</v>
      </c>
      <c r="P120" s="7"/>
      <c r="Q120" s="7" t="s">
        <v>305</v>
      </c>
      <c r="R120" s="7" t="s">
        <v>263</v>
      </c>
    </row>
    <row r="121" spans="1:18">
      <c r="A121" s="7" t="s">
        <v>672</v>
      </c>
      <c r="B121" s="7" t="s">
        <v>406</v>
      </c>
      <c r="C121" s="7" t="s">
        <v>389</v>
      </c>
      <c r="D121" s="7" t="s">
        <v>673</v>
      </c>
      <c r="E121" s="7" t="s">
        <v>674</v>
      </c>
      <c r="F121" s="7" t="s">
        <v>282</v>
      </c>
      <c r="G121" s="7" t="s">
        <v>564</v>
      </c>
      <c r="H121" s="7" t="s">
        <v>466</v>
      </c>
      <c r="I121" s="7" t="s">
        <v>299</v>
      </c>
      <c r="J121" s="7" t="s">
        <v>392</v>
      </c>
      <c r="K121" s="7"/>
      <c r="L121" s="7"/>
      <c r="M121" s="7" t="s">
        <v>260</v>
      </c>
      <c r="N121" s="7" t="s">
        <v>284</v>
      </c>
      <c r="O121" s="7" t="s">
        <v>195</v>
      </c>
      <c r="P121" s="7"/>
      <c r="Q121" s="7" t="s">
        <v>305</v>
      </c>
      <c r="R121" s="7" t="s">
        <v>263</v>
      </c>
    </row>
    <row r="122" spans="1:18">
      <c r="A122" s="7" t="s">
        <v>695</v>
      </c>
      <c r="B122" s="7" t="s">
        <v>633</v>
      </c>
      <c r="C122" s="7" t="s">
        <v>308</v>
      </c>
      <c r="D122" s="7" t="s">
        <v>575</v>
      </c>
      <c r="E122" s="7" t="s">
        <v>339</v>
      </c>
      <c r="F122" s="7" t="s">
        <v>282</v>
      </c>
      <c r="G122" s="7" t="s">
        <v>461</v>
      </c>
      <c r="H122" s="7" t="s">
        <v>696</v>
      </c>
      <c r="I122" s="7" t="s">
        <v>271</v>
      </c>
      <c r="J122" s="7" t="s">
        <v>341</v>
      </c>
      <c r="K122" s="7" t="s">
        <v>697</v>
      </c>
      <c r="L122" s="7" t="s">
        <v>698</v>
      </c>
      <c r="M122" s="7" t="s">
        <v>275</v>
      </c>
      <c r="N122" s="7" t="s">
        <v>284</v>
      </c>
      <c r="O122" s="7" t="s">
        <v>169</v>
      </c>
      <c r="P122" s="7" t="s">
        <v>17</v>
      </c>
      <c r="Q122" s="7" t="s">
        <v>318</v>
      </c>
      <c r="R122" s="7" t="s">
        <v>263</v>
      </c>
    </row>
    <row r="123" spans="1:18">
      <c r="A123" s="7" t="s">
        <v>728</v>
      </c>
      <c r="B123" s="7" t="s">
        <v>337</v>
      </c>
      <c r="C123" s="7" t="s">
        <v>265</v>
      </c>
      <c r="D123" s="7" t="s">
        <v>357</v>
      </c>
      <c r="E123" s="7" t="s">
        <v>339</v>
      </c>
      <c r="F123" s="7" t="s">
        <v>282</v>
      </c>
      <c r="G123" s="7" t="s">
        <v>461</v>
      </c>
      <c r="H123" s="7" t="s">
        <v>466</v>
      </c>
      <c r="I123" s="7" t="s">
        <v>258</v>
      </c>
      <c r="J123" s="7" t="s">
        <v>272</v>
      </c>
      <c r="K123" s="7"/>
      <c r="L123" s="7"/>
      <c r="M123" s="7" t="s">
        <v>260</v>
      </c>
      <c r="N123" s="7" t="s">
        <v>284</v>
      </c>
      <c r="O123" s="7" t="s">
        <v>195</v>
      </c>
      <c r="P123" s="7"/>
      <c r="Q123" s="7" t="s">
        <v>318</v>
      </c>
      <c r="R123" s="7" t="s">
        <v>263</v>
      </c>
    </row>
    <row r="124" spans="1:18">
      <c r="A124" s="7" t="s">
        <v>781</v>
      </c>
      <c r="B124" s="7" t="s">
        <v>439</v>
      </c>
      <c r="C124" s="7" t="s">
        <v>782</v>
      </c>
      <c r="D124" s="7" t="s">
        <v>350</v>
      </c>
      <c r="E124" s="7" t="s">
        <v>339</v>
      </c>
      <c r="F124" s="7" t="s">
        <v>282</v>
      </c>
      <c r="G124" s="7" t="s">
        <v>564</v>
      </c>
      <c r="H124" s="7" t="s">
        <v>115</v>
      </c>
      <c r="I124" s="7" t="s">
        <v>316</v>
      </c>
      <c r="J124" s="7" t="s">
        <v>272</v>
      </c>
      <c r="K124" s="7" t="s">
        <v>783</v>
      </c>
      <c r="L124" s="7" t="s">
        <v>784</v>
      </c>
      <c r="M124" s="7" t="s">
        <v>335</v>
      </c>
      <c r="N124" s="7" t="s">
        <v>284</v>
      </c>
      <c r="O124" s="7" t="s">
        <v>169</v>
      </c>
      <c r="P124" s="7" t="s">
        <v>17</v>
      </c>
      <c r="Q124" s="7" t="s">
        <v>305</v>
      </c>
      <c r="R124" s="7" t="s">
        <v>263</v>
      </c>
    </row>
    <row r="125" spans="1:18">
      <c r="A125" s="7" t="s">
        <v>286</v>
      </c>
      <c r="B125" s="7" t="s">
        <v>287</v>
      </c>
      <c r="C125" s="7" t="s">
        <v>288</v>
      </c>
      <c r="D125" s="7" t="s">
        <v>289</v>
      </c>
      <c r="E125" s="7" t="s">
        <v>255</v>
      </c>
      <c r="F125" s="7" t="s">
        <v>282</v>
      </c>
      <c r="G125" s="7" t="s">
        <v>290</v>
      </c>
      <c r="H125" s="7" t="s">
        <v>115</v>
      </c>
      <c r="I125" s="7" t="s">
        <v>258</v>
      </c>
      <c r="J125" s="7" t="s">
        <v>259</v>
      </c>
      <c r="K125" s="7" t="s">
        <v>291</v>
      </c>
      <c r="L125" s="7" t="s">
        <v>292</v>
      </c>
      <c r="M125" s="7" t="s">
        <v>293</v>
      </c>
      <c r="N125" s="7" t="s">
        <v>284</v>
      </c>
      <c r="O125" s="7" t="s">
        <v>169</v>
      </c>
      <c r="P125" s="7" t="s">
        <v>17</v>
      </c>
      <c r="Q125" s="7" t="s">
        <v>262</v>
      </c>
      <c r="R125" s="7" t="s">
        <v>263</v>
      </c>
    </row>
    <row r="126" spans="1:18">
      <c r="A126" s="7" t="s">
        <v>421</v>
      </c>
      <c r="B126" s="7" t="s">
        <v>417</v>
      </c>
      <c r="C126" s="7" t="s">
        <v>422</v>
      </c>
      <c r="D126" s="7" t="s">
        <v>423</v>
      </c>
      <c r="E126" s="7" t="s">
        <v>255</v>
      </c>
      <c r="F126" s="7" t="s">
        <v>282</v>
      </c>
      <c r="G126" s="7" t="s">
        <v>424</v>
      </c>
      <c r="H126" s="7" t="s">
        <v>115</v>
      </c>
      <c r="I126" s="7" t="s">
        <v>271</v>
      </c>
      <c r="J126" s="7" t="s">
        <v>272</v>
      </c>
      <c r="K126" s="7" t="s">
        <v>425</v>
      </c>
      <c r="L126" s="7" t="s">
        <v>426</v>
      </c>
      <c r="M126" s="7" t="s">
        <v>303</v>
      </c>
      <c r="N126" s="7" t="s">
        <v>284</v>
      </c>
      <c r="O126" s="7" t="s">
        <v>169</v>
      </c>
      <c r="P126" s="7" t="s">
        <v>17</v>
      </c>
      <c r="Q126" s="7" t="s">
        <v>326</v>
      </c>
      <c r="R126" s="7" t="s">
        <v>263</v>
      </c>
    </row>
    <row r="127" spans="1:18">
      <c r="A127" s="7" t="s">
        <v>453</v>
      </c>
      <c r="B127" s="7" t="s">
        <v>439</v>
      </c>
      <c r="C127" s="7" t="s">
        <v>388</v>
      </c>
      <c r="D127" s="7" t="s">
        <v>454</v>
      </c>
      <c r="E127" s="7" t="s">
        <v>255</v>
      </c>
      <c r="F127" s="7" t="s">
        <v>282</v>
      </c>
      <c r="G127" s="7" t="s">
        <v>424</v>
      </c>
      <c r="H127" s="7" t="s">
        <v>115</v>
      </c>
      <c r="I127" s="7" t="s">
        <v>299</v>
      </c>
      <c r="J127" s="7" t="s">
        <v>392</v>
      </c>
      <c r="K127" s="7" t="s">
        <v>455</v>
      </c>
      <c r="L127" s="7" t="s">
        <v>456</v>
      </c>
      <c r="M127" s="7" t="s">
        <v>335</v>
      </c>
      <c r="N127" s="7" t="s">
        <v>284</v>
      </c>
      <c r="O127" s="7" t="s">
        <v>195</v>
      </c>
      <c r="P127" s="7" t="s">
        <v>17</v>
      </c>
      <c r="Q127" s="7" t="s">
        <v>285</v>
      </c>
      <c r="R127" s="7" t="s">
        <v>263</v>
      </c>
    </row>
    <row r="128" spans="1:18">
      <c r="A128" s="7" t="s">
        <v>684</v>
      </c>
      <c r="B128" s="7" t="s">
        <v>278</v>
      </c>
      <c r="C128" s="7" t="s">
        <v>401</v>
      </c>
      <c r="D128" s="7" t="s">
        <v>685</v>
      </c>
      <c r="E128" s="7" t="s">
        <v>255</v>
      </c>
      <c r="F128" s="7" t="s">
        <v>282</v>
      </c>
      <c r="G128" s="7" t="s">
        <v>290</v>
      </c>
      <c r="H128" s="7" t="s">
        <v>122</v>
      </c>
      <c r="I128" s="7" t="s">
        <v>299</v>
      </c>
      <c r="J128" s="7" t="s">
        <v>259</v>
      </c>
      <c r="K128" s="7"/>
      <c r="L128" s="7"/>
      <c r="M128" s="7" t="s">
        <v>686</v>
      </c>
      <c r="N128" s="7" t="s">
        <v>284</v>
      </c>
      <c r="O128" s="7" t="s">
        <v>195</v>
      </c>
      <c r="P128" s="7"/>
      <c r="Q128" s="7" t="s">
        <v>326</v>
      </c>
      <c r="R128" s="7" t="s">
        <v>263</v>
      </c>
    </row>
    <row r="129" spans="1:18">
      <c r="A129" s="7" t="s">
        <v>754</v>
      </c>
      <c r="B129" s="7" t="s">
        <v>355</v>
      </c>
      <c r="C129" s="7" t="s">
        <v>755</v>
      </c>
      <c r="D129" s="7" t="s">
        <v>756</v>
      </c>
      <c r="E129" s="7" t="s">
        <v>255</v>
      </c>
      <c r="F129" s="7" t="s">
        <v>282</v>
      </c>
      <c r="G129" s="7" t="s">
        <v>424</v>
      </c>
      <c r="H129" s="7" t="s">
        <v>115</v>
      </c>
      <c r="I129" s="7" t="s">
        <v>299</v>
      </c>
      <c r="J129" s="7" t="s">
        <v>300</v>
      </c>
      <c r="K129" s="7" t="s">
        <v>692</v>
      </c>
      <c r="L129" s="7" t="s">
        <v>757</v>
      </c>
      <c r="M129" s="7" t="s">
        <v>335</v>
      </c>
      <c r="N129" s="7" t="s">
        <v>284</v>
      </c>
      <c r="O129" s="7" t="s">
        <v>195</v>
      </c>
      <c r="P129" s="7" t="s">
        <v>11</v>
      </c>
      <c r="Q129" s="7" t="s">
        <v>262</v>
      </c>
      <c r="R129" s="7" t="s">
        <v>263</v>
      </c>
    </row>
    <row r="130" spans="1:18">
      <c r="A130" s="7" t="s">
        <v>785</v>
      </c>
      <c r="B130" s="7" t="s">
        <v>356</v>
      </c>
      <c r="C130" s="7" t="s">
        <v>422</v>
      </c>
      <c r="D130" s="7" t="s">
        <v>786</v>
      </c>
      <c r="E130" s="7" t="s">
        <v>255</v>
      </c>
      <c r="F130" s="7" t="s">
        <v>282</v>
      </c>
      <c r="G130" s="7" t="s">
        <v>290</v>
      </c>
      <c r="H130" s="7" t="s">
        <v>787</v>
      </c>
      <c r="I130" s="7" t="s">
        <v>299</v>
      </c>
      <c r="J130" s="7" t="s">
        <v>300</v>
      </c>
      <c r="K130" s="7" t="s">
        <v>788</v>
      </c>
      <c r="L130" s="7" t="s">
        <v>789</v>
      </c>
      <c r="M130" s="7" t="s">
        <v>303</v>
      </c>
      <c r="N130" s="7" t="s">
        <v>284</v>
      </c>
      <c r="O130" s="7" t="s">
        <v>195</v>
      </c>
      <c r="P130" s="7" t="s">
        <v>14</v>
      </c>
      <c r="Q130" s="7" t="s">
        <v>285</v>
      </c>
      <c r="R130" s="7" t="s">
        <v>263</v>
      </c>
    </row>
    <row r="131" spans="1:18">
      <c r="A131" s="7"/>
      <c r="B131" s="7" t="s">
        <v>252</v>
      </c>
      <c r="C131" s="7" t="s">
        <v>433</v>
      </c>
      <c r="D131" s="7" t="s">
        <v>839</v>
      </c>
      <c r="E131" s="7" t="s">
        <v>255</v>
      </c>
      <c r="F131" s="7" t="s">
        <v>282</v>
      </c>
      <c r="G131" s="7" t="s">
        <v>290</v>
      </c>
      <c r="H131" s="7" t="s">
        <v>115</v>
      </c>
      <c r="I131" s="7" t="s">
        <v>271</v>
      </c>
      <c r="J131" s="7" t="s">
        <v>341</v>
      </c>
      <c r="K131" s="7" t="s">
        <v>840</v>
      </c>
      <c r="L131" s="7" t="s">
        <v>841</v>
      </c>
      <c r="M131" s="7" t="s">
        <v>303</v>
      </c>
      <c r="N131" s="7" t="s">
        <v>284</v>
      </c>
      <c r="O131" s="7" t="s">
        <v>169</v>
      </c>
      <c r="P131" s="7" t="s">
        <v>17</v>
      </c>
      <c r="Q131" s="7" t="s">
        <v>318</v>
      </c>
      <c r="R131" s="7" t="s">
        <v>263</v>
      </c>
    </row>
    <row r="132" spans="1:18">
      <c r="A132" s="7" t="s">
        <v>844</v>
      </c>
      <c r="B132" s="7" t="s">
        <v>585</v>
      </c>
      <c r="C132" s="7" t="s">
        <v>253</v>
      </c>
      <c r="D132" s="7" t="s">
        <v>845</v>
      </c>
      <c r="E132" s="7" t="s">
        <v>255</v>
      </c>
      <c r="F132" s="7" t="s">
        <v>282</v>
      </c>
      <c r="G132" s="7" t="s">
        <v>424</v>
      </c>
      <c r="H132" s="7" t="s">
        <v>122</v>
      </c>
      <c r="I132" s="7" t="s">
        <v>846</v>
      </c>
      <c r="J132" s="7" t="s">
        <v>346</v>
      </c>
      <c r="K132" s="7"/>
      <c r="L132" s="7"/>
      <c r="M132" s="7" t="s">
        <v>260</v>
      </c>
      <c r="N132" s="7" t="s">
        <v>284</v>
      </c>
      <c r="O132" s="7" t="s">
        <v>195</v>
      </c>
      <c r="P132" s="7"/>
      <c r="Q132" s="7" t="s">
        <v>262</v>
      </c>
      <c r="R132" s="7" t="s">
        <v>263</v>
      </c>
    </row>
    <row r="133" spans="1:18">
      <c r="A133" s="7" t="s">
        <v>416</v>
      </c>
      <c r="B133" s="7" t="s">
        <v>355</v>
      </c>
      <c r="C133" s="7" t="s">
        <v>417</v>
      </c>
      <c r="D133" s="7" t="s">
        <v>418</v>
      </c>
      <c r="E133" s="7" t="s">
        <v>268</v>
      </c>
      <c r="F133" s="7" t="s">
        <v>256</v>
      </c>
      <c r="G133" s="7" t="s">
        <v>419</v>
      </c>
      <c r="H133" s="7" t="s">
        <v>115</v>
      </c>
      <c r="I133" s="7" t="s">
        <v>316</v>
      </c>
      <c r="J133" s="7" t="s">
        <v>351</v>
      </c>
      <c r="K133" s="7" t="s">
        <v>420</v>
      </c>
      <c r="L133" s="7" t="s">
        <v>351</v>
      </c>
      <c r="M133" s="7" t="s">
        <v>303</v>
      </c>
      <c r="N133" s="7" t="s">
        <v>261</v>
      </c>
      <c r="O133" s="7" t="s">
        <v>195</v>
      </c>
      <c r="P133" s="7" t="s">
        <v>17</v>
      </c>
      <c r="Q133" s="7" t="s">
        <v>285</v>
      </c>
      <c r="R133" s="7" t="s">
        <v>263</v>
      </c>
    </row>
    <row r="134" spans="1:18">
      <c r="A134" s="7" t="s">
        <v>590</v>
      </c>
      <c r="B134" s="7" t="s">
        <v>320</v>
      </c>
      <c r="C134" s="7" t="s">
        <v>591</v>
      </c>
      <c r="D134" s="7" t="s">
        <v>592</v>
      </c>
      <c r="E134" s="7" t="s">
        <v>268</v>
      </c>
      <c r="F134" s="7" t="s">
        <v>256</v>
      </c>
      <c r="G134" s="7" t="s">
        <v>419</v>
      </c>
      <c r="H134" s="7" t="s">
        <v>122</v>
      </c>
      <c r="I134" s="7" t="s">
        <v>258</v>
      </c>
      <c r="J134" s="7" t="s">
        <v>399</v>
      </c>
      <c r="K134" s="7"/>
      <c r="L134" s="7"/>
      <c r="M134" s="7" t="s">
        <v>260</v>
      </c>
      <c r="N134" s="7" t="s">
        <v>261</v>
      </c>
      <c r="O134" s="7" t="s">
        <v>195</v>
      </c>
      <c r="P134" s="7"/>
      <c r="Q134" s="7" t="s">
        <v>318</v>
      </c>
      <c r="R134" s="7" t="s">
        <v>263</v>
      </c>
    </row>
    <row r="135" spans="1:18">
      <c r="A135" s="7" t="s">
        <v>618</v>
      </c>
      <c r="B135" s="7" t="s">
        <v>585</v>
      </c>
      <c r="C135" s="7" t="s">
        <v>561</v>
      </c>
      <c r="D135" s="7" t="s">
        <v>362</v>
      </c>
      <c r="E135" s="7" t="s">
        <v>268</v>
      </c>
      <c r="F135" s="7" t="s">
        <v>256</v>
      </c>
      <c r="G135" s="7" t="s">
        <v>419</v>
      </c>
      <c r="H135" s="7" t="s">
        <v>115</v>
      </c>
      <c r="I135" s="7" t="s">
        <v>258</v>
      </c>
      <c r="J135" s="7" t="s">
        <v>259</v>
      </c>
      <c r="K135" s="7" t="s">
        <v>334</v>
      </c>
      <c r="L135" s="7" t="s">
        <v>619</v>
      </c>
      <c r="M135" s="7" t="s">
        <v>293</v>
      </c>
      <c r="N135" s="7" t="s">
        <v>261</v>
      </c>
      <c r="O135" s="7" t="s">
        <v>195</v>
      </c>
      <c r="P135" s="7" t="s">
        <v>8</v>
      </c>
      <c r="Q135" s="7" t="s">
        <v>262</v>
      </c>
      <c r="R135" s="7" t="s">
        <v>263</v>
      </c>
    </row>
    <row r="136" spans="1:18">
      <c r="A136" s="7" t="s">
        <v>620</v>
      </c>
      <c r="B136" s="7" t="s">
        <v>396</v>
      </c>
      <c r="C136" s="7" t="s">
        <v>621</v>
      </c>
      <c r="D136" s="7" t="s">
        <v>622</v>
      </c>
      <c r="E136" s="7" t="s">
        <v>268</v>
      </c>
      <c r="F136" s="7" t="s">
        <v>256</v>
      </c>
      <c r="G136" s="7" t="s">
        <v>419</v>
      </c>
      <c r="H136" s="7" t="s">
        <v>122</v>
      </c>
      <c r="I136" s="7" t="s">
        <v>258</v>
      </c>
      <c r="J136" s="7" t="s">
        <v>392</v>
      </c>
      <c r="K136" s="7"/>
      <c r="L136" s="7"/>
      <c r="M136" s="7" t="s">
        <v>260</v>
      </c>
      <c r="N136" s="7" t="s">
        <v>261</v>
      </c>
      <c r="O136" s="7" t="s">
        <v>195</v>
      </c>
      <c r="P136" s="7"/>
      <c r="Q136" s="7" t="s">
        <v>262</v>
      </c>
      <c r="R136" s="7" t="s">
        <v>263</v>
      </c>
    </row>
    <row r="137" spans="1:18">
      <c r="A137" s="7" t="s">
        <v>733</v>
      </c>
      <c r="B137" s="7" t="s">
        <v>278</v>
      </c>
      <c r="C137" s="7" t="s">
        <v>507</v>
      </c>
      <c r="D137" s="7" t="s">
        <v>350</v>
      </c>
      <c r="E137" s="7" t="s">
        <v>268</v>
      </c>
      <c r="F137" s="7" t="s">
        <v>256</v>
      </c>
      <c r="G137" s="7" t="s">
        <v>419</v>
      </c>
      <c r="H137" s="7" t="s">
        <v>115</v>
      </c>
      <c r="I137" s="7" t="s">
        <v>299</v>
      </c>
      <c r="J137" s="7" t="s">
        <v>358</v>
      </c>
      <c r="K137" s="7" t="s">
        <v>734</v>
      </c>
      <c r="L137" s="7" t="s">
        <v>359</v>
      </c>
      <c r="M137" s="7" t="s">
        <v>335</v>
      </c>
      <c r="N137" s="7" t="s">
        <v>261</v>
      </c>
      <c r="O137" s="7" t="s">
        <v>195</v>
      </c>
      <c r="P137" s="7" t="s">
        <v>14</v>
      </c>
      <c r="Q137" s="7" t="s">
        <v>262</v>
      </c>
      <c r="R137" s="7" t="s">
        <v>263</v>
      </c>
    </row>
    <row r="138" spans="1:18">
      <c r="A138" s="7" t="s">
        <v>799</v>
      </c>
      <c r="B138" s="7" t="s">
        <v>458</v>
      </c>
      <c r="C138" s="7" t="s">
        <v>517</v>
      </c>
      <c r="D138" s="7" t="s">
        <v>800</v>
      </c>
      <c r="E138" s="7" t="s">
        <v>268</v>
      </c>
      <c r="F138" s="7" t="s">
        <v>256</v>
      </c>
      <c r="G138" s="7" t="s">
        <v>419</v>
      </c>
      <c r="H138" s="7" t="s">
        <v>115</v>
      </c>
      <c r="I138" s="7" t="s">
        <v>299</v>
      </c>
      <c r="J138" s="7" t="s">
        <v>259</v>
      </c>
      <c r="K138" s="7" t="s">
        <v>801</v>
      </c>
      <c r="L138" s="7" t="s">
        <v>802</v>
      </c>
      <c r="M138" s="7" t="s">
        <v>293</v>
      </c>
      <c r="N138" s="7" t="s">
        <v>261</v>
      </c>
      <c r="O138" s="7" t="s">
        <v>195</v>
      </c>
      <c r="P138" s="7" t="s">
        <v>260</v>
      </c>
      <c r="Q138" s="7" t="s">
        <v>262</v>
      </c>
      <c r="R138" s="7" t="s">
        <v>263</v>
      </c>
    </row>
    <row r="139" spans="1:18">
      <c r="A139" s="7" t="s">
        <v>816</v>
      </c>
      <c r="B139" s="7" t="s">
        <v>473</v>
      </c>
      <c r="C139" s="7" t="s">
        <v>591</v>
      </c>
      <c r="D139" s="7" t="s">
        <v>321</v>
      </c>
      <c r="E139" s="7" t="s">
        <v>268</v>
      </c>
      <c r="F139" s="7" t="s">
        <v>256</v>
      </c>
      <c r="G139" s="7" t="s">
        <v>419</v>
      </c>
      <c r="H139" s="7" t="s">
        <v>115</v>
      </c>
      <c r="I139" s="7" t="s">
        <v>271</v>
      </c>
      <c r="J139" s="7" t="s">
        <v>411</v>
      </c>
      <c r="K139" s="7" t="s">
        <v>817</v>
      </c>
      <c r="L139" s="7" t="s">
        <v>818</v>
      </c>
      <c r="M139" s="7" t="s">
        <v>303</v>
      </c>
      <c r="N139" s="7" t="s">
        <v>261</v>
      </c>
      <c r="O139" s="7" t="s">
        <v>169</v>
      </c>
      <c r="P139" s="7" t="s">
        <v>14</v>
      </c>
      <c r="Q139" s="7" t="s">
        <v>326</v>
      </c>
      <c r="R139" s="7" t="s">
        <v>263</v>
      </c>
    </row>
    <row r="140" spans="1:18">
      <c r="A140" s="7" t="s">
        <v>868</v>
      </c>
      <c r="B140" s="7" t="s">
        <v>407</v>
      </c>
      <c r="C140" s="7" t="s">
        <v>349</v>
      </c>
      <c r="D140" s="7" t="s">
        <v>397</v>
      </c>
      <c r="E140" s="7" t="s">
        <v>268</v>
      </c>
      <c r="F140" s="7" t="s">
        <v>256</v>
      </c>
      <c r="G140" s="7" t="s">
        <v>419</v>
      </c>
      <c r="H140" s="7" t="s">
        <v>115</v>
      </c>
      <c r="I140" s="7" t="s">
        <v>299</v>
      </c>
      <c r="J140" s="7" t="s">
        <v>411</v>
      </c>
      <c r="K140" s="7" t="s">
        <v>869</v>
      </c>
      <c r="L140" s="7" t="s">
        <v>870</v>
      </c>
      <c r="M140" s="7" t="s">
        <v>335</v>
      </c>
      <c r="N140" s="7" t="s">
        <v>261</v>
      </c>
      <c r="O140" s="7" t="s">
        <v>195</v>
      </c>
      <c r="P140" s="7" t="s">
        <v>14</v>
      </c>
      <c r="Q140" s="7" t="s">
        <v>285</v>
      </c>
      <c r="R140" s="7" t="s">
        <v>263</v>
      </c>
    </row>
    <row r="141" spans="1:18">
      <c r="A141" s="7" t="s">
        <v>885</v>
      </c>
      <c r="B141" s="7" t="s">
        <v>522</v>
      </c>
      <c r="C141" s="7" t="s">
        <v>266</v>
      </c>
      <c r="D141" s="7" t="s">
        <v>280</v>
      </c>
      <c r="E141" s="7" t="s">
        <v>268</v>
      </c>
      <c r="F141" s="7" t="s">
        <v>256</v>
      </c>
      <c r="G141" s="7" t="s">
        <v>886</v>
      </c>
      <c r="H141" s="7" t="s">
        <v>115</v>
      </c>
      <c r="I141" s="7" t="s">
        <v>299</v>
      </c>
      <c r="J141" s="7" t="s">
        <v>392</v>
      </c>
      <c r="K141" s="7" t="s">
        <v>887</v>
      </c>
      <c r="L141" s="7" t="s">
        <v>833</v>
      </c>
      <c r="M141" s="7" t="s">
        <v>293</v>
      </c>
      <c r="N141" s="7" t="s">
        <v>888</v>
      </c>
      <c r="O141" s="7" t="s">
        <v>195</v>
      </c>
      <c r="P141" s="7" t="s">
        <v>11</v>
      </c>
      <c r="Q141" s="7" t="s">
        <v>305</v>
      </c>
      <c r="R141" s="7" t="s">
        <v>263</v>
      </c>
    </row>
    <row r="142" spans="1:18">
      <c r="A142" s="7" t="s">
        <v>427</v>
      </c>
      <c r="B142" s="7" t="s">
        <v>356</v>
      </c>
      <c r="C142" s="7" t="s">
        <v>307</v>
      </c>
      <c r="D142" s="7" t="s">
        <v>428</v>
      </c>
      <c r="E142" s="7" t="s">
        <v>281</v>
      </c>
      <c r="F142" s="7" t="s">
        <v>256</v>
      </c>
      <c r="G142" s="7" t="s">
        <v>429</v>
      </c>
      <c r="H142" s="7" t="s">
        <v>115</v>
      </c>
      <c r="I142" s="7" t="s">
        <v>258</v>
      </c>
      <c r="J142" s="7" t="s">
        <v>358</v>
      </c>
      <c r="K142" s="7" t="s">
        <v>430</v>
      </c>
      <c r="L142" s="7" t="s">
        <v>431</v>
      </c>
      <c r="M142" s="7" t="s">
        <v>303</v>
      </c>
      <c r="N142" s="7" t="s">
        <v>261</v>
      </c>
      <c r="O142" s="7" t="s">
        <v>195</v>
      </c>
      <c r="P142" s="7" t="s">
        <v>11</v>
      </c>
      <c r="Q142" s="7" t="s">
        <v>318</v>
      </c>
      <c r="R142" s="7" t="s">
        <v>263</v>
      </c>
    </row>
    <row r="143" spans="1:18">
      <c r="A143" s="7" t="s">
        <v>506</v>
      </c>
      <c r="B143" s="7" t="s">
        <v>406</v>
      </c>
      <c r="C143" s="7" t="s">
        <v>507</v>
      </c>
      <c r="D143" s="7" t="s">
        <v>508</v>
      </c>
      <c r="E143" s="7" t="s">
        <v>281</v>
      </c>
      <c r="F143" s="7" t="s">
        <v>256</v>
      </c>
      <c r="G143" s="7" t="s">
        <v>429</v>
      </c>
      <c r="H143" s="7" t="s">
        <v>122</v>
      </c>
      <c r="I143" s="7" t="s">
        <v>258</v>
      </c>
      <c r="J143" s="7" t="s">
        <v>272</v>
      </c>
      <c r="K143" s="7"/>
      <c r="L143" s="7"/>
      <c r="M143" s="7" t="s">
        <v>260</v>
      </c>
      <c r="N143" s="7" t="s">
        <v>261</v>
      </c>
      <c r="O143" s="7" t="s">
        <v>195</v>
      </c>
      <c r="P143" s="7"/>
      <c r="Q143" s="7" t="s">
        <v>318</v>
      </c>
      <c r="R143" s="7" t="s">
        <v>263</v>
      </c>
    </row>
    <row r="144" spans="1:18">
      <c r="A144" s="7" t="s">
        <v>512</v>
      </c>
      <c r="B144" s="7" t="s">
        <v>278</v>
      </c>
      <c r="C144" s="7" t="s">
        <v>513</v>
      </c>
      <c r="D144" s="7" t="s">
        <v>514</v>
      </c>
      <c r="E144" s="7" t="s">
        <v>281</v>
      </c>
      <c r="F144" s="7" t="s">
        <v>256</v>
      </c>
      <c r="G144" s="7" t="s">
        <v>429</v>
      </c>
      <c r="H144" s="7" t="s">
        <v>115</v>
      </c>
      <c r="I144" s="7" t="s">
        <v>316</v>
      </c>
      <c r="J144" s="7" t="s">
        <v>346</v>
      </c>
      <c r="K144" s="7" t="s">
        <v>346</v>
      </c>
      <c r="L144" s="7" t="s">
        <v>347</v>
      </c>
      <c r="M144" s="7" t="s">
        <v>303</v>
      </c>
      <c r="N144" s="7" t="s">
        <v>261</v>
      </c>
      <c r="O144" s="7" t="s">
        <v>169</v>
      </c>
      <c r="P144" s="7" t="s">
        <v>8</v>
      </c>
      <c r="Q144" s="7" t="s">
        <v>318</v>
      </c>
      <c r="R144" s="7" t="s">
        <v>263</v>
      </c>
    </row>
    <row r="145" spans="1:18">
      <c r="A145" s="7" t="s">
        <v>794</v>
      </c>
      <c r="B145" s="7" t="s">
        <v>666</v>
      </c>
      <c r="C145" s="7" t="s">
        <v>417</v>
      </c>
      <c r="D145" s="7" t="s">
        <v>795</v>
      </c>
      <c r="E145" s="7" t="s">
        <v>281</v>
      </c>
      <c r="F145" s="7" t="s">
        <v>256</v>
      </c>
      <c r="G145" s="7" t="s">
        <v>796</v>
      </c>
      <c r="H145" s="7" t="s">
        <v>115</v>
      </c>
      <c r="I145" s="7" t="s">
        <v>299</v>
      </c>
      <c r="J145" s="7" t="s">
        <v>469</v>
      </c>
      <c r="K145" s="7" t="s">
        <v>797</v>
      </c>
      <c r="L145" s="7" t="s">
        <v>798</v>
      </c>
      <c r="M145" s="7" t="s">
        <v>293</v>
      </c>
      <c r="N145" s="7" t="s">
        <v>261</v>
      </c>
      <c r="O145" s="7" t="s">
        <v>195</v>
      </c>
      <c r="P145" s="7" t="s">
        <v>8</v>
      </c>
      <c r="Q145" s="7" t="s">
        <v>285</v>
      </c>
      <c r="R145" s="7" t="s">
        <v>263</v>
      </c>
    </row>
    <row r="146" spans="1:18">
      <c r="A146" s="7" t="s">
        <v>852</v>
      </c>
      <c r="B146" s="7" t="s">
        <v>473</v>
      </c>
      <c r="C146" s="7" t="s">
        <v>561</v>
      </c>
      <c r="D146" s="7" t="s">
        <v>853</v>
      </c>
      <c r="E146" s="7" t="s">
        <v>281</v>
      </c>
      <c r="F146" s="7" t="s">
        <v>256</v>
      </c>
      <c r="G146" s="7" t="s">
        <v>796</v>
      </c>
      <c r="H146" s="7" t="s">
        <v>115</v>
      </c>
      <c r="I146" s="7" t="s">
        <v>271</v>
      </c>
      <c r="J146" s="7" t="s">
        <v>259</v>
      </c>
      <c r="K146" s="7" t="s">
        <v>854</v>
      </c>
      <c r="L146" s="7" t="s">
        <v>855</v>
      </c>
      <c r="M146" s="7" t="s">
        <v>293</v>
      </c>
      <c r="N146" s="7" t="s">
        <v>261</v>
      </c>
      <c r="O146" s="7" t="s">
        <v>195</v>
      </c>
      <c r="P146" s="7" t="s">
        <v>14</v>
      </c>
      <c r="Q146" s="7" t="s">
        <v>305</v>
      </c>
      <c r="R146" s="7" t="s">
        <v>263</v>
      </c>
    </row>
    <row r="147" spans="1:18">
      <c r="A147" s="7" t="s">
        <v>342</v>
      </c>
      <c r="B147" s="7" t="s">
        <v>266</v>
      </c>
      <c r="C147" s="7" t="s">
        <v>343</v>
      </c>
      <c r="D147" s="7" t="s">
        <v>344</v>
      </c>
      <c r="E147" s="7" t="s">
        <v>339</v>
      </c>
      <c r="F147" s="7" t="s">
        <v>256</v>
      </c>
      <c r="G147" s="7" t="s">
        <v>345</v>
      </c>
      <c r="H147" s="7" t="s">
        <v>115</v>
      </c>
      <c r="I147" s="7" t="s">
        <v>299</v>
      </c>
      <c r="J147" s="7" t="s">
        <v>346</v>
      </c>
      <c r="K147" s="7" t="s">
        <v>346</v>
      </c>
      <c r="L147" s="7" t="s">
        <v>347</v>
      </c>
      <c r="M147" s="7" t="s">
        <v>303</v>
      </c>
      <c r="N147" s="7" t="s">
        <v>261</v>
      </c>
      <c r="O147" s="7" t="s">
        <v>195</v>
      </c>
      <c r="P147" s="7" t="s">
        <v>14</v>
      </c>
      <c r="Q147" s="7" t="s">
        <v>326</v>
      </c>
      <c r="R147" s="7" t="s">
        <v>263</v>
      </c>
    </row>
    <row r="148" spans="1:18">
      <c r="A148" s="7" t="s">
        <v>400</v>
      </c>
      <c r="B148" s="7" t="s">
        <v>265</v>
      </c>
      <c r="C148" s="7" t="s">
        <v>401</v>
      </c>
      <c r="D148" s="7" t="s">
        <v>402</v>
      </c>
      <c r="E148" s="7" t="s">
        <v>339</v>
      </c>
      <c r="F148" s="7" t="s">
        <v>256</v>
      </c>
      <c r="G148" s="7" t="s">
        <v>403</v>
      </c>
      <c r="H148" s="7" t="s">
        <v>127</v>
      </c>
      <c r="I148" s="7" t="s">
        <v>299</v>
      </c>
      <c r="J148" s="7" t="s">
        <v>404</v>
      </c>
      <c r="K148" s="7"/>
      <c r="L148" s="7"/>
      <c r="M148" s="7" t="s">
        <v>260</v>
      </c>
      <c r="N148" s="7" t="s">
        <v>261</v>
      </c>
      <c r="O148" s="7" t="s">
        <v>169</v>
      </c>
      <c r="P148" s="7"/>
      <c r="Q148" s="7" t="s">
        <v>262</v>
      </c>
      <c r="R148" s="7" t="s">
        <v>263</v>
      </c>
    </row>
    <row r="149" spans="1:18">
      <c r="A149" s="7" t="s">
        <v>438</v>
      </c>
      <c r="B149" s="7" t="s">
        <v>439</v>
      </c>
      <c r="C149" s="7" t="s">
        <v>440</v>
      </c>
      <c r="D149" s="7" t="s">
        <v>441</v>
      </c>
      <c r="E149" s="7" t="s">
        <v>339</v>
      </c>
      <c r="F149" s="7" t="s">
        <v>256</v>
      </c>
      <c r="G149" s="7" t="s">
        <v>345</v>
      </c>
      <c r="H149" s="7" t="s">
        <v>115</v>
      </c>
      <c r="I149" s="7" t="s">
        <v>258</v>
      </c>
      <c r="J149" s="7" t="s">
        <v>411</v>
      </c>
      <c r="K149" s="7" t="s">
        <v>442</v>
      </c>
      <c r="L149" s="7" t="s">
        <v>443</v>
      </c>
      <c r="M149" s="7" t="s">
        <v>275</v>
      </c>
      <c r="N149" s="7" t="s">
        <v>261</v>
      </c>
      <c r="O149" s="7" t="s">
        <v>195</v>
      </c>
      <c r="P149" s="7" t="s">
        <v>14</v>
      </c>
      <c r="Q149" s="7" t="s">
        <v>285</v>
      </c>
      <c r="R149" s="7" t="s">
        <v>263</v>
      </c>
    </row>
    <row r="150" spans="1:18">
      <c r="A150" s="7" t="s">
        <v>479</v>
      </c>
      <c r="B150" s="7" t="s">
        <v>388</v>
      </c>
      <c r="C150" s="7" t="s">
        <v>288</v>
      </c>
      <c r="D150" s="7" t="s">
        <v>480</v>
      </c>
      <c r="E150" s="7" t="s">
        <v>339</v>
      </c>
      <c r="F150" s="7" t="s">
        <v>256</v>
      </c>
      <c r="G150" s="7" t="s">
        <v>403</v>
      </c>
      <c r="H150" s="7" t="s">
        <v>115</v>
      </c>
      <c r="I150" s="7" t="s">
        <v>316</v>
      </c>
      <c r="J150" s="7" t="s">
        <v>300</v>
      </c>
      <c r="K150" s="7" t="s">
        <v>481</v>
      </c>
      <c r="L150" s="7" t="s">
        <v>482</v>
      </c>
      <c r="M150" s="7" t="s">
        <v>293</v>
      </c>
      <c r="N150" s="7" t="s">
        <v>261</v>
      </c>
      <c r="O150" s="7" t="s">
        <v>483</v>
      </c>
      <c r="P150" s="7" t="s">
        <v>8</v>
      </c>
      <c r="Q150" s="7" t="s">
        <v>326</v>
      </c>
      <c r="R150" s="7" t="s">
        <v>263</v>
      </c>
    </row>
    <row r="151" spans="1:18">
      <c r="A151" s="7" t="s">
        <v>632</v>
      </c>
      <c r="B151" s="7" t="s">
        <v>633</v>
      </c>
      <c r="C151" s="7" t="s">
        <v>459</v>
      </c>
      <c r="D151" s="7" t="s">
        <v>634</v>
      </c>
      <c r="E151" s="7" t="s">
        <v>339</v>
      </c>
      <c r="F151" s="7" t="s">
        <v>256</v>
      </c>
      <c r="G151" s="7" t="s">
        <v>345</v>
      </c>
      <c r="H151" s="7" t="s">
        <v>115</v>
      </c>
      <c r="I151" s="7" t="s">
        <v>299</v>
      </c>
      <c r="J151" s="7" t="s">
        <v>399</v>
      </c>
      <c r="K151" s="7" t="s">
        <v>635</v>
      </c>
      <c r="L151" s="7" t="s">
        <v>636</v>
      </c>
      <c r="M151" s="7" t="s">
        <v>275</v>
      </c>
      <c r="N151" s="7" t="s">
        <v>261</v>
      </c>
      <c r="O151" s="7" t="s">
        <v>169</v>
      </c>
      <c r="P151" s="7" t="s">
        <v>11</v>
      </c>
      <c r="Q151" s="7" t="s">
        <v>326</v>
      </c>
      <c r="R151" s="7" t="s">
        <v>263</v>
      </c>
    </row>
    <row r="152" spans="1:18">
      <c r="A152" s="7" t="s">
        <v>703</v>
      </c>
      <c r="B152" s="7" t="s">
        <v>279</v>
      </c>
      <c r="C152" s="7" t="s">
        <v>433</v>
      </c>
      <c r="D152" s="7" t="s">
        <v>704</v>
      </c>
      <c r="E152" s="7" t="s">
        <v>339</v>
      </c>
      <c r="F152" s="7" t="s">
        <v>256</v>
      </c>
      <c r="G152" s="7" t="s">
        <v>403</v>
      </c>
      <c r="H152" s="7" t="s">
        <v>127</v>
      </c>
      <c r="I152" s="7" t="s">
        <v>316</v>
      </c>
      <c r="J152" s="7" t="s">
        <v>259</v>
      </c>
      <c r="K152" s="7"/>
      <c r="L152" s="7"/>
      <c r="M152" s="7" t="s">
        <v>260</v>
      </c>
      <c r="N152" s="7" t="s">
        <v>261</v>
      </c>
      <c r="O152" s="7" t="s">
        <v>195</v>
      </c>
      <c r="P152" s="7"/>
      <c r="Q152" s="7" t="s">
        <v>285</v>
      </c>
      <c r="R152" s="7" t="s">
        <v>263</v>
      </c>
    </row>
    <row r="153" spans="1:18">
      <c r="A153" s="7" t="s">
        <v>716</v>
      </c>
      <c r="B153" s="7" t="s">
        <v>337</v>
      </c>
      <c r="C153" s="7" t="s">
        <v>356</v>
      </c>
      <c r="D153" s="7" t="s">
        <v>717</v>
      </c>
      <c r="E153" s="7" t="s">
        <v>339</v>
      </c>
      <c r="F153" s="7" t="s">
        <v>256</v>
      </c>
      <c r="G153" s="7" t="s">
        <v>345</v>
      </c>
      <c r="H153" s="7" t="s">
        <v>115</v>
      </c>
      <c r="I153" s="7" t="s">
        <v>271</v>
      </c>
      <c r="J153" s="7" t="s">
        <v>272</v>
      </c>
      <c r="K153" s="7" t="s">
        <v>718</v>
      </c>
      <c r="L153" s="7" t="s">
        <v>719</v>
      </c>
      <c r="M153" s="7" t="s">
        <v>303</v>
      </c>
      <c r="N153" s="7" t="s">
        <v>261</v>
      </c>
      <c r="O153" s="7" t="s">
        <v>195</v>
      </c>
      <c r="P153" s="7" t="s">
        <v>17</v>
      </c>
      <c r="Q153" s="7" t="s">
        <v>262</v>
      </c>
      <c r="R153" s="7" t="s">
        <v>263</v>
      </c>
    </row>
    <row r="154" spans="1:18">
      <c r="A154" s="7" t="s">
        <v>748</v>
      </c>
      <c r="B154" s="7" t="s">
        <v>287</v>
      </c>
      <c r="C154" s="7" t="s">
        <v>252</v>
      </c>
      <c r="D154" s="7" t="s">
        <v>741</v>
      </c>
      <c r="E154" s="7" t="s">
        <v>339</v>
      </c>
      <c r="F154" s="7" t="s">
        <v>256</v>
      </c>
      <c r="G154" s="7" t="s">
        <v>345</v>
      </c>
      <c r="H154" s="7" t="s">
        <v>115</v>
      </c>
      <c r="I154" s="7" t="s">
        <v>316</v>
      </c>
      <c r="J154" s="7" t="s">
        <v>392</v>
      </c>
      <c r="K154" s="7" t="s">
        <v>749</v>
      </c>
      <c r="L154" s="7" t="s">
        <v>411</v>
      </c>
      <c r="M154" s="7" t="s">
        <v>303</v>
      </c>
      <c r="N154" s="7" t="s">
        <v>261</v>
      </c>
      <c r="O154" s="7" t="s">
        <v>195</v>
      </c>
      <c r="P154" s="7" t="s">
        <v>14</v>
      </c>
      <c r="Q154" s="7" t="s">
        <v>305</v>
      </c>
      <c r="R154" s="7" t="s">
        <v>263</v>
      </c>
    </row>
    <row r="155" spans="1:18">
      <c r="A155" s="7" t="s">
        <v>864</v>
      </c>
      <c r="B155" s="7" t="s">
        <v>396</v>
      </c>
      <c r="C155" s="7" t="s">
        <v>517</v>
      </c>
      <c r="D155" s="7" t="s">
        <v>865</v>
      </c>
      <c r="E155" s="7" t="s">
        <v>339</v>
      </c>
      <c r="F155" s="7" t="s">
        <v>256</v>
      </c>
      <c r="G155" s="7" t="s">
        <v>345</v>
      </c>
      <c r="H155" s="7" t="s">
        <v>115</v>
      </c>
      <c r="I155" s="7" t="s">
        <v>271</v>
      </c>
      <c r="J155" s="7" t="s">
        <v>469</v>
      </c>
      <c r="K155" s="7" t="s">
        <v>866</v>
      </c>
      <c r="L155" s="7" t="s">
        <v>469</v>
      </c>
      <c r="M155" s="7" t="s">
        <v>275</v>
      </c>
      <c r="N155" s="7" t="s">
        <v>261</v>
      </c>
      <c r="O155" s="7" t="s">
        <v>169</v>
      </c>
      <c r="P155" s="7" t="s">
        <v>17</v>
      </c>
      <c r="Q155" s="7" t="s">
        <v>305</v>
      </c>
      <c r="R155" s="7" t="s">
        <v>263</v>
      </c>
    </row>
    <row r="156" spans="1:18">
      <c r="A156" s="7" t="s">
        <v>251</v>
      </c>
      <c r="B156" s="7" t="s">
        <v>252</v>
      </c>
      <c r="C156" s="7" t="s">
        <v>253</v>
      </c>
      <c r="D156" s="7" t="s">
        <v>254</v>
      </c>
      <c r="E156" s="7" t="s">
        <v>255</v>
      </c>
      <c r="F156" s="7" t="s">
        <v>256</v>
      </c>
      <c r="G156" s="7" t="s">
        <v>257</v>
      </c>
      <c r="H156" s="7" t="s">
        <v>127</v>
      </c>
      <c r="I156" s="7" t="s">
        <v>258</v>
      </c>
      <c r="J156" s="7" t="s">
        <v>259</v>
      </c>
      <c r="K156" s="7"/>
      <c r="L156" s="7"/>
      <c r="M156" s="7" t="s">
        <v>260</v>
      </c>
      <c r="N156" s="7" t="s">
        <v>261</v>
      </c>
      <c r="O156" s="7" t="s">
        <v>169</v>
      </c>
      <c r="P156" s="7"/>
      <c r="Q156" s="7" t="s">
        <v>262</v>
      </c>
      <c r="R156" s="7" t="s">
        <v>263</v>
      </c>
    </row>
    <row r="157" spans="1:18">
      <c r="A157" s="7" t="s">
        <v>312</v>
      </c>
      <c r="B157" s="7" t="s">
        <v>313</v>
      </c>
      <c r="C157" s="7" t="s">
        <v>314</v>
      </c>
      <c r="D157" s="7" t="s">
        <v>315</v>
      </c>
      <c r="E157" s="7" t="s">
        <v>255</v>
      </c>
      <c r="F157" s="7" t="s">
        <v>256</v>
      </c>
      <c r="G157" s="7" t="s">
        <v>257</v>
      </c>
      <c r="H157" s="7" t="s">
        <v>115</v>
      </c>
      <c r="I157" s="7" t="s">
        <v>316</v>
      </c>
      <c r="J157" s="7" t="s">
        <v>259</v>
      </c>
      <c r="K157" s="7" t="s">
        <v>317</v>
      </c>
      <c r="L157" s="7" t="s">
        <v>259</v>
      </c>
      <c r="M157" s="7" t="s">
        <v>293</v>
      </c>
      <c r="N157" s="7" t="s">
        <v>261</v>
      </c>
      <c r="O157" s="7" t="s">
        <v>169</v>
      </c>
      <c r="P157" s="7" t="s">
        <v>14</v>
      </c>
      <c r="Q157" s="7" t="s">
        <v>318</v>
      </c>
      <c r="R157" s="7" t="s">
        <v>263</v>
      </c>
    </row>
    <row r="158" spans="1:18">
      <c r="A158" s="7" t="s">
        <v>371</v>
      </c>
      <c r="B158" s="7" t="s">
        <v>328</v>
      </c>
      <c r="C158" s="7" t="s">
        <v>343</v>
      </c>
      <c r="D158" s="7" t="s">
        <v>372</v>
      </c>
      <c r="E158" s="7" t="s">
        <v>255</v>
      </c>
      <c r="F158" s="7" t="s">
        <v>256</v>
      </c>
      <c r="G158" s="7" t="s">
        <v>257</v>
      </c>
      <c r="H158" s="7" t="s">
        <v>115</v>
      </c>
      <c r="I158" s="7" t="s">
        <v>258</v>
      </c>
      <c r="J158" s="7" t="s">
        <v>332</v>
      </c>
      <c r="K158" s="7" t="s">
        <v>373</v>
      </c>
      <c r="L158" s="7" t="s">
        <v>374</v>
      </c>
      <c r="M158" s="7" t="s">
        <v>303</v>
      </c>
      <c r="N158" s="7" t="s">
        <v>261</v>
      </c>
      <c r="O158" s="7" t="s">
        <v>195</v>
      </c>
      <c r="P158" s="7" t="s">
        <v>8</v>
      </c>
      <c r="Q158" s="7" t="s">
        <v>285</v>
      </c>
      <c r="R158" s="7" t="s">
        <v>263</v>
      </c>
    </row>
    <row r="159" spans="1:18">
      <c r="A159" s="7" t="s">
        <v>395</v>
      </c>
      <c r="B159" s="7" t="s">
        <v>396</v>
      </c>
      <c r="C159" s="7" t="s">
        <v>266</v>
      </c>
      <c r="D159" s="7" t="s">
        <v>397</v>
      </c>
      <c r="E159" s="7" t="s">
        <v>255</v>
      </c>
      <c r="F159" s="7" t="s">
        <v>256</v>
      </c>
      <c r="G159" s="7" t="s">
        <v>398</v>
      </c>
      <c r="H159" s="7" t="s">
        <v>127</v>
      </c>
      <c r="I159" s="7" t="s">
        <v>316</v>
      </c>
      <c r="J159" s="7" t="s">
        <v>399</v>
      </c>
      <c r="K159" s="7"/>
      <c r="L159" s="7"/>
      <c r="M159" s="7" t="s">
        <v>260</v>
      </c>
      <c r="N159" s="7" t="s">
        <v>261</v>
      </c>
      <c r="O159" s="7" t="s">
        <v>195</v>
      </c>
      <c r="P159" s="7"/>
      <c r="Q159" s="7" t="s">
        <v>262</v>
      </c>
      <c r="R159" s="7" t="s">
        <v>263</v>
      </c>
    </row>
    <row r="160" spans="1:18">
      <c r="A160" s="7" t="s">
        <v>576</v>
      </c>
      <c r="B160" s="7" t="s">
        <v>458</v>
      </c>
      <c r="C160" s="7" t="s">
        <v>507</v>
      </c>
      <c r="D160" s="7" t="s">
        <v>577</v>
      </c>
      <c r="E160" s="7" t="s">
        <v>255</v>
      </c>
      <c r="F160" s="7" t="s">
        <v>256</v>
      </c>
      <c r="G160" s="7" t="s">
        <v>398</v>
      </c>
      <c r="H160" s="7" t="s">
        <v>127</v>
      </c>
      <c r="I160" s="7" t="s">
        <v>258</v>
      </c>
      <c r="J160" s="7" t="s">
        <v>411</v>
      </c>
      <c r="K160" s="7"/>
      <c r="L160" s="7"/>
      <c r="M160" s="7" t="s">
        <v>260</v>
      </c>
      <c r="N160" s="7" t="s">
        <v>261</v>
      </c>
      <c r="O160" s="7" t="s">
        <v>195</v>
      </c>
      <c r="P160" s="7"/>
      <c r="Q160" s="7" t="s">
        <v>318</v>
      </c>
      <c r="R160" s="7" t="s">
        <v>263</v>
      </c>
    </row>
    <row r="161" spans="1:18">
      <c r="A161" s="7" t="s">
        <v>623</v>
      </c>
      <c r="B161" s="7" t="s">
        <v>337</v>
      </c>
      <c r="C161" s="7" t="s">
        <v>401</v>
      </c>
      <c r="D161" s="7" t="s">
        <v>624</v>
      </c>
      <c r="E161" s="7" t="s">
        <v>255</v>
      </c>
      <c r="F161" s="7" t="s">
        <v>256</v>
      </c>
      <c r="G161" s="7" t="s">
        <v>257</v>
      </c>
      <c r="H161" s="7" t="s">
        <v>115</v>
      </c>
      <c r="I161" s="7" t="s">
        <v>316</v>
      </c>
      <c r="J161" s="7" t="s">
        <v>447</v>
      </c>
      <c r="K161" s="7" t="s">
        <v>625</v>
      </c>
      <c r="L161" s="7" t="s">
        <v>626</v>
      </c>
      <c r="M161" s="7" t="s">
        <v>335</v>
      </c>
      <c r="N161" s="7" t="s">
        <v>261</v>
      </c>
      <c r="O161" s="7" t="s">
        <v>195</v>
      </c>
      <c r="P161" s="7" t="s">
        <v>17</v>
      </c>
      <c r="Q161" s="7" t="s">
        <v>326</v>
      </c>
      <c r="R161" s="7" t="s">
        <v>263</v>
      </c>
    </row>
    <row r="162" spans="1:18">
      <c r="A162" s="7" t="s">
        <v>658</v>
      </c>
      <c r="B162" s="7" t="s">
        <v>407</v>
      </c>
      <c r="C162" s="7" t="s">
        <v>522</v>
      </c>
      <c r="D162" s="7" t="s">
        <v>659</v>
      </c>
      <c r="E162" s="7" t="s">
        <v>255</v>
      </c>
      <c r="F162" s="7" t="s">
        <v>256</v>
      </c>
      <c r="G162" s="7" t="s">
        <v>398</v>
      </c>
      <c r="H162" s="7" t="s">
        <v>115</v>
      </c>
      <c r="I162" s="7" t="s">
        <v>271</v>
      </c>
      <c r="J162" s="7" t="s">
        <v>447</v>
      </c>
      <c r="K162" s="7" t="s">
        <v>660</v>
      </c>
      <c r="L162" s="7" t="s">
        <v>324</v>
      </c>
      <c r="M162" s="7" t="s">
        <v>303</v>
      </c>
      <c r="N162" s="7" t="s">
        <v>261</v>
      </c>
      <c r="O162" s="7" t="s">
        <v>195</v>
      </c>
      <c r="P162" s="7" t="s">
        <v>8</v>
      </c>
      <c r="Q162" s="7" t="s">
        <v>318</v>
      </c>
      <c r="R162" s="7" t="s">
        <v>263</v>
      </c>
    </row>
    <row r="163" spans="1:18">
      <c r="A163" s="7" t="s">
        <v>708</v>
      </c>
      <c r="B163" s="7" t="s">
        <v>709</v>
      </c>
      <c r="C163" s="7" t="s">
        <v>710</v>
      </c>
      <c r="D163" s="7" t="s">
        <v>711</v>
      </c>
      <c r="E163" s="7" t="s">
        <v>255</v>
      </c>
      <c r="F163" s="7" t="s">
        <v>256</v>
      </c>
      <c r="G163" s="7" t="s">
        <v>257</v>
      </c>
      <c r="H163" s="7" t="s">
        <v>115</v>
      </c>
      <c r="I163" s="7" t="s">
        <v>258</v>
      </c>
      <c r="J163" s="7" t="s">
        <v>358</v>
      </c>
      <c r="K163" s="7" t="s">
        <v>712</v>
      </c>
      <c r="L163" s="7" t="s">
        <v>713</v>
      </c>
      <c r="M163" s="7" t="s">
        <v>335</v>
      </c>
      <c r="N163" s="7" t="s">
        <v>261</v>
      </c>
      <c r="O163" s="7" t="s">
        <v>195</v>
      </c>
      <c r="P163" s="7" t="s">
        <v>8</v>
      </c>
      <c r="Q163" s="7" t="s">
        <v>318</v>
      </c>
      <c r="R163" s="7" t="s">
        <v>263</v>
      </c>
    </row>
    <row r="164" spans="1:18">
      <c r="A164" s="7" t="s">
        <v>720</v>
      </c>
      <c r="B164" s="7" t="s">
        <v>279</v>
      </c>
      <c r="C164" s="7" t="s">
        <v>355</v>
      </c>
      <c r="D164" s="7" t="s">
        <v>721</v>
      </c>
      <c r="E164" s="7" t="s">
        <v>255</v>
      </c>
      <c r="F164" s="7" t="s">
        <v>256</v>
      </c>
      <c r="G164" s="7" t="s">
        <v>257</v>
      </c>
      <c r="H164" s="7" t="s">
        <v>115</v>
      </c>
      <c r="I164" s="7" t="s">
        <v>299</v>
      </c>
      <c r="J164" s="7" t="s">
        <v>346</v>
      </c>
      <c r="K164" s="7" t="s">
        <v>722</v>
      </c>
      <c r="L164" s="7" t="s">
        <v>723</v>
      </c>
      <c r="M164" s="7" t="s">
        <v>293</v>
      </c>
      <c r="N164" s="7" t="s">
        <v>261</v>
      </c>
      <c r="O164" s="7" t="s">
        <v>195</v>
      </c>
      <c r="P164" s="7" t="s">
        <v>8</v>
      </c>
      <c r="Q164" s="7" t="s">
        <v>326</v>
      </c>
      <c r="R164" s="7" t="s">
        <v>263</v>
      </c>
    </row>
    <row r="165" spans="1:18">
      <c r="A165" s="7" t="s">
        <v>861</v>
      </c>
      <c r="B165" s="7" t="s">
        <v>266</v>
      </c>
      <c r="C165" s="7" t="s">
        <v>490</v>
      </c>
      <c r="D165" s="7" t="s">
        <v>551</v>
      </c>
      <c r="E165" s="7" t="s">
        <v>255</v>
      </c>
      <c r="F165" s="7" t="s">
        <v>256</v>
      </c>
      <c r="G165" s="7" t="s">
        <v>398</v>
      </c>
      <c r="H165" s="7" t="s">
        <v>122</v>
      </c>
      <c r="I165" s="7" t="s">
        <v>316</v>
      </c>
      <c r="J165" s="7" t="s">
        <v>332</v>
      </c>
      <c r="K165" s="7"/>
      <c r="L165" s="7"/>
      <c r="M165" s="7" t="s">
        <v>260</v>
      </c>
      <c r="N165" s="7" t="s">
        <v>261</v>
      </c>
      <c r="O165" s="7" t="s">
        <v>169</v>
      </c>
      <c r="P165" s="7"/>
      <c r="Q165" s="7" t="s">
        <v>305</v>
      </c>
      <c r="R165" s="7" t="s">
        <v>263</v>
      </c>
    </row>
    <row r="166" spans="1:18">
      <c r="A166" s="7" t="s">
        <v>878</v>
      </c>
      <c r="B166" s="7" t="s">
        <v>407</v>
      </c>
      <c r="C166" s="7" t="s">
        <v>417</v>
      </c>
      <c r="D166" s="7" t="s">
        <v>879</v>
      </c>
      <c r="E166" s="7" t="s">
        <v>255</v>
      </c>
      <c r="F166" s="7" t="s">
        <v>256</v>
      </c>
      <c r="G166" s="7" t="s">
        <v>257</v>
      </c>
      <c r="H166" s="7" t="s">
        <v>115</v>
      </c>
      <c r="I166" s="7" t="s">
        <v>316</v>
      </c>
      <c r="J166" s="7" t="s">
        <v>341</v>
      </c>
      <c r="K166" s="7" t="s">
        <v>880</v>
      </c>
      <c r="L166" s="7" t="s">
        <v>544</v>
      </c>
      <c r="M166" s="7" t="s">
        <v>303</v>
      </c>
      <c r="N166" s="7" t="s">
        <v>261</v>
      </c>
      <c r="O166" s="7" t="s">
        <v>195</v>
      </c>
      <c r="P166" s="7" t="s">
        <v>17</v>
      </c>
      <c r="Q166" s="7" t="s">
        <v>262</v>
      </c>
      <c r="R166" s="7" t="s">
        <v>263</v>
      </c>
    </row>
    <row r="167" spans="1:18">
      <c r="A167" s="7" t="s">
        <v>651</v>
      </c>
      <c r="B167" s="7" t="s">
        <v>278</v>
      </c>
      <c r="C167" s="7" t="s">
        <v>485</v>
      </c>
      <c r="D167" s="7" t="s">
        <v>634</v>
      </c>
      <c r="E167" s="7" t="s">
        <v>268</v>
      </c>
      <c r="F167" s="7"/>
      <c r="G167" s="7" t="s">
        <v>419</v>
      </c>
      <c r="H167" s="7" t="s">
        <v>115</v>
      </c>
      <c r="I167" s="7" t="s">
        <v>316</v>
      </c>
      <c r="J167" s="7" t="s">
        <v>404</v>
      </c>
      <c r="K167" s="7" t="s">
        <v>652</v>
      </c>
      <c r="L167" s="7" t="s">
        <v>653</v>
      </c>
      <c r="M167" s="7" t="s">
        <v>303</v>
      </c>
      <c r="N167" s="7" t="s">
        <v>261</v>
      </c>
      <c r="O167" s="7" t="s">
        <v>169</v>
      </c>
      <c r="P167" s="7" t="s">
        <v>14</v>
      </c>
      <c r="Q167" s="7" t="s">
        <v>318</v>
      </c>
      <c r="R167" s="7" t="s">
        <v>263</v>
      </c>
    </row>
    <row r="168" spans="1:18">
      <c r="A168" s="7" t="s">
        <v>883</v>
      </c>
      <c r="B168" s="7" t="s">
        <v>473</v>
      </c>
      <c r="C168" s="7" t="s">
        <v>265</v>
      </c>
      <c r="D168" s="7" t="s">
        <v>741</v>
      </c>
      <c r="E168" s="7" t="s">
        <v>339</v>
      </c>
      <c r="F168" s="7"/>
      <c r="G168" s="7" t="s">
        <v>476</v>
      </c>
      <c r="H168" s="7" t="s">
        <v>115</v>
      </c>
      <c r="I168" s="7" t="s">
        <v>258</v>
      </c>
      <c r="J168" s="7" t="s">
        <v>469</v>
      </c>
      <c r="K168" s="7" t="s">
        <v>471</v>
      </c>
      <c r="L168" s="7" t="s">
        <v>884</v>
      </c>
      <c r="M168" s="7" t="s">
        <v>275</v>
      </c>
      <c r="N168" s="7" t="s">
        <v>412</v>
      </c>
      <c r="O168" s="7" t="s">
        <v>169</v>
      </c>
      <c r="P168" s="7" t="s">
        <v>14</v>
      </c>
      <c r="Q168" s="7" t="s">
        <v>262</v>
      </c>
      <c r="R168" s="7" t="s">
        <v>263</v>
      </c>
    </row>
  </sheetData>
  <mergeCells count="2">
    <mergeCell ref="A1:R2"/>
    <mergeCell ref="A3:R3"/>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AB80-B150-415A-A91E-55E31F6381C6}">
  <dimension ref="A3:P100"/>
  <sheetViews>
    <sheetView topLeftCell="A67" zoomScale="68" workbookViewId="0">
      <selection activeCell="A96" sqref="A96"/>
    </sheetView>
  </sheetViews>
  <sheetFormatPr defaultRowHeight="14"/>
  <cols>
    <col min="1" max="1" width="32.58203125" bestFit="1" customWidth="1"/>
    <col min="2" max="2" width="26.75" bestFit="1" customWidth="1"/>
    <col min="3" max="3" width="11.83203125" bestFit="1" customWidth="1"/>
    <col min="4" max="4" width="10.33203125" bestFit="1" customWidth="1"/>
    <col min="5" max="5" width="15.25" bestFit="1" customWidth="1"/>
    <col min="6" max="6" width="13.5" bestFit="1" customWidth="1"/>
  </cols>
  <sheetData>
    <row r="3" spans="1:16">
      <c r="A3" s="23" t="s">
        <v>2667</v>
      </c>
      <c r="B3" s="23" t="s">
        <v>2666</v>
      </c>
    </row>
    <row r="4" spans="1:16">
      <c r="A4" s="23" t="s">
        <v>2664</v>
      </c>
      <c r="B4" t="s">
        <v>115</v>
      </c>
      <c r="C4" t="s">
        <v>127</v>
      </c>
      <c r="D4" t="s">
        <v>122</v>
      </c>
      <c r="E4" t="s">
        <v>466</v>
      </c>
      <c r="F4" t="s">
        <v>2665</v>
      </c>
    </row>
    <row r="5" spans="1:16" s="26" customFormat="1">
      <c r="A5" s="25">
        <v>46023</v>
      </c>
      <c r="B5" s="27">
        <v>117</v>
      </c>
      <c r="C5" s="27">
        <v>14</v>
      </c>
      <c r="D5" s="27">
        <v>21</v>
      </c>
      <c r="E5" s="27">
        <v>6</v>
      </c>
      <c r="F5" s="27">
        <v>158</v>
      </c>
    </row>
    <row r="6" spans="1:16" s="26" customFormat="1">
      <c r="A6" s="25">
        <v>46054</v>
      </c>
      <c r="B6" s="27">
        <v>104</v>
      </c>
      <c r="C6" s="27">
        <v>21</v>
      </c>
      <c r="D6" s="27">
        <v>25</v>
      </c>
      <c r="E6" s="27">
        <v>8</v>
      </c>
      <c r="F6" s="27">
        <v>158</v>
      </c>
    </row>
    <row r="7" spans="1:16" s="26" customFormat="1">
      <c r="A7" s="25">
        <v>46082</v>
      </c>
      <c r="B7" s="27">
        <v>106</v>
      </c>
      <c r="C7" s="27">
        <v>20</v>
      </c>
      <c r="D7" s="27">
        <v>26</v>
      </c>
      <c r="E7" s="27">
        <v>6</v>
      </c>
      <c r="F7" s="27">
        <v>158</v>
      </c>
    </row>
    <row r="8" spans="1:16" s="26" customFormat="1">
      <c r="A8" s="25">
        <v>46113</v>
      </c>
      <c r="B8" s="27">
        <v>112</v>
      </c>
      <c r="C8" s="27">
        <v>18</v>
      </c>
      <c r="D8" s="27">
        <v>19</v>
      </c>
      <c r="E8" s="27">
        <v>9</v>
      </c>
      <c r="F8" s="27">
        <v>158</v>
      </c>
      <c r="P8" s="26" t="s">
        <v>2668</v>
      </c>
    </row>
    <row r="9" spans="1:16" s="26" customFormat="1">
      <c r="A9" s="25">
        <v>46143</v>
      </c>
      <c r="B9" s="27">
        <v>116</v>
      </c>
      <c r="C9" s="27">
        <v>17</v>
      </c>
      <c r="D9" s="27">
        <v>15</v>
      </c>
      <c r="E9" s="27">
        <v>10</v>
      </c>
      <c r="F9" s="27">
        <v>158</v>
      </c>
    </row>
    <row r="10" spans="1:16" s="26" customFormat="1">
      <c r="A10" s="25">
        <v>46174</v>
      </c>
      <c r="B10" s="27">
        <v>106</v>
      </c>
      <c r="C10" s="27">
        <v>27</v>
      </c>
      <c r="D10" s="27">
        <v>16</v>
      </c>
      <c r="E10" s="27">
        <v>9</v>
      </c>
      <c r="F10" s="27">
        <v>158</v>
      </c>
    </row>
    <row r="11" spans="1:16">
      <c r="A11" s="25" t="s">
        <v>2676</v>
      </c>
      <c r="B11" s="27">
        <v>5</v>
      </c>
      <c r="C11" s="27"/>
      <c r="D11" s="27">
        <v>1</v>
      </c>
      <c r="E11" s="27"/>
      <c r="F11" s="27">
        <v>6</v>
      </c>
    </row>
    <row r="12" spans="1:16">
      <c r="A12" s="24" t="s">
        <v>2665</v>
      </c>
      <c r="B12" s="27">
        <v>666</v>
      </c>
      <c r="C12" s="27">
        <v>117</v>
      </c>
      <c r="D12" s="27">
        <v>123</v>
      </c>
      <c r="E12" s="27">
        <v>48</v>
      </c>
      <c r="F12" s="27">
        <v>954</v>
      </c>
    </row>
    <row r="27" spans="1:2">
      <c r="A27" s="28" t="s">
        <v>2664</v>
      </c>
      <c r="B27" t="s">
        <v>2669</v>
      </c>
    </row>
    <row r="28" spans="1:2">
      <c r="A28" s="24" t="s">
        <v>2299</v>
      </c>
      <c r="B28" s="29">
        <v>0.17142857142857143</v>
      </c>
    </row>
    <row r="29" spans="1:2">
      <c r="A29" s="24" t="s">
        <v>2294</v>
      </c>
      <c r="B29" s="29">
        <v>0.16582914572864321</v>
      </c>
    </row>
    <row r="30" spans="1:2">
      <c r="A30" s="24" t="s">
        <v>2290</v>
      </c>
      <c r="B30" s="29">
        <v>0.14583333333333334</v>
      </c>
    </row>
    <row r="31" spans="1:2">
      <c r="A31" s="24" t="s">
        <v>2285</v>
      </c>
      <c r="B31" s="29">
        <v>0.13829787234042554</v>
      </c>
    </row>
    <row r="32" spans="1:2">
      <c r="A32" s="24" t="s">
        <v>2665</v>
      </c>
      <c r="B32" s="29">
        <v>0.155893536121673</v>
      </c>
    </row>
    <row r="49" spans="1:2">
      <c r="A49" s="23" t="s">
        <v>2664</v>
      </c>
      <c r="B49" s="29" t="s">
        <v>2670</v>
      </c>
    </row>
    <row r="50" spans="1:2">
      <c r="A50" s="24" t="s">
        <v>2318</v>
      </c>
      <c r="B50" s="29">
        <v>0.50793650793650791</v>
      </c>
    </row>
    <row r="51" spans="1:2">
      <c r="A51" s="24" t="s">
        <v>2312</v>
      </c>
      <c r="B51" s="29">
        <v>0.41489361702127658</v>
      </c>
    </row>
    <row r="52" spans="1:2">
      <c r="A52" s="24" t="s">
        <v>2309</v>
      </c>
      <c r="B52" s="29">
        <v>0.25683060109289618</v>
      </c>
    </row>
    <row r="53" spans="1:2">
      <c r="A53" s="24" t="s">
        <v>2315</v>
      </c>
      <c r="B53" s="29">
        <v>0.21354166666666666</v>
      </c>
    </row>
    <row r="54" spans="1:2">
      <c r="A54" s="24" t="s">
        <v>2306</v>
      </c>
      <c r="B54" s="29">
        <v>0.1404494382022472</v>
      </c>
    </row>
    <row r="55" spans="1:2">
      <c r="A55" s="24" t="s">
        <v>2665</v>
      </c>
      <c r="B55" s="29">
        <v>0.3086021505376344</v>
      </c>
    </row>
    <row r="70" spans="1:2">
      <c r="A70" s="23" t="s">
        <v>2664</v>
      </c>
      <c r="B70" t="s">
        <v>2671</v>
      </c>
    </row>
    <row r="71" spans="1:2">
      <c r="A71" s="24" t="s">
        <v>2285</v>
      </c>
      <c r="B71" s="15">
        <v>20.364963503649633</v>
      </c>
    </row>
    <row r="72" spans="1:2">
      <c r="A72" s="24" t="s">
        <v>2290</v>
      </c>
      <c r="B72" s="15">
        <v>20.292857142857144</v>
      </c>
    </row>
    <row r="73" spans="1:2">
      <c r="A73" s="24" t="s">
        <v>2299</v>
      </c>
      <c r="B73" s="15">
        <v>19.589403973509935</v>
      </c>
    </row>
    <row r="74" spans="1:2">
      <c r="A74" s="24" t="s">
        <v>2294</v>
      </c>
      <c r="B74" s="15">
        <v>18.602739726027398</v>
      </c>
    </row>
    <row r="75" spans="1:2">
      <c r="A75" s="24" t="s">
        <v>2665</v>
      </c>
      <c r="B75" s="15">
        <v>19.695121951219512</v>
      </c>
    </row>
    <row r="95" spans="1:2">
      <c r="A95" s="23" t="s">
        <v>2664</v>
      </c>
      <c r="B95" t="s">
        <v>2672</v>
      </c>
    </row>
    <row r="96" spans="1:2">
      <c r="A96" s="24" t="s">
        <v>2299</v>
      </c>
      <c r="B96" s="30">
        <v>0.27176000415217727</v>
      </c>
    </row>
    <row r="97" spans="1:2">
      <c r="A97" s="24" t="s">
        <v>2294</v>
      </c>
      <c r="B97" s="30">
        <v>0.2546841750142731</v>
      </c>
    </row>
    <row r="98" spans="1:2">
      <c r="A98" s="24" t="s">
        <v>2290</v>
      </c>
      <c r="B98" s="30">
        <v>0.24196813203923809</v>
      </c>
    </row>
    <row r="99" spans="1:2">
      <c r="A99" s="24" t="s">
        <v>2285</v>
      </c>
      <c r="B99" s="30">
        <v>0.23158768879431152</v>
      </c>
    </row>
    <row r="100" spans="1:2">
      <c r="A100" s="24" t="s">
        <v>2665</v>
      </c>
      <c r="B100" s="30">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C2A209-351F-4788-9B85-D4785DABF3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Project_Summary</vt:lpstr>
      <vt:lpstr>Dashboard</vt:lpstr>
      <vt:lpstr>KPI_Summary</vt:lpstr>
      <vt:lpstr>Appointments_Analysis</vt:lpstr>
      <vt:lpstr>KPI_DEFINITIONS</vt:lpstr>
      <vt:lpstr>DATA_DICTIONARY</vt:lpstr>
      <vt:lpstr>PROJECT_TASKS</vt:lpstr>
      <vt:lpstr>Jan_Raw</vt:lpstr>
      <vt:lpstr>Feb_Raw</vt:lpstr>
      <vt:lpstr>Mar_Raw</vt:lpstr>
      <vt:lpstr>Apr_Raw</vt:lpstr>
      <vt:lpstr>May_Raw</vt:lpstr>
      <vt:lpstr>Jun_Raw</vt:lpstr>
      <vt:lpstr>Clinics_Lookup</vt:lpstr>
      <vt:lpstr>Services_Lookup</vt:lpstr>
      <vt:lpstr>Clinicians_Lookup</vt:lpstr>
      <vt:lpstr>Patients_Lookup</vt:lpstr>
      <vt:lpstr>Jan_Audit</vt:lpstr>
      <vt:lpstr>Pivot_Analysis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Sumit Uniyal</cp:lastModifiedBy>
  <dcterms:created xsi:type="dcterms:W3CDTF">2026-09-08T21:38:02Z</dcterms:created>
  <dcterms:modified xsi:type="dcterms:W3CDTF">2026-09-17T23:10:58Z</dcterms:modified>
</cp:coreProperties>
</file>